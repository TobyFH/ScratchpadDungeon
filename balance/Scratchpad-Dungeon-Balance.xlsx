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ngine" state="visible" r:id="rId5"/>
    <sheet sheetId="3" name="Progression" state="visible" r:id="rId6"/>
    <sheet sheetId="4" name="Slots" state="visible" r:id="rId7"/>
    <sheet sheetId="5" name="Classes" state="visible" r:id="rId8"/>
    <sheet sheetId="6" name="Reels" state="visible" r:id="rId9"/>
    <sheet sheetId="7" name="Items" state="visible" r:id="rId10"/>
    <sheet sheetId="8" name="Equipment" state="visible" r:id="rId11"/>
    <sheet sheetId="9" name="Artefacts" state="visible" r:id="rId12"/>
    <sheet sheetId="10" name="Enemies" state="visible" r:id="rId13"/>
    <sheet sheetId="11" name="World" state="visible" r:id="rId14"/>
    <sheet sheetId="12" name="Loot" state="visible" r:id="rId15"/>
    <sheet sheetId="13" name="Economy" state="visible" r:id="rId16"/>
    <sheet sheetId="14" name="Abilities" state="visible" r:id="rId17"/>
    <sheet sheetId="15" name="Roll Analysis" state="visible" r:id="rId18"/>
    <sheet sheetId="16" name="Statistics" state="visible" r:id="rId19"/>
  </sheets>
  <calcPr calcId="171027" fullCalcOnLoad="1"/>
</workbook>
</file>

<file path=xl/sharedStrings.xml><?xml version="1.0" encoding="utf-8"?>
<sst xmlns="http://schemas.openxmlformats.org/spreadsheetml/2006/main" count="22204" uniqueCount="4262">
  <si>
    <t>Scratchpad Dungeon · authoritative balance workbook</t>
  </si>
  <si>
    <t>Edit blue Value cells only. IDs, columns, sheets and protected metadata must stay intact.</t>
  </si>
  <si>
    <t>Import: npm run balance:import -- path/to/edited.xlsx</t>
  </si>
  <si>
    <t>Validate without writing: npm run balance:validate -- path/to/edited.xlsx</t>
  </si>
  <si>
    <t>Export fresh after an import: npm run balance:export</t>
  </si>
  <si>
    <t>The importer rejects formulas in input cells, unknown/missing/duplicate fields, invalid types, unsafe text and broken references.</t>
  </si>
  <si>
    <t>All sheets are validated together before any source or build is replaced.</t>
  </si>
  <si>
    <t>data/balance.json is the runtime source. This workbook is an editable export.</t>
  </si>
  <si>
    <t>Statistics recalculate in Excel/LibreOffice; import recomputes build data from input cells, never cached formula results.</t>
  </si>
  <si>
    <t>Reel statistics: level-one base face power and triple-match probability; excludes class powers, buffs, gear and target armour.</t>
  </si>
  <si>
    <t>Enemy HP statistics use the normal/boss/stronghold curve plus per-type multiplier. Other figures are baseline snapshots regenerated after import.</t>
  </si>
  <si>
    <t>Schema</t>
  </si>
  <si>
    <t>1</t>
  </si>
  <si>
    <t>Schema digest</t>
  </si>
  <si>
    <t>b889ae28d1107419968dc059d0969609db38bb31509262f7e6a6fbb815743682</t>
  </si>
  <si>
    <t>Balance revision</t>
  </si>
  <si>
    <t>Source digest</t>
  </si>
  <si>
    <t>6d2d6d6b8c46a364f6ff46f66d21672c4674b7105692c45eaccbeb8e2a59e7b3</t>
  </si>
  <si>
    <t>Stable field ID</t>
  </si>
  <si>
    <t>Entity ID</t>
  </si>
  <si>
    <t>Field / label</t>
  </si>
  <si>
    <t>Value (edit blue cells)</t>
  </si>
  <si>
    <t>Type</t>
  </si>
  <si>
    <t>Unit</t>
  </si>
  <si>
    <t>Minimum</t>
  </si>
  <si>
    <t>Maximum</t>
  </si>
  <si>
    <t>Notes</t>
  </si>
  <si>
    <t>/engine/mapWidth</t>
  </si>
  <si>
    <t>rule.engine</t>
  </si>
  <si>
    <t>mapWidth</t>
  </si>
  <si>
    <t>number</t>
  </si>
  <si>
    <t/>
  </si>
  <si>
    <t>READ ONLY</t>
  </si>
  <si>
    <t>/engine/mapHeight</t>
  </si>
  <si>
    <t>mapHeight</t>
  </si>
  <si>
    <t>/engine/maxSupportedParty</t>
  </si>
  <si>
    <t>maxSupportedParty</t>
  </si>
  <si>
    <t>/engine/reelsPerMachine</t>
  </si>
  <si>
    <t>reelsPerMachine</t>
  </si>
  <si>
    <t>/engine/criticalMatches</t>
  </si>
  <si>
    <t>criticalMatches</t>
  </si>
  <si>
    <t>/rules/maxParty</t>
  </si>
  <si>
    <t>rule.rules</t>
  </si>
  <si>
    <t>maxParty</t>
  </si>
  <si>
    <t>/rules/bagTypes</t>
  </si>
  <si>
    <t>bagTypes</t>
  </si>
  <si>
    <t>/rules/floors</t>
  </si>
  <si>
    <t>floors</t>
  </si>
  <si>
    <t>/rules/startingPoints</t>
  </si>
  <si>
    <t>startingPoints</t>
  </si>
  <si>
    <t>/rules/levelHp</t>
  </si>
  <si>
    <t>levelHp</t>
  </si>
  <si>
    <t>/rules/levelPoints</t>
  </si>
  <si>
    <t>levelPoints</t>
  </si>
  <si>
    <t>/rules/xpPerLevel</t>
  </si>
  <si>
    <t>xpPerLevel</t>
  </si>
  <si>
    <t>/rules/blankInscriptionCost</t>
  </si>
  <si>
    <t>blankInscriptionCost</t>
  </si>
  <si>
    <t>/rules/stunArmourCost</t>
  </si>
  <si>
    <t>stunArmourCost</t>
  </si>
  <si>
    <t>/rules/reviveHealthFraction</t>
  </si>
  <si>
    <t>reviveHealthFraction</t>
  </si>
  <si>
    <t>/rules/fountainHealthFraction</t>
  </si>
  <si>
    <t>fountainHealthFraction</t>
  </si>
  <si>
    <t>/rules/descentHeal</t>
  </si>
  <si>
    <t>descentHeal</t>
  </si>
  <si>
    <t>/rules/weakenCost</t>
  </si>
  <si>
    <t>weakenCost</t>
  </si>
  <si>
    <t>/rules/victoryGoldBase</t>
  </si>
  <si>
    <t>victoryGoldBase</t>
  </si>
  <si>
    <t>/rules/victoryGoldPerDepth</t>
  </si>
  <si>
    <t>victoryGoldPerDepth</t>
  </si>
  <si>
    <t>/rules/areaAttackTier</t>
  </si>
  <si>
    <t>areaAttackTier</t>
  </si>
  <si>
    <t>/tuning/victory.coefficient.1/value</t>
  </si>
  <si>
    <t>rule.tuning.victory.coefficient.1</t>
  </si>
  <si>
    <t>victory · coefficient 1</t>
  </si>
  <si>
    <t>count or coefficient</t>
  </si>
  <si>
    <t>Coefficient in: ( h, Math.round( (8 + state.depth * 2) * 0.85 *</t>
  </si>
  <si>
    <t>/tuning/victory.coefficient.1/category</t>
  </si>
  <si>
    <t>Progression</t>
  </si>
  <si>
    <t>string</t>
  </si>
  <si>
    <t>/tuning/victory.coefficient.1/label</t>
  </si>
  <si>
    <t>/tuning/victory.coefficient.1/description</t>
  </si>
  <si>
    <t>/tuning/victory.coefficient.1/unit</t>
  </si>
  <si>
    <t>/tuning/victory.coefficient.1/min</t>
  </si>
  <si>
    <t>/tuning/victory.coefficient.1/max</t>
  </si>
  <si>
    <t>/tuning/victory.coefficient.1/integer</t>
  </si>
  <si>
    <t>boolean</t>
  </si>
  <si>
    <t>/tuning/victory.coefficient.2/value</t>
  </si>
  <si>
    <t>rule.tuning.victory.coefficient.2</t>
  </si>
  <si>
    <t>victory · coefficient 2</t>
  </si>
  <si>
    <t>Coefficient in: ath.round( (8 + state.depth * 2) * 0.85 * (state.</t>
  </si>
  <si>
    <t>/tuning/victory.coefficient.2/category</t>
  </si>
  <si>
    <t>/tuning/victory.coefficient.2/label</t>
  </si>
  <si>
    <t>/tuning/victory.coefficient.2/description</t>
  </si>
  <si>
    <t>/tuning/victory.coefficient.2/unit</t>
  </si>
  <si>
    <t>/tuning/victory.coefficient.2/min</t>
  </si>
  <si>
    <t>/tuning/victory.coefficient.2/max</t>
  </si>
  <si>
    <t>/tuning/victory.coefficient.2/integer</t>
  </si>
  <si>
    <t>/tuning/victory.coefficient.3/value</t>
  </si>
  <si>
    <t>rule.tuning.victory.coefficient.3</t>
  </si>
  <si>
    <t>victory · coefficient 3</t>
  </si>
  <si>
    <t>probability or multiplier</t>
  </si>
  <si>
    <t>Coefficient in: (8 + state.depth * 2) * 0.85 * (state.encounterReward?.c</t>
  </si>
  <si>
    <t>/tuning/victory.coefficient.3/category</t>
  </si>
  <si>
    <t>/tuning/victory.coefficient.3/label</t>
  </si>
  <si>
    <t>/tuning/victory.coefficient.3/description</t>
  </si>
  <si>
    <t>/tuning/victory.coefficient.3/unit</t>
  </si>
  <si>
    <t>/tuning/victory.coefficient.3/min</t>
  </si>
  <si>
    <t>/tuning/victory.coefficient.3/max</t>
  </si>
  <si>
    <t>/tuning/victory.coefficient.3/integer</t>
  </si>
  <si>
    <t>/tuning/victory.coefficient.4/value</t>
  </si>
  <si>
    <t>rule.tuning.victory.coefficient.4</t>
  </si>
  <si>
    <t>victory · coefficient 4</t>
  </si>
  <si>
    <t>Coefficient in: unt || 1) * (e.stronghold ? 2 : e.boss ? 1.35 : e.elite ? 1.2 : 1),</t>
  </si>
  <si>
    <t>/tuning/victory.coefficient.4/category</t>
  </si>
  <si>
    <t>/tuning/victory.coefficient.4/label</t>
  </si>
  <si>
    <t>/tuning/victory.coefficient.4/description</t>
  </si>
  <si>
    <t>/tuning/victory.coefficient.4/unit</t>
  </si>
  <si>
    <t>/tuning/victory.coefficient.4/min</t>
  </si>
  <si>
    <t>/tuning/victory.coefficient.4/max</t>
  </si>
  <si>
    <t>/tuning/victory.coefficient.4/integer</t>
  </si>
  <si>
    <t>/tuning/victory.coefficient.5/value</t>
  </si>
  <si>
    <t>rule.tuning.victory.coefficient.5</t>
  </si>
  <si>
    <t>victory · coefficient 5</t>
  </si>
  <si>
    <t>Coefficient in: (e.stronghold ? 2 : e.boss ? 1.35 : e.elite ? 1.2 : 1), ), );</t>
  </si>
  <si>
    <t>/tuning/victory.coefficient.5/category</t>
  </si>
  <si>
    <t>/tuning/victory.coefficient.5/label</t>
  </si>
  <si>
    <t>/tuning/victory.coefficient.5/description</t>
  </si>
  <si>
    <t>/tuning/victory.coefficient.5/unit</t>
  </si>
  <si>
    <t>/tuning/victory.coefficient.5/min</t>
  </si>
  <si>
    <t>/tuning/victory.coefficient.5/max</t>
  </si>
  <si>
    <t>/tuning/victory.coefficient.5/integer</t>
  </si>
  <si>
    <t>/tuning/victory.coefficient.6/value</t>
  </si>
  <si>
    <t>rule.tuning.victory.coefficient.6</t>
  </si>
  <si>
    <t>victory · coefficient 6</t>
  </si>
  <si>
    <t>Coefficient in: ghold ? 2 : e.boss ? 1.35 : e.elite ? 1.2 : 1), ), ); h.points++;</t>
  </si>
  <si>
    <t>/tuning/victory.coefficient.6/category</t>
  </si>
  <si>
    <t>/tuning/victory.coefficient.6/label</t>
  </si>
  <si>
    <t>/tuning/victory.coefficient.6/description</t>
  </si>
  <si>
    <t>/tuning/victory.coefficient.6/unit</t>
  </si>
  <si>
    <t>/tuning/victory.coefficient.6/min</t>
  </si>
  <si>
    <t>/tuning/victory.coefficient.6/max</t>
  </si>
  <si>
    <t>/tuning/victory.coefficient.6/integer</t>
  </si>
  <si>
    <t>/tuning/prepareRecruit.budget.1/value</t>
  </si>
  <si>
    <t>rule.tuning.prepareRecruit.budget.1</t>
  </si>
  <si>
    <t>prepareRecruit · budget 1</t>
  </si>
  <si>
    <t>Coefficient in: nts, budget = Math.floor(earned / 2); let remaining = budget; // Pref</t>
  </si>
  <si>
    <t>/tuning/prepareRecruit.budget.1/category</t>
  </si>
  <si>
    <t>/tuning/prepareRecruit.budget.1/label</t>
  </si>
  <si>
    <t>/tuning/prepareRecruit.budget.1/description</t>
  </si>
  <si>
    <t>/tuning/prepareRecruit.budget.1/unit</t>
  </si>
  <si>
    <t>/tuning/prepareRecruit.budget.1/min</t>
  </si>
  <si>
    <t>/tuning/prepareRecruit.budget.1/max</t>
  </si>
  <si>
    <t>/tuning/prepareRecruit.budget.1/integer</t>
  </si>
  <si>
    <t>/slots/types/0</t>
  </si>
  <si>
    <t>rule.slots.types</t>
  </si>
  <si>
    <t>0</t>
  </si>
  <si>
    <t>attack</t>
  </si>
  <si>
    <t>/slots/types/1</t>
  </si>
  <si>
    <t>magic</t>
  </si>
  <si>
    <t>/slots/types/2</t>
  </si>
  <si>
    <t>2</t>
  </si>
  <si>
    <t>poison</t>
  </si>
  <si>
    <t>/slots/types/3</t>
  </si>
  <si>
    <t>3</t>
  </si>
  <si>
    <t>stimulant</t>
  </si>
  <si>
    <t>/slots/types/4</t>
  </si>
  <si>
    <t>4</t>
  </si>
  <si>
    <t>heal</t>
  </si>
  <si>
    <t>/slots/types/5</t>
  </si>
  <si>
    <t>5</t>
  </si>
  <si>
    <t>block</t>
  </si>
  <si>
    <t>/slots/types/6</t>
  </si>
  <si>
    <t>6</t>
  </si>
  <si>
    <t>stun</t>
  </si>
  <si>
    <t>/slots/types/7</t>
  </si>
  <si>
    <t>7</t>
  </si>
  <si>
    <t>class</t>
  </si>
  <si>
    <t>/slots/types/8</t>
  </si>
  <si>
    <t>8</t>
  </si>
  <si>
    <t>blank</t>
  </si>
  <si>
    <t>/slots/icons/attack</t>
  </si>
  <si>
    <t>rule.slots.icons</t>
  </si>
  <si>
    <t>sword</t>
  </si>
  <si>
    <t>/slots/icons/magic</t>
  </si>
  <si>
    <t>/slots/icons/poison</t>
  </si>
  <si>
    <t>/slots/icons/stimulant</t>
  </si>
  <si>
    <t>flame</t>
  </si>
  <si>
    <t>/slots/icons/class</t>
  </si>
  <si>
    <t>/slots/icons/rage</t>
  </si>
  <si>
    <t>rage</t>
  </si>
  <si>
    <t>/slots/icons/teamHeal</t>
  </si>
  <si>
    <t>teamHeal</t>
  </si>
  <si>
    <t>blessing</t>
  </si>
  <si>
    <t>/slots/icons/heal</t>
  </si>
  <si>
    <t>/slots/icons/block</t>
  </si>
  <si>
    <t>/slots/icons/stun</t>
  </si>
  <si>
    <t>/slots/icons/blank</t>
  </si>
  <si>
    <t>/slots/power/poison</t>
  </si>
  <si>
    <t>rule.slots.power</t>
  </si>
  <si>
    <t>/slots/power/stimulant</t>
  </si>
  <si>
    <t>/slots/power/heal</t>
  </si>
  <si>
    <t>/slots/power/block</t>
  </si>
  <si>
    <t>/slots/power/stun</t>
  </si>
  <si>
    <t>/slots/power/class</t>
  </si>
  <si>
    <t>/slots/power/blank</t>
  </si>
  <si>
    <t>/slots/attackPower/0</t>
  </si>
  <si>
    <t>rule.slots.attackPower</t>
  </si>
  <si>
    <t>/slots/attackPower/1</t>
  </si>
  <si>
    <t>/slots/attackPower/2</t>
  </si>
  <si>
    <t>/slots/attackPower/3</t>
  </si>
  <si>
    <t>/slots/attackPower/4</t>
  </si>
  <si>
    <t>/slots/faceCost/1</t>
  </si>
  <si>
    <t>rule.slots.faceCost</t>
  </si>
  <si>
    <t>/slots/faceCost/2</t>
  </si>
  <si>
    <t>/slots/faceCost/3</t>
  </si>
  <si>
    <t>/slots/faceCost/4</t>
  </si>
  <si>
    <t>/slots/criticalMultipliers/0</t>
  </si>
  <si>
    <t>rule.slots.criticalMultipliers</t>
  </si>
  <si>
    <t>/slots/criticalMultipliers/1</t>
  </si>
  <si>
    <t>/slots/criticalMultipliers/2</t>
  </si>
  <si>
    <t>/slots/criticalMultipliers/3</t>
  </si>
  <si>
    <t>/classes/fighter/id</t>
  </si>
  <si>
    <t>class.fighter</t>
  </si>
  <si>
    <t>id</t>
  </si>
  <si>
    <t>/classes/fighter/name</t>
  </si>
  <si>
    <t>name</t>
  </si>
  <si>
    <t>Tank</t>
  </si>
  <si>
    <t>/classes/fighter/maxHp</t>
  </si>
  <si>
    <t>maxHp</t>
  </si>
  <si>
    <t>HP</t>
  </si>
  <si>
    <t>/classes/fighter/last/0/type</t>
  </si>
  <si>
    <t>last · 0 · type</t>
  </si>
  <si>
    <t>/classes/fighter/last/0/tier</t>
  </si>
  <si>
    <t>last · 0 · tier</t>
  </si>
  <si>
    <t>tier</t>
  </si>
  <si>
    <t>/classes/fighter/last/1/type</t>
  </si>
  <si>
    <t>last · 1 · type</t>
  </si>
  <si>
    <t>/classes/fighter/last/1/tier</t>
  </si>
  <si>
    <t>last · 1 · tier</t>
  </si>
  <si>
    <t>/classes/fighter/last/2/type</t>
  </si>
  <si>
    <t>last · 2 · type</t>
  </si>
  <si>
    <t>/classes/fighter/last/2/tier</t>
  </si>
  <si>
    <t>last · 2 · tier</t>
  </si>
  <si>
    <t>/classes/healer/id</t>
  </si>
  <si>
    <t>class.healer</t>
  </si>
  <si>
    <t>/classes/healer/name</t>
  </si>
  <si>
    <t>Healer</t>
  </si>
  <si>
    <t>/classes/healer/maxHp</t>
  </si>
  <si>
    <t>/classes/healer/last/0/type</t>
  </si>
  <si>
    <t>/classes/healer/last/0/tier</t>
  </si>
  <si>
    <t>/classes/healer/last/1/type</t>
  </si>
  <si>
    <t>/classes/healer/last/1/tier</t>
  </si>
  <si>
    <t>/classes/healer/last/2/type</t>
  </si>
  <si>
    <t>/classes/healer/last/2/tier</t>
  </si>
  <si>
    <t>/classes/rogue/id</t>
  </si>
  <si>
    <t>class.rogue</t>
  </si>
  <si>
    <t>/classes/rogue/name</t>
  </si>
  <si>
    <t>Rogue</t>
  </si>
  <si>
    <t>/classes/rogue/maxHp</t>
  </si>
  <si>
    <t>/classes/rogue/last/0/type</t>
  </si>
  <si>
    <t>/classes/rogue/last/0/tier</t>
  </si>
  <si>
    <t>/classes/rogue/last/1/type</t>
  </si>
  <si>
    <t>/classes/rogue/last/1/tier</t>
  </si>
  <si>
    <t>/classes/rogue/last/2/type</t>
  </si>
  <si>
    <t>/classes/rogue/last/2/tier</t>
  </si>
  <si>
    <t>/classes/mage/id</t>
  </si>
  <si>
    <t>class.mage</t>
  </si>
  <si>
    <t>/classes/mage/name</t>
  </si>
  <si>
    <t>Mage</t>
  </si>
  <si>
    <t>/classes/mage/maxHp</t>
  </si>
  <si>
    <t>/classes/mage/last/0/type</t>
  </si>
  <si>
    <t>/classes/mage/last/0/tier</t>
  </si>
  <si>
    <t>/classes/mage/last/1/type</t>
  </si>
  <si>
    <t>/classes/mage/last/1/tier</t>
  </si>
  <si>
    <t>/classes/mage/last/2/type</t>
  </si>
  <si>
    <t>/classes/mage/last/2/tier</t>
  </si>
  <si>
    <t>/classes/fighter/reels/0/0/type</t>
  </si>
  <si>
    <t>reels · 0 · 0 · type</t>
  </si>
  <si>
    <t>/classes/fighter/reels/0/0/tier</t>
  </si>
  <si>
    <t>reels · 0 · 0 · tier</t>
  </si>
  <si>
    <t>/classes/fighter/reels/0/0/weight</t>
  </si>
  <si>
    <t>reels · 0 · 0 · weight</t>
  </si>
  <si>
    <t>relative weight</t>
  </si>
  <si>
    <t>/classes/fighter/reels/0/1/type</t>
  </si>
  <si>
    <t>reels · 0 · 1 · type</t>
  </si>
  <si>
    <t>/classes/fighter/reels/0/1/tier</t>
  </si>
  <si>
    <t>reels · 0 · 1 · tier</t>
  </si>
  <si>
    <t>/classes/fighter/reels/0/1/weight</t>
  </si>
  <si>
    <t>reels · 0 · 1 · weight</t>
  </si>
  <si>
    <t>/classes/fighter/reels/0/2/type</t>
  </si>
  <si>
    <t>reels · 0 · 2 · type</t>
  </si>
  <si>
    <t>/classes/fighter/reels/0/2/tier</t>
  </si>
  <si>
    <t>reels · 0 · 2 · tier</t>
  </si>
  <si>
    <t>/classes/fighter/reels/0/2/weight</t>
  </si>
  <si>
    <t>reels · 0 · 2 · weight</t>
  </si>
  <si>
    <t>/classes/fighter/reels/0/3/type</t>
  </si>
  <si>
    <t>reels · 0 · 3 · type</t>
  </si>
  <si>
    <t>/classes/fighter/reels/0/3/tier</t>
  </si>
  <si>
    <t>reels · 0 · 3 · tier</t>
  </si>
  <si>
    <t>/classes/fighter/reels/0/3/weight</t>
  </si>
  <si>
    <t>reels · 0 · 3 · weight</t>
  </si>
  <si>
    <t>/classes/fighter/reels/0/4/type</t>
  </si>
  <si>
    <t>reels · 0 · 4 · type</t>
  </si>
  <si>
    <t>/classes/fighter/reels/0/4/tier</t>
  </si>
  <si>
    <t>reels · 0 · 4 · tier</t>
  </si>
  <si>
    <t>/classes/fighter/reels/0/4/weight</t>
  </si>
  <si>
    <t>reels · 0 · 4 · weight</t>
  </si>
  <si>
    <t>/classes/fighter/reels/0/5/type</t>
  </si>
  <si>
    <t>reels · 0 · 5 · type</t>
  </si>
  <si>
    <t>/classes/fighter/reels/0/5/tier</t>
  </si>
  <si>
    <t>reels · 0 · 5 · tier</t>
  </si>
  <si>
    <t>/classes/fighter/reels/0/5/weight</t>
  </si>
  <si>
    <t>reels · 0 · 5 · weight</t>
  </si>
  <si>
    <t>/classes/fighter/reels/1/0/type</t>
  </si>
  <si>
    <t>reels · 1 · 0 · type</t>
  </si>
  <si>
    <t>/classes/fighter/reels/1/0/tier</t>
  </si>
  <si>
    <t>reels · 1 · 0 · tier</t>
  </si>
  <si>
    <t>/classes/fighter/reels/1/0/weight</t>
  </si>
  <si>
    <t>reels · 1 · 0 · weight</t>
  </si>
  <si>
    <t>/classes/fighter/reels/1/1/type</t>
  </si>
  <si>
    <t>reels · 1 · 1 · type</t>
  </si>
  <si>
    <t>/classes/fighter/reels/1/1/tier</t>
  </si>
  <si>
    <t>reels · 1 · 1 · tier</t>
  </si>
  <si>
    <t>/classes/fighter/reels/1/1/weight</t>
  </si>
  <si>
    <t>reels · 1 · 1 · weight</t>
  </si>
  <si>
    <t>/classes/fighter/reels/1/2/type</t>
  </si>
  <si>
    <t>reels · 1 · 2 · type</t>
  </si>
  <si>
    <t>/classes/fighter/reels/1/2/tier</t>
  </si>
  <si>
    <t>reels · 1 · 2 · tier</t>
  </si>
  <si>
    <t>/classes/fighter/reels/1/2/weight</t>
  </si>
  <si>
    <t>reels · 1 · 2 · weight</t>
  </si>
  <si>
    <t>/classes/fighter/reels/1/3/type</t>
  </si>
  <si>
    <t>reels · 1 · 3 · type</t>
  </si>
  <si>
    <t>/classes/fighter/reels/1/3/tier</t>
  </si>
  <si>
    <t>reels · 1 · 3 · tier</t>
  </si>
  <si>
    <t>/classes/fighter/reels/1/3/weight</t>
  </si>
  <si>
    <t>reels · 1 · 3 · weight</t>
  </si>
  <si>
    <t>/classes/fighter/reels/1/4/type</t>
  </si>
  <si>
    <t>reels · 1 · 4 · type</t>
  </si>
  <si>
    <t>/classes/fighter/reels/1/4/tier</t>
  </si>
  <si>
    <t>reels · 1 · 4 · tier</t>
  </si>
  <si>
    <t>/classes/fighter/reels/1/4/weight</t>
  </si>
  <si>
    <t>reels · 1 · 4 · weight</t>
  </si>
  <si>
    <t>/classes/fighter/reels/1/5/type</t>
  </si>
  <si>
    <t>reels · 1 · 5 · type</t>
  </si>
  <si>
    <t>/classes/fighter/reels/1/5/tier</t>
  </si>
  <si>
    <t>reels · 1 · 5 · tier</t>
  </si>
  <si>
    <t>/classes/fighter/reels/1/5/weight</t>
  </si>
  <si>
    <t>reels · 1 · 5 · weight</t>
  </si>
  <si>
    <t>/classes/fighter/reels/1/6/type</t>
  </si>
  <si>
    <t>reels · 1 · 6 · type</t>
  </si>
  <si>
    <t>/classes/fighter/reels/1/6/tier</t>
  </si>
  <si>
    <t>reels · 1 · 6 · tier</t>
  </si>
  <si>
    <t>/classes/fighter/reels/1/6/weight</t>
  </si>
  <si>
    <t>reels · 1 · 6 · weight</t>
  </si>
  <si>
    <t>/classes/fighter/reels/1/6/job</t>
  </si>
  <si>
    <t>reels · 1 · 6 · job</t>
  </si>
  <si>
    <t>fighter</t>
  </si>
  <si>
    <t>/classes/fighter/reels/2/0/type</t>
  </si>
  <si>
    <t>reels · 2 · 0 · type</t>
  </si>
  <si>
    <t>/classes/fighter/reels/2/0/tier</t>
  </si>
  <si>
    <t>reels · 2 · 0 · tier</t>
  </si>
  <si>
    <t>/classes/fighter/reels/2/0/weight</t>
  </si>
  <si>
    <t>reels · 2 · 0 · weight</t>
  </si>
  <si>
    <t>/classes/fighter/reels/2/1/type</t>
  </si>
  <si>
    <t>reels · 2 · 1 · type</t>
  </si>
  <si>
    <t>/classes/fighter/reels/2/1/tier</t>
  </si>
  <si>
    <t>reels · 2 · 1 · tier</t>
  </si>
  <si>
    <t>/classes/fighter/reels/2/1/weight</t>
  </si>
  <si>
    <t>reels · 2 · 1 · weight</t>
  </si>
  <si>
    <t>/classes/fighter/reels/2/2/type</t>
  </si>
  <si>
    <t>reels · 2 · 2 · type</t>
  </si>
  <si>
    <t>/classes/fighter/reels/2/2/tier</t>
  </si>
  <si>
    <t>reels · 2 · 2 · tier</t>
  </si>
  <si>
    <t>/classes/fighter/reels/2/2/weight</t>
  </si>
  <si>
    <t>reels · 2 · 2 · weight</t>
  </si>
  <si>
    <t>/classes/fighter/reels/2/3/type</t>
  </si>
  <si>
    <t>reels · 2 · 3 · type</t>
  </si>
  <si>
    <t>/classes/fighter/reels/2/3/tier</t>
  </si>
  <si>
    <t>reels · 2 · 3 · tier</t>
  </si>
  <si>
    <t>/classes/fighter/reels/2/3/weight</t>
  </si>
  <si>
    <t>reels · 2 · 3 · weight</t>
  </si>
  <si>
    <t>/classes/fighter/reels/2/4/type</t>
  </si>
  <si>
    <t>reels · 2 · 4 · type</t>
  </si>
  <si>
    <t>/classes/fighter/reels/2/4/tier</t>
  </si>
  <si>
    <t>reels · 2 · 4 · tier</t>
  </si>
  <si>
    <t>/classes/fighter/reels/2/4/weight</t>
  </si>
  <si>
    <t>reels · 2 · 4 · weight</t>
  </si>
  <si>
    <t>/classes/fighter/reels/2/5/type</t>
  </si>
  <si>
    <t>reels · 2 · 5 · type</t>
  </si>
  <si>
    <t>/classes/fighter/reels/2/5/tier</t>
  </si>
  <si>
    <t>reels · 2 · 5 · tier</t>
  </si>
  <si>
    <t>/classes/fighter/reels/2/5/weight</t>
  </si>
  <si>
    <t>reels · 2 · 5 · weight</t>
  </si>
  <si>
    <t>/classes/healer/reels/0/0/type</t>
  </si>
  <si>
    <t>/classes/healer/reels/0/0/tier</t>
  </si>
  <si>
    <t>/classes/healer/reels/0/0/weight</t>
  </si>
  <si>
    <t>/classes/healer/reels/0/1/type</t>
  </si>
  <si>
    <t>/classes/healer/reels/0/1/tier</t>
  </si>
  <si>
    <t>/classes/healer/reels/0/1/weight</t>
  </si>
  <si>
    <t>/classes/healer/reels/0/2/type</t>
  </si>
  <si>
    <t>/classes/healer/reels/0/2/tier</t>
  </si>
  <si>
    <t>/classes/healer/reels/0/2/weight</t>
  </si>
  <si>
    <t>/classes/healer/reels/0/3/type</t>
  </si>
  <si>
    <t>/classes/healer/reels/0/3/tier</t>
  </si>
  <si>
    <t>/classes/healer/reels/0/3/weight</t>
  </si>
  <si>
    <t>/classes/healer/reels/0/4/type</t>
  </si>
  <si>
    <t>/classes/healer/reels/0/4/tier</t>
  </si>
  <si>
    <t>/classes/healer/reels/0/4/weight</t>
  </si>
  <si>
    <t>/classes/healer/reels/0/5/type</t>
  </si>
  <si>
    <t>/classes/healer/reels/0/5/tier</t>
  </si>
  <si>
    <t>/classes/healer/reels/0/5/weight</t>
  </si>
  <si>
    <t>/classes/healer/reels/1/0/type</t>
  </si>
  <si>
    <t>/classes/healer/reels/1/0/tier</t>
  </si>
  <si>
    <t>/classes/healer/reels/1/0/weight</t>
  </si>
  <si>
    <t>/classes/healer/reels/1/1/type</t>
  </si>
  <si>
    <t>/classes/healer/reels/1/1/tier</t>
  </si>
  <si>
    <t>/classes/healer/reels/1/1/weight</t>
  </si>
  <si>
    <t>/classes/healer/reels/1/2/type</t>
  </si>
  <si>
    <t>/classes/healer/reels/1/2/tier</t>
  </si>
  <si>
    <t>/classes/healer/reels/1/2/weight</t>
  </si>
  <si>
    <t>/classes/healer/reels/1/3/type</t>
  </si>
  <si>
    <t>/classes/healer/reels/1/3/tier</t>
  </si>
  <si>
    <t>/classes/healer/reels/1/3/weight</t>
  </si>
  <si>
    <t>/classes/healer/reels/1/4/type</t>
  </si>
  <si>
    <t>/classes/healer/reels/1/4/tier</t>
  </si>
  <si>
    <t>/classes/healer/reels/1/4/weight</t>
  </si>
  <si>
    <t>/classes/healer/reels/1/5/type</t>
  </si>
  <si>
    <t>/classes/healer/reels/1/5/tier</t>
  </si>
  <si>
    <t>/classes/healer/reels/1/5/weight</t>
  </si>
  <si>
    <t>/classes/healer/reels/1/6/type</t>
  </si>
  <si>
    <t>/classes/healer/reels/1/6/tier</t>
  </si>
  <si>
    <t>/classes/healer/reels/1/6/weight</t>
  </si>
  <si>
    <t>/classes/healer/reels/1/6/job</t>
  </si>
  <si>
    <t>healer</t>
  </si>
  <si>
    <t>/classes/healer/reels/2/0/type</t>
  </si>
  <si>
    <t>/classes/healer/reels/2/0/tier</t>
  </si>
  <si>
    <t>/classes/healer/reels/2/0/weight</t>
  </si>
  <si>
    <t>/classes/healer/reels/2/1/type</t>
  </si>
  <si>
    <t>/classes/healer/reels/2/1/tier</t>
  </si>
  <si>
    <t>/classes/healer/reels/2/1/weight</t>
  </si>
  <si>
    <t>/classes/healer/reels/2/2/type</t>
  </si>
  <si>
    <t>/classes/healer/reels/2/2/tier</t>
  </si>
  <si>
    <t>/classes/healer/reels/2/2/weight</t>
  </si>
  <si>
    <t>/classes/healer/reels/2/3/type</t>
  </si>
  <si>
    <t>/classes/healer/reels/2/3/tier</t>
  </si>
  <si>
    <t>/classes/healer/reels/2/3/weight</t>
  </si>
  <si>
    <t>/classes/healer/reels/2/4/type</t>
  </si>
  <si>
    <t>/classes/healer/reels/2/4/tier</t>
  </si>
  <si>
    <t>/classes/healer/reels/2/4/weight</t>
  </si>
  <si>
    <t>/classes/healer/reels/2/5/type</t>
  </si>
  <si>
    <t>/classes/healer/reels/2/5/tier</t>
  </si>
  <si>
    <t>/classes/healer/reels/2/5/weight</t>
  </si>
  <si>
    <t>/classes/rogue/reels/0/0/type</t>
  </si>
  <si>
    <t>/classes/rogue/reels/0/0/tier</t>
  </si>
  <si>
    <t>/classes/rogue/reels/0/0/weight</t>
  </si>
  <si>
    <t>/classes/rogue/reels/0/1/type</t>
  </si>
  <si>
    <t>/classes/rogue/reels/0/1/tier</t>
  </si>
  <si>
    <t>/classes/rogue/reels/0/1/weight</t>
  </si>
  <si>
    <t>/classes/rogue/reels/0/2/type</t>
  </si>
  <si>
    <t>/classes/rogue/reels/0/2/tier</t>
  </si>
  <si>
    <t>/classes/rogue/reels/0/2/weight</t>
  </si>
  <si>
    <t>/classes/rogue/reels/0/3/type</t>
  </si>
  <si>
    <t>/classes/rogue/reels/0/3/tier</t>
  </si>
  <si>
    <t>/classes/rogue/reels/0/3/weight</t>
  </si>
  <si>
    <t>/classes/rogue/reels/0/4/type</t>
  </si>
  <si>
    <t>/classes/rogue/reels/0/4/tier</t>
  </si>
  <si>
    <t>/classes/rogue/reels/0/4/weight</t>
  </si>
  <si>
    <t>/classes/rogue/reels/0/5/type</t>
  </si>
  <si>
    <t>/classes/rogue/reels/0/5/tier</t>
  </si>
  <si>
    <t>/classes/rogue/reels/0/5/weight</t>
  </si>
  <si>
    <t>/classes/rogue/reels/1/0/type</t>
  </si>
  <si>
    <t>/classes/rogue/reels/1/0/tier</t>
  </si>
  <si>
    <t>/classes/rogue/reels/1/0/weight</t>
  </si>
  <si>
    <t>/classes/rogue/reels/1/1/type</t>
  </si>
  <si>
    <t>/classes/rogue/reels/1/1/tier</t>
  </si>
  <si>
    <t>/classes/rogue/reels/1/1/weight</t>
  </si>
  <si>
    <t>/classes/rogue/reels/1/2/type</t>
  </si>
  <si>
    <t>/classes/rogue/reels/1/2/tier</t>
  </si>
  <si>
    <t>/classes/rogue/reels/1/2/weight</t>
  </si>
  <si>
    <t>/classes/rogue/reels/1/3/type</t>
  </si>
  <si>
    <t>/classes/rogue/reels/1/3/tier</t>
  </si>
  <si>
    <t>/classes/rogue/reels/1/3/weight</t>
  </si>
  <si>
    <t>/classes/rogue/reels/1/4/type</t>
  </si>
  <si>
    <t>/classes/rogue/reels/1/4/tier</t>
  </si>
  <si>
    <t>/classes/rogue/reels/1/4/weight</t>
  </si>
  <si>
    <t>/classes/rogue/reels/1/5/type</t>
  </si>
  <si>
    <t>/classes/rogue/reels/1/5/tier</t>
  </si>
  <si>
    <t>/classes/rogue/reels/1/5/weight</t>
  </si>
  <si>
    <t>/classes/rogue/reels/1/6/type</t>
  </si>
  <si>
    <t>/classes/rogue/reels/1/6/tier</t>
  </si>
  <si>
    <t>/classes/rogue/reels/1/6/weight</t>
  </si>
  <si>
    <t>/classes/rogue/reels/1/6/job</t>
  </si>
  <si>
    <t>rogue</t>
  </si>
  <si>
    <t>/classes/rogue/reels/2/0/type</t>
  </si>
  <si>
    <t>/classes/rogue/reels/2/0/tier</t>
  </si>
  <si>
    <t>/classes/rogue/reels/2/0/weight</t>
  </si>
  <si>
    <t>/classes/rogue/reels/2/1/type</t>
  </si>
  <si>
    <t>/classes/rogue/reels/2/1/tier</t>
  </si>
  <si>
    <t>/classes/rogue/reels/2/1/weight</t>
  </si>
  <si>
    <t>/classes/rogue/reels/2/2/type</t>
  </si>
  <si>
    <t>/classes/rogue/reels/2/2/tier</t>
  </si>
  <si>
    <t>/classes/rogue/reels/2/2/weight</t>
  </si>
  <si>
    <t>/classes/rogue/reels/2/3/type</t>
  </si>
  <si>
    <t>/classes/rogue/reels/2/3/tier</t>
  </si>
  <si>
    <t>/classes/rogue/reels/2/3/weight</t>
  </si>
  <si>
    <t>/classes/rogue/reels/2/4/type</t>
  </si>
  <si>
    <t>/classes/rogue/reels/2/4/tier</t>
  </si>
  <si>
    <t>/classes/rogue/reels/2/4/weight</t>
  </si>
  <si>
    <t>/classes/rogue/reels/2/5/type</t>
  </si>
  <si>
    <t>/classes/rogue/reels/2/5/tier</t>
  </si>
  <si>
    <t>/classes/rogue/reels/2/5/weight</t>
  </si>
  <si>
    <t>/classes/mage/reels/0/0/type</t>
  </si>
  <si>
    <t>/classes/mage/reels/0/0/tier</t>
  </si>
  <si>
    <t>/classes/mage/reels/0/0/weight</t>
  </si>
  <si>
    <t>/classes/mage/reels/0/1/type</t>
  </si>
  <si>
    <t>/classes/mage/reels/0/1/tier</t>
  </si>
  <si>
    <t>/classes/mage/reels/0/1/weight</t>
  </si>
  <si>
    <t>/classes/mage/reels/0/2/type</t>
  </si>
  <si>
    <t>/classes/mage/reels/0/2/tier</t>
  </si>
  <si>
    <t>/classes/mage/reels/0/2/weight</t>
  </si>
  <si>
    <t>/classes/mage/reels/0/3/type</t>
  </si>
  <si>
    <t>/classes/mage/reels/0/3/tier</t>
  </si>
  <si>
    <t>/classes/mage/reels/0/3/weight</t>
  </si>
  <si>
    <t>/classes/mage/reels/0/4/type</t>
  </si>
  <si>
    <t>/classes/mage/reels/0/4/tier</t>
  </si>
  <si>
    <t>/classes/mage/reels/0/4/weight</t>
  </si>
  <si>
    <t>/classes/mage/reels/0/5/type</t>
  </si>
  <si>
    <t>/classes/mage/reels/0/5/tier</t>
  </si>
  <si>
    <t>/classes/mage/reels/0/5/weight</t>
  </si>
  <si>
    <t>/classes/mage/reels/1/0/type</t>
  </si>
  <si>
    <t>/classes/mage/reels/1/0/tier</t>
  </si>
  <si>
    <t>/classes/mage/reels/1/0/weight</t>
  </si>
  <si>
    <t>/classes/mage/reels/1/1/type</t>
  </si>
  <si>
    <t>/classes/mage/reels/1/1/tier</t>
  </si>
  <si>
    <t>/classes/mage/reels/1/1/weight</t>
  </si>
  <si>
    <t>/classes/mage/reels/1/2/type</t>
  </si>
  <si>
    <t>/classes/mage/reels/1/2/tier</t>
  </si>
  <si>
    <t>/classes/mage/reels/1/2/weight</t>
  </si>
  <si>
    <t>/classes/mage/reels/1/3/type</t>
  </si>
  <si>
    <t>/classes/mage/reels/1/3/tier</t>
  </si>
  <si>
    <t>/classes/mage/reels/1/3/weight</t>
  </si>
  <si>
    <t>/classes/mage/reels/1/4/type</t>
  </si>
  <si>
    <t>/classes/mage/reels/1/4/tier</t>
  </si>
  <si>
    <t>/classes/mage/reels/1/4/weight</t>
  </si>
  <si>
    <t>/classes/mage/reels/1/5/type</t>
  </si>
  <si>
    <t>/classes/mage/reels/1/5/tier</t>
  </si>
  <si>
    <t>/classes/mage/reels/1/5/weight</t>
  </si>
  <si>
    <t>/classes/mage/reels/1/6/type</t>
  </si>
  <si>
    <t>/classes/mage/reels/1/6/tier</t>
  </si>
  <si>
    <t>/classes/mage/reels/1/6/weight</t>
  </si>
  <si>
    <t>/classes/mage/reels/1/6/job</t>
  </si>
  <si>
    <t>mage</t>
  </si>
  <si>
    <t>/classes/mage/reels/2/0/type</t>
  </si>
  <si>
    <t>/classes/mage/reels/2/0/tier</t>
  </si>
  <si>
    <t>/classes/mage/reels/2/0/weight</t>
  </si>
  <si>
    <t>/classes/mage/reels/2/1/type</t>
  </si>
  <si>
    <t>/classes/mage/reels/2/1/tier</t>
  </si>
  <si>
    <t>/classes/mage/reels/2/1/weight</t>
  </si>
  <si>
    <t>/classes/mage/reels/2/2/type</t>
  </si>
  <si>
    <t>/classes/mage/reels/2/2/tier</t>
  </si>
  <si>
    <t>/classes/mage/reels/2/2/weight</t>
  </si>
  <si>
    <t>/classes/mage/reels/2/3/type</t>
  </si>
  <si>
    <t>/classes/mage/reels/2/3/tier</t>
  </si>
  <si>
    <t>/classes/mage/reels/2/3/weight</t>
  </si>
  <si>
    <t>/classes/mage/reels/2/4/type</t>
  </si>
  <si>
    <t>/classes/mage/reels/2/4/tier</t>
  </si>
  <si>
    <t>/classes/mage/reels/2/4/weight</t>
  </si>
  <si>
    <t>/classes/mage/reels/2/5/type</t>
  </si>
  <si>
    <t>/classes/mage/reels/2/5/tier</t>
  </si>
  <si>
    <t>/classes/mage/reels/2/5/weight</t>
  </si>
  <si>
    <t>/abilities/rogue/reel/0/type</t>
  </si>
  <si>
    <t>ability.flurry</t>
  </si>
  <si>
    <t>reel · 0 · type</t>
  </si>
  <si>
    <t>/abilities/rogue/reel/0/tier</t>
  </si>
  <si>
    <t>reel · 0 · tier</t>
  </si>
  <si>
    <t>/abilities/rogue/reel/0/weight</t>
  </si>
  <si>
    <t>reel · 0 · weight</t>
  </si>
  <si>
    <t>/abilities/rogue/reel/1/type</t>
  </si>
  <si>
    <t>reel · 1 · type</t>
  </si>
  <si>
    <t>/abilities/rogue/reel/1/tier</t>
  </si>
  <si>
    <t>reel · 1 · tier</t>
  </si>
  <si>
    <t>/abilities/rogue/reel/1/weight</t>
  </si>
  <si>
    <t>reel · 1 · weight</t>
  </si>
  <si>
    <t>/abilities/rogue/reel/2/type</t>
  </si>
  <si>
    <t>reel · 2 · type</t>
  </si>
  <si>
    <t>/abilities/rogue/reel/2/tier</t>
  </si>
  <si>
    <t>reel · 2 · tier</t>
  </si>
  <si>
    <t>/abilities/rogue/reel/2/weight</t>
  </si>
  <si>
    <t>reel · 2 · weight</t>
  </si>
  <si>
    <t>/eventReels/trap/id</t>
  </si>
  <si>
    <t>reel.event.trap</t>
  </si>
  <si>
    <t>/eventReels/trap/faces/0/type</t>
  </si>
  <si>
    <t>faces · 0 · type</t>
  </si>
  <si>
    <t>safe</t>
  </si>
  <si>
    <t>/eventReels/trap/faces/0/tier</t>
  </si>
  <si>
    <t>faces · 0 · tier</t>
  </si>
  <si>
    <t>/eventReels/trap/faces/0/weight</t>
  </si>
  <si>
    <t>faces · 0 · weight</t>
  </si>
  <si>
    <t>/eventReels/trap/faces/1/type</t>
  </si>
  <si>
    <t>faces · 1 · type</t>
  </si>
  <si>
    <t>/eventReels/trap/faces/1/tier</t>
  </si>
  <si>
    <t>faces · 1 · tier</t>
  </si>
  <si>
    <t>/eventReels/trap/faces/1/weight</t>
  </si>
  <si>
    <t>faces · 1 · weight</t>
  </si>
  <si>
    <t>/eventReels/trap/faces/2/type</t>
  </si>
  <si>
    <t>faces · 2 · type</t>
  </si>
  <si>
    <t>/eventReels/trap/faces/2/tier</t>
  </si>
  <si>
    <t>faces · 2 · tier</t>
  </si>
  <si>
    <t>/eventReels/trap/faces/2/weight</t>
  </si>
  <si>
    <t>faces · 2 · weight</t>
  </si>
  <si>
    <t>/eventReels/trap/faces/3/type</t>
  </si>
  <si>
    <t>faces · 3 · type</t>
  </si>
  <si>
    <t>trap</t>
  </si>
  <si>
    <t>/eventReels/trap/faces/3/tier</t>
  </si>
  <si>
    <t>faces · 3 · tier</t>
  </si>
  <si>
    <t>/eventReels/trap/faces/3/weight</t>
  </si>
  <si>
    <t>faces · 3 · weight</t>
  </si>
  <si>
    <t>/eventReels/trap/faces/4/type</t>
  </si>
  <si>
    <t>faces · 4 · type</t>
  </si>
  <si>
    <t>/eventReels/trap/faces/4/tier</t>
  </si>
  <si>
    <t>faces · 4 · tier</t>
  </si>
  <si>
    <t>/eventReels/trap/faces/4/weight</t>
  </si>
  <si>
    <t>faces · 4 · weight</t>
  </si>
  <si>
    <t>/eventReels/trap/faces/5/type</t>
  </si>
  <si>
    <t>faces · 5 · type</t>
  </si>
  <si>
    <t>/eventReels/trap/faces/5/tier</t>
  </si>
  <si>
    <t>faces · 5 · tier</t>
  </si>
  <si>
    <t>/eventReels/trap/faces/5/weight</t>
  </si>
  <si>
    <t>faces · 5 · weight</t>
  </si>
  <si>
    <t>/eventReels/inkBomb/id</t>
  </si>
  <si>
    <t>reel.event.inkBomb</t>
  </si>
  <si>
    <t>/eventReels/inkBomb/faces/0/type</t>
  </si>
  <si>
    <t>/eventReels/inkBomb/faces/0/tier</t>
  </si>
  <si>
    <t>/eventReels/inkBomb/faces/0/weight</t>
  </si>
  <si>
    <t>/eventReels/inkBomb/faces/1/type</t>
  </si>
  <si>
    <t>/eventReels/inkBomb/faces/1/tier</t>
  </si>
  <si>
    <t>/eventReels/inkBomb/faces/1/weight</t>
  </si>
  <si>
    <t>/eventReels/inkBomb/faces/2/type</t>
  </si>
  <si>
    <t>/eventReels/inkBomb/faces/2/tier</t>
  </si>
  <si>
    <t>/eventReels/inkBomb/faces/2/weight</t>
  </si>
  <si>
    <t>/eventReels/inkBomb/faces/3/type</t>
  </si>
  <si>
    <t>/eventReels/inkBomb/faces/3/tier</t>
  </si>
  <si>
    <t>/eventReels/inkBomb/faces/3/weight</t>
  </si>
  <si>
    <t>/eventReels/inkBomb/faces/4/type</t>
  </si>
  <si>
    <t>/eventReels/inkBomb/faces/4/tier</t>
  </si>
  <si>
    <t>/eventReels/inkBomb/faces/4/weight</t>
  </si>
  <si>
    <t>/eventReels/ruin/id</t>
  </si>
  <si>
    <t>reel.event.ruin</t>
  </si>
  <si>
    <t>/eventReels/ruin/faces/0/type</t>
  </si>
  <si>
    <t>coin</t>
  </si>
  <si>
    <t>/eventReels/ruin/faces/0/tier</t>
  </si>
  <si>
    <t>/eventReels/ruin/faces/0/weight</t>
  </si>
  <si>
    <t>/eventReels/ruin/faces/1/type</t>
  </si>
  <si>
    <t>/eventReels/ruin/faces/1/tier</t>
  </si>
  <si>
    <t>/eventReels/ruin/faces/1/weight</t>
  </si>
  <si>
    <t>/eventReels/ruin/faces/2/type</t>
  </si>
  <si>
    <t>/eventReels/ruin/faces/2/tier</t>
  </si>
  <si>
    <t>/eventReels/ruin/faces/2/weight</t>
  </si>
  <si>
    <t>/eventReels/ruin/faces/3/type</t>
  </si>
  <si>
    <t>/eventReels/ruin/faces/3/tier</t>
  </si>
  <si>
    <t>/eventReels/ruin/faces/3/weight</t>
  </si>
  <si>
    <t>/eventReels/ruin/faces/4/type</t>
  </si>
  <si>
    <t>/eventReels/ruin/faces/4/tier</t>
  </si>
  <si>
    <t>/eventReels/ruin/faces/4/weight</t>
  </si>
  <si>
    <t>/eventReels/ruin/faces/5/type</t>
  </si>
  <si>
    <t>/eventReels/ruin/faces/5/tier</t>
  </si>
  <si>
    <t>/eventReels/ruin/faces/5/weight</t>
  </si>
  <si>
    <t>/eventReels/well/id</t>
  </si>
  <si>
    <t>reel.event.well</t>
  </si>
  <si>
    <t>/eventReels/well/faces/0/type</t>
  </si>
  <si>
    <t>/eventReels/well/faces/0/tier</t>
  </si>
  <si>
    <t>/eventReels/well/faces/0/weight</t>
  </si>
  <si>
    <t>/eventReels/well/faces/1/type</t>
  </si>
  <si>
    <t>/eventReels/well/faces/1/tier</t>
  </si>
  <si>
    <t>/eventReels/well/faces/1/weight</t>
  </si>
  <si>
    <t>/eventReels/well/faces/2/type</t>
  </si>
  <si>
    <t>/eventReels/well/faces/2/tier</t>
  </si>
  <si>
    <t>/eventReels/well/faces/2/weight</t>
  </si>
  <si>
    <t>/eventReels/well/faces/3/type</t>
  </si>
  <si>
    <t>/eventReels/well/faces/3/tier</t>
  </si>
  <si>
    <t>/eventReels/well/faces/3/weight</t>
  </si>
  <si>
    <t>/eventReels/rockfall/id</t>
  </si>
  <si>
    <t>reel.event.rockfall</t>
  </si>
  <si>
    <t>/eventReels/rockfall/faces/0/type</t>
  </si>
  <si>
    <t>/eventReels/rockfall/faces/0/tier</t>
  </si>
  <si>
    <t>/eventReels/rockfall/faces/0/weight</t>
  </si>
  <si>
    <t>/eventReels/rockfall/faces/1/type</t>
  </si>
  <si>
    <t>/eventReels/rockfall/faces/1/tier</t>
  </si>
  <si>
    <t>/eventReels/rockfall/faces/1/weight</t>
  </si>
  <si>
    <t>/eventReels/rockfall/faces/2/type</t>
  </si>
  <si>
    <t>/eventReels/rockfall/faces/2/tier</t>
  </si>
  <si>
    <t>/eventReels/rockfall/faces/2/weight</t>
  </si>
  <si>
    <t>/reelSets/reel.enemy.skull/id</t>
  </si>
  <si>
    <t>reel.enemy.skull</t>
  </si>
  <si>
    <t>/reelSets/reel.enemy.skull/reels/0/0/type</t>
  </si>
  <si>
    <t>/reelSets/reel.enemy.skull/reels/0/0/tier</t>
  </si>
  <si>
    <t>/reelSets/reel.enemy.skull/reels/0/0/weight</t>
  </si>
  <si>
    <t>/reelSets/reel.enemy.skull/reels/0/1/type</t>
  </si>
  <si>
    <t>/reelSets/reel.enemy.skull/reels/0/1/tier</t>
  </si>
  <si>
    <t>/reelSets/reel.enemy.skull/reels/0/1/weight</t>
  </si>
  <si>
    <t>/reelSets/reel.enemy.skull/reels/0/2/type</t>
  </si>
  <si>
    <t>/reelSets/reel.enemy.skull/reels/0/2/tier</t>
  </si>
  <si>
    <t>/reelSets/reel.enemy.skull/reels/0/2/weight</t>
  </si>
  <si>
    <t>/reelSets/reel.enemy.skull/reels/0/3/type</t>
  </si>
  <si>
    <t>/reelSets/reel.enemy.skull/reels/0/3/tier</t>
  </si>
  <si>
    <t>/reelSets/reel.enemy.skull/reels/0/3/weight</t>
  </si>
  <si>
    <t>/reelSets/reel.enemy.skull/reels/0/4/type</t>
  </si>
  <si>
    <t>/reelSets/reel.enemy.skull/reels/0/4/tier</t>
  </si>
  <si>
    <t>/reelSets/reel.enemy.skull/reels/0/4/weight</t>
  </si>
  <si>
    <t>/reelSets/reel.enemy.skull/reels/0/5/type</t>
  </si>
  <si>
    <t>/reelSets/reel.enemy.skull/reels/0/5/tier</t>
  </si>
  <si>
    <t>/reelSets/reel.enemy.skull/reels/0/5/weight</t>
  </si>
  <si>
    <t>/reelSets/reel.enemy.skull/reels/1/0/type</t>
  </si>
  <si>
    <t>/reelSets/reel.enemy.skull/reels/1/0/tier</t>
  </si>
  <si>
    <t>/reelSets/reel.enemy.skull/reels/1/0/weight</t>
  </si>
  <si>
    <t>/reelSets/reel.enemy.skull/reels/1/1/type</t>
  </si>
  <si>
    <t>/reelSets/reel.enemy.skull/reels/1/1/tier</t>
  </si>
  <si>
    <t>/reelSets/reel.enemy.skull/reels/1/1/weight</t>
  </si>
  <si>
    <t>/reelSets/reel.enemy.skull/reels/1/2/type</t>
  </si>
  <si>
    <t>/reelSets/reel.enemy.skull/reels/1/2/tier</t>
  </si>
  <si>
    <t>/reelSets/reel.enemy.skull/reels/1/2/weight</t>
  </si>
  <si>
    <t>/reelSets/reel.enemy.skull/reels/1/3/type</t>
  </si>
  <si>
    <t>/reelSets/reel.enemy.skull/reels/1/3/tier</t>
  </si>
  <si>
    <t>/reelSets/reel.enemy.skull/reels/1/3/weight</t>
  </si>
  <si>
    <t>/reelSets/reel.enemy.skull/reels/1/4/type</t>
  </si>
  <si>
    <t>/reelSets/reel.enemy.skull/reels/1/4/tier</t>
  </si>
  <si>
    <t>/reelSets/reel.enemy.skull/reels/1/4/weight</t>
  </si>
  <si>
    <t>/reelSets/reel.enemy.skull/reels/1/5/type</t>
  </si>
  <si>
    <t>/reelSets/reel.enemy.skull/reels/1/5/tier</t>
  </si>
  <si>
    <t>/reelSets/reel.enemy.skull/reels/1/5/weight</t>
  </si>
  <si>
    <t>/reelSets/reel.enemy.skull/reels/2/0/type</t>
  </si>
  <si>
    <t>/reelSets/reel.enemy.skull/reels/2/0/tier</t>
  </si>
  <si>
    <t>/reelSets/reel.enemy.skull/reels/2/0/weight</t>
  </si>
  <si>
    <t>/reelSets/reel.enemy.skull/reels/2/1/type</t>
  </si>
  <si>
    <t>/reelSets/reel.enemy.skull/reels/2/1/tier</t>
  </si>
  <si>
    <t>/reelSets/reel.enemy.skull/reels/2/1/weight</t>
  </si>
  <si>
    <t>/reelSets/reel.enemy.skull/reels/2/2/type</t>
  </si>
  <si>
    <t>/reelSets/reel.enemy.skull/reels/2/2/tier</t>
  </si>
  <si>
    <t>/reelSets/reel.enemy.skull/reels/2/2/weight</t>
  </si>
  <si>
    <t>/reelSets/reel.enemy.skull/reels/2/3/type</t>
  </si>
  <si>
    <t>/reelSets/reel.enemy.skull/reels/2/3/tier</t>
  </si>
  <si>
    <t>/reelSets/reel.enemy.skull/reels/2/3/weight</t>
  </si>
  <si>
    <t>/reelSets/reel.enemy.skull/reels/2/4/type</t>
  </si>
  <si>
    <t>/reelSets/reel.enemy.skull/reels/2/4/tier</t>
  </si>
  <si>
    <t>/reelSets/reel.enemy.skull/reels/2/4/weight</t>
  </si>
  <si>
    <t>/reelSets/reel.enemy.skull/reels/2/5/type</t>
  </si>
  <si>
    <t>/reelSets/reel.enemy.skull/reels/2/5/tier</t>
  </si>
  <si>
    <t>/reelSets/reel.enemy.skull/reels/2/5/weight</t>
  </si>
  <si>
    <t>/reelSets/reel.enemy.rat/id</t>
  </si>
  <si>
    <t>reel.enemy.rat</t>
  </si>
  <si>
    <t>/reelSets/reel.enemy.rat/reels/0/0/type</t>
  </si>
  <si>
    <t>/reelSets/reel.enemy.rat/reels/0/0/tier</t>
  </si>
  <si>
    <t>/reelSets/reel.enemy.rat/reels/0/0/weight</t>
  </si>
  <si>
    <t>/reelSets/reel.enemy.rat/reels/0/1/type</t>
  </si>
  <si>
    <t>/reelSets/reel.enemy.rat/reels/0/1/tier</t>
  </si>
  <si>
    <t>/reelSets/reel.enemy.rat/reels/0/1/weight</t>
  </si>
  <si>
    <t>/reelSets/reel.enemy.rat/reels/0/2/type</t>
  </si>
  <si>
    <t>/reelSets/reel.enemy.rat/reels/0/2/tier</t>
  </si>
  <si>
    <t>/reelSets/reel.enemy.rat/reels/0/2/weight</t>
  </si>
  <si>
    <t>/reelSets/reel.enemy.rat/reels/0/3/type</t>
  </si>
  <si>
    <t>/reelSets/reel.enemy.rat/reels/0/3/tier</t>
  </si>
  <si>
    <t>/reelSets/reel.enemy.rat/reels/0/3/weight</t>
  </si>
  <si>
    <t>/reelSets/reel.enemy.rat/reels/0/4/type</t>
  </si>
  <si>
    <t>/reelSets/reel.enemy.rat/reels/0/4/tier</t>
  </si>
  <si>
    <t>/reelSets/reel.enemy.rat/reels/0/4/weight</t>
  </si>
  <si>
    <t>/reelSets/reel.enemy.rat/reels/0/5/type</t>
  </si>
  <si>
    <t>miss</t>
  </si>
  <si>
    <t>/reelSets/reel.enemy.rat/reels/0/5/tier</t>
  </si>
  <si>
    <t>/reelSets/reel.enemy.rat/reels/0/5/weight</t>
  </si>
  <si>
    <t>/reelSets/reel.enemy.rat/reels/1/0/type</t>
  </si>
  <si>
    <t>/reelSets/reel.enemy.rat/reels/1/0/tier</t>
  </si>
  <si>
    <t>/reelSets/reel.enemy.rat/reels/1/0/weight</t>
  </si>
  <si>
    <t>/reelSets/reel.enemy.rat/reels/1/1/type</t>
  </si>
  <si>
    <t>/reelSets/reel.enemy.rat/reels/1/1/tier</t>
  </si>
  <si>
    <t>/reelSets/reel.enemy.rat/reels/1/1/weight</t>
  </si>
  <si>
    <t>/reelSets/reel.enemy.rat/reels/1/2/type</t>
  </si>
  <si>
    <t>/reelSets/reel.enemy.rat/reels/1/2/tier</t>
  </si>
  <si>
    <t>/reelSets/reel.enemy.rat/reels/1/2/weight</t>
  </si>
  <si>
    <t>/reelSets/reel.enemy.rat/reels/1/3/type</t>
  </si>
  <si>
    <t>/reelSets/reel.enemy.rat/reels/1/3/tier</t>
  </si>
  <si>
    <t>/reelSets/reel.enemy.rat/reels/1/3/weight</t>
  </si>
  <si>
    <t>/reelSets/reel.enemy.rat/reels/1/4/type</t>
  </si>
  <si>
    <t>/reelSets/reel.enemy.rat/reels/1/4/tier</t>
  </si>
  <si>
    <t>/reelSets/reel.enemy.rat/reels/1/4/weight</t>
  </si>
  <si>
    <t>/reelSets/reel.enemy.rat/reels/1/5/type</t>
  </si>
  <si>
    <t>/reelSets/reel.enemy.rat/reels/1/5/tier</t>
  </si>
  <si>
    <t>/reelSets/reel.enemy.rat/reels/1/5/weight</t>
  </si>
  <si>
    <t>/reelSets/reel.enemy.rat/reels/2/0/type</t>
  </si>
  <si>
    <t>/reelSets/reel.enemy.rat/reels/2/0/tier</t>
  </si>
  <si>
    <t>/reelSets/reel.enemy.rat/reels/2/0/weight</t>
  </si>
  <si>
    <t>/reelSets/reel.enemy.rat/reels/2/1/type</t>
  </si>
  <si>
    <t>/reelSets/reel.enemy.rat/reels/2/1/tier</t>
  </si>
  <si>
    <t>/reelSets/reel.enemy.rat/reels/2/1/weight</t>
  </si>
  <si>
    <t>/reelSets/reel.enemy.rat/reels/2/2/type</t>
  </si>
  <si>
    <t>/reelSets/reel.enemy.rat/reels/2/2/tier</t>
  </si>
  <si>
    <t>/reelSets/reel.enemy.rat/reels/2/2/weight</t>
  </si>
  <si>
    <t>/reelSets/reel.enemy.rat/reels/2/3/type</t>
  </si>
  <si>
    <t>/reelSets/reel.enemy.rat/reels/2/3/tier</t>
  </si>
  <si>
    <t>/reelSets/reel.enemy.rat/reels/2/3/weight</t>
  </si>
  <si>
    <t>/reelSets/reel.enemy.rat/reels/2/4/type</t>
  </si>
  <si>
    <t>/reelSets/reel.enemy.rat/reels/2/4/tier</t>
  </si>
  <si>
    <t>/reelSets/reel.enemy.rat/reels/2/4/weight</t>
  </si>
  <si>
    <t>/reelSets/reel.enemy.rat/reels/2/5/type</t>
  </si>
  <si>
    <t>/reelSets/reel.enemy.rat/reels/2/5/tier</t>
  </si>
  <si>
    <t>/reelSets/reel.enemy.rat/reels/2/5/weight</t>
  </si>
  <si>
    <t>/reelSets/reel.enemy.ghost/id</t>
  </si>
  <si>
    <t>reel.enemy.ghost</t>
  </si>
  <si>
    <t>/reelSets/reel.enemy.ghost/reels/0/0/type</t>
  </si>
  <si>
    <t>/reelSets/reel.enemy.ghost/reels/0/0/tier</t>
  </si>
  <si>
    <t>/reelSets/reel.enemy.ghost/reels/0/0/weight</t>
  </si>
  <si>
    <t>/reelSets/reel.enemy.ghost/reels/0/1/type</t>
  </si>
  <si>
    <t>/reelSets/reel.enemy.ghost/reels/0/1/tier</t>
  </si>
  <si>
    <t>/reelSets/reel.enemy.ghost/reels/0/1/weight</t>
  </si>
  <si>
    <t>/reelSets/reel.enemy.ghost/reels/0/2/type</t>
  </si>
  <si>
    <t>/reelSets/reel.enemy.ghost/reels/0/2/tier</t>
  </si>
  <si>
    <t>/reelSets/reel.enemy.ghost/reels/0/2/weight</t>
  </si>
  <si>
    <t>/reelSets/reel.enemy.ghost/reels/0/3/type</t>
  </si>
  <si>
    <t>/reelSets/reel.enemy.ghost/reels/0/3/tier</t>
  </si>
  <si>
    <t>/reelSets/reel.enemy.ghost/reels/0/3/weight</t>
  </si>
  <si>
    <t>/reelSets/reel.enemy.ghost/reels/0/4/type</t>
  </si>
  <si>
    <t>/reelSets/reel.enemy.ghost/reels/0/4/tier</t>
  </si>
  <si>
    <t>/reelSets/reel.enemy.ghost/reels/0/4/weight</t>
  </si>
  <si>
    <t>/reelSets/reel.enemy.ghost/reels/0/5/type</t>
  </si>
  <si>
    <t>/reelSets/reel.enemy.ghost/reels/0/5/tier</t>
  </si>
  <si>
    <t>/reelSets/reel.enemy.ghost/reels/0/5/weight</t>
  </si>
  <si>
    <t>/reelSets/reel.enemy.ghost/reels/1/0/type</t>
  </si>
  <si>
    <t>/reelSets/reel.enemy.ghost/reels/1/0/tier</t>
  </si>
  <si>
    <t>/reelSets/reel.enemy.ghost/reels/1/0/weight</t>
  </si>
  <si>
    <t>/reelSets/reel.enemy.ghost/reels/1/1/type</t>
  </si>
  <si>
    <t>/reelSets/reel.enemy.ghost/reels/1/1/tier</t>
  </si>
  <si>
    <t>/reelSets/reel.enemy.ghost/reels/1/1/weight</t>
  </si>
  <si>
    <t>/reelSets/reel.enemy.ghost/reels/1/2/type</t>
  </si>
  <si>
    <t>/reelSets/reel.enemy.ghost/reels/1/2/tier</t>
  </si>
  <si>
    <t>/reelSets/reel.enemy.ghost/reels/1/2/weight</t>
  </si>
  <si>
    <t>/reelSets/reel.enemy.ghost/reels/1/3/type</t>
  </si>
  <si>
    <t>/reelSets/reel.enemy.ghost/reels/1/3/tier</t>
  </si>
  <si>
    <t>/reelSets/reel.enemy.ghost/reels/1/3/weight</t>
  </si>
  <si>
    <t>/reelSets/reel.enemy.ghost/reels/1/4/type</t>
  </si>
  <si>
    <t>/reelSets/reel.enemy.ghost/reels/1/4/tier</t>
  </si>
  <si>
    <t>/reelSets/reel.enemy.ghost/reels/1/4/weight</t>
  </si>
  <si>
    <t>/reelSets/reel.enemy.ghost/reels/1/5/type</t>
  </si>
  <si>
    <t>/reelSets/reel.enemy.ghost/reels/1/5/tier</t>
  </si>
  <si>
    <t>/reelSets/reel.enemy.ghost/reels/1/5/weight</t>
  </si>
  <si>
    <t>/reelSets/reel.enemy.ghost/reels/2/0/type</t>
  </si>
  <si>
    <t>/reelSets/reel.enemy.ghost/reels/2/0/tier</t>
  </si>
  <si>
    <t>/reelSets/reel.enemy.ghost/reels/2/0/weight</t>
  </si>
  <si>
    <t>/reelSets/reel.enemy.ghost/reels/2/1/type</t>
  </si>
  <si>
    <t>/reelSets/reel.enemy.ghost/reels/2/1/tier</t>
  </si>
  <si>
    <t>/reelSets/reel.enemy.ghost/reels/2/1/weight</t>
  </si>
  <si>
    <t>/reelSets/reel.enemy.ghost/reels/2/2/type</t>
  </si>
  <si>
    <t>/reelSets/reel.enemy.ghost/reels/2/2/tier</t>
  </si>
  <si>
    <t>/reelSets/reel.enemy.ghost/reels/2/2/weight</t>
  </si>
  <si>
    <t>/reelSets/reel.enemy.ghost/reels/2/3/type</t>
  </si>
  <si>
    <t>/reelSets/reel.enemy.ghost/reels/2/3/tier</t>
  </si>
  <si>
    <t>/reelSets/reel.enemy.ghost/reels/2/3/weight</t>
  </si>
  <si>
    <t>/reelSets/reel.enemy.ghost/reels/2/4/type</t>
  </si>
  <si>
    <t>/reelSets/reel.enemy.ghost/reels/2/4/tier</t>
  </si>
  <si>
    <t>/reelSets/reel.enemy.ghost/reels/2/4/weight</t>
  </si>
  <si>
    <t>/reelSets/reel.enemy.ghost/reels/2/5/type</t>
  </si>
  <si>
    <t>/reelSets/reel.enemy.ghost/reels/2/5/tier</t>
  </si>
  <si>
    <t>/reelSets/reel.enemy.ghost/reels/2/5/weight</t>
  </si>
  <si>
    <t>/reelSets/reel.enemy.slime/id</t>
  </si>
  <si>
    <t>reel.enemy.slime</t>
  </si>
  <si>
    <t>/reelSets/reel.enemy.slime/reels/0/0/type</t>
  </si>
  <si>
    <t>/reelSets/reel.enemy.slime/reels/0/0/tier</t>
  </si>
  <si>
    <t>/reelSets/reel.enemy.slime/reels/0/0/weight</t>
  </si>
  <si>
    <t>/reelSets/reel.enemy.slime/reels/0/1/type</t>
  </si>
  <si>
    <t>/reelSets/reel.enemy.slime/reels/0/1/tier</t>
  </si>
  <si>
    <t>/reelSets/reel.enemy.slime/reels/0/1/weight</t>
  </si>
  <si>
    <t>/reelSets/reel.enemy.slime/reels/0/2/type</t>
  </si>
  <si>
    <t>/reelSets/reel.enemy.slime/reels/0/2/tier</t>
  </si>
  <si>
    <t>/reelSets/reel.enemy.slime/reels/0/2/weight</t>
  </si>
  <si>
    <t>/reelSets/reel.enemy.slime/reels/0/3/type</t>
  </si>
  <si>
    <t>/reelSets/reel.enemy.slime/reels/0/3/tier</t>
  </si>
  <si>
    <t>/reelSets/reel.enemy.slime/reels/0/3/weight</t>
  </si>
  <si>
    <t>/reelSets/reel.enemy.slime/reels/0/4/type</t>
  </si>
  <si>
    <t>/reelSets/reel.enemy.slime/reels/0/4/tier</t>
  </si>
  <si>
    <t>/reelSets/reel.enemy.slime/reels/0/4/weight</t>
  </si>
  <si>
    <t>/reelSets/reel.enemy.slime/reels/0/5/type</t>
  </si>
  <si>
    <t>/reelSets/reel.enemy.slime/reels/0/5/tier</t>
  </si>
  <si>
    <t>/reelSets/reel.enemy.slime/reels/0/5/weight</t>
  </si>
  <si>
    <t>/reelSets/reel.enemy.slime/reels/1/0/type</t>
  </si>
  <si>
    <t>/reelSets/reel.enemy.slime/reels/1/0/tier</t>
  </si>
  <si>
    <t>/reelSets/reel.enemy.slime/reels/1/0/weight</t>
  </si>
  <si>
    <t>/reelSets/reel.enemy.slime/reels/1/1/type</t>
  </si>
  <si>
    <t>/reelSets/reel.enemy.slime/reels/1/1/tier</t>
  </si>
  <si>
    <t>/reelSets/reel.enemy.slime/reels/1/1/weight</t>
  </si>
  <si>
    <t>/reelSets/reel.enemy.slime/reels/1/2/type</t>
  </si>
  <si>
    <t>/reelSets/reel.enemy.slime/reels/1/2/tier</t>
  </si>
  <si>
    <t>/reelSets/reel.enemy.slime/reels/1/2/weight</t>
  </si>
  <si>
    <t>/reelSets/reel.enemy.slime/reels/1/3/type</t>
  </si>
  <si>
    <t>/reelSets/reel.enemy.slime/reels/1/3/tier</t>
  </si>
  <si>
    <t>/reelSets/reel.enemy.slime/reels/1/3/weight</t>
  </si>
  <si>
    <t>/reelSets/reel.enemy.slime/reels/1/4/type</t>
  </si>
  <si>
    <t>/reelSets/reel.enemy.slime/reels/1/4/tier</t>
  </si>
  <si>
    <t>/reelSets/reel.enemy.slime/reels/1/4/weight</t>
  </si>
  <si>
    <t>/reelSets/reel.enemy.slime/reels/1/5/type</t>
  </si>
  <si>
    <t>/reelSets/reel.enemy.slime/reels/1/5/tier</t>
  </si>
  <si>
    <t>/reelSets/reel.enemy.slime/reels/1/5/weight</t>
  </si>
  <si>
    <t>/reelSets/reel.enemy.slime/reels/2/0/type</t>
  </si>
  <si>
    <t>/reelSets/reel.enemy.slime/reels/2/0/tier</t>
  </si>
  <si>
    <t>/reelSets/reel.enemy.slime/reels/2/0/weight</t>
  </si>
  <si>
    <t>/reelSets/reel.enemy.slime/reels/2/1/type</t>
  </si>
  <si>
    <t>/reelSets/reel.enemy.slime/reels/2/1/tier</t>
  </si>
  <si>
    <t>/reelSets/reel.enemy.slime/reels/2/1/weight</t>
  </si>
  <si>
    <t>/reelSets/reel.enemy.slime/reels/2/2/type</t>
  </si>
  <si>
    <t>/reelSets/reel.enemy.slime/reels/2/2/tier</t>
  </si>
  <si>
    <t>/reelSets/reel.enemy.slime/reels/2/2/weight</t>
  </si>
  <si>
    <t>/reelSets/reel.enemy.slime/reels/2/3/type</t>
  </si>
  <si>
    <t>/reelSets/reel.enemy.slime/reels/2/3/tier</t>
  </si>
  <si>
    <t>/reelSets/reel.enemy.slime/reels/2/3/weight</t>
  </si>
  <si>
    <t>/reelSets/reel.enemy.slime/reels/2/4/type</t>
  </si>
  <si>
    <t>/reelSets/reel.enemy.slime/reels/2/4/tier</t>
  </si>
  <si>
    <t>/reelSets/reel.enemy.slime/reels/2/4/weight</t>
  </si>
  <si>
    <t>/reelSets/reel.enemy.slime/reels/2/5/type</t>
  </si>
  <si>
    <t>/reelSets/reel.enemy.slime/reels/2/5/tier</t>
  </si>
  <si>
    <t>/reelSets/reel.enemy.slime/reels/2/5/weight</t>
  </si>
  <si>
    <t>/reelSets/reel.enemy.enemy-ash-horned-fiend/id</t>
  </si>
  <si>
    <t>reel.enemy.enemy-ash-horned-fiend</t>
  </si>
  <si>
    <t>/reelSets/reel.enemy.enemy-ash-horned-fiend/reels/0/0/type</t>
  </si>
  <si>
    <t>/reelSets/reel.enemy.enemy-ash-horned-fiend/reels/0/0/tier</t>
  </si>
  <si>
    <t>/reelSets/reel.enemy.enemy-ash-horned-fiend/reels/0/0/weight</t>
  </si>
  <si>
    <t>/reelSets/reel.enemy.enemy-ash-horned-fiend/reels/0/1/type</t>
  </si>
  <si>
    <t>/reelSets/reel.enemy.enemy-ash-horned-fiend/reels/0/1/tier</t>
  </si>
  <si>
    <t>/reelSets/reel.enemy.enemy-ash-horned-fiend/reels/0/1/weight</t>
  </si>
  <si>
    <t>/reelSets/reel.enemy.enemy-ash-horned-fiend/reels/0/2/type</t>
  </si>
  <si>
    <t>/reelSets/reel.enemy.enemy-ash-horned-fiend/reels/0/2/tier</t>
  </si>
  <si>
    <t>/reelSets/reel.enemy.enemy-ash-horned-fiend/reels/0/2/weight</t>
  </si>
  <si>
    <t>/reelSets/reel.enemy.enemy-ash-horned-fiend/reels/0/3/type</t>
  </si>
  <si>
    <t>/reelSets/reel.enemy.enemy-ash-horned-fiend/reels/0/3/tier</t>
  </si>
  <si>
    <t>/reelSets/reel.enemy.enemy-ash-horned-fiend/reels/0/3/weight</t>
  </si>
  <si>
    <t>/reelSets/reel.enemy.enemy-ash-horned-fiend/reels/0/4/type</t>
  </si>
  <si>
    <t>/reelSets/reel.enemy.enemy-ash-horned-fiend/reels/0/4/tier</t>
  </si>
  <si>
    <t>/reelSets/reel.enemy.enemy-ash-horned-fiend/reels/0/4/weight</t>
  </si>
  <si>
    <t>/reelSets/reel.enemy.enemy-ash-horned-fiend/reels/0/5/type</t>
  </si>
  <si>
    <t>/reelSets/reel.enemy.enemy-ash-horned-fiend/reels/0/5/tier</t>
  </si>
  <si>
    <t>/reelSets/reel.enemy.enemy-ash-horned-fiend/reels/0/5/weight</t>
  </si>
  <si>
    <t>/reelSets/reel.enemy.enemy-ash-horned-fiend/reels/1/0/type</t>
  </si>
  <si>
    <t>/reelSets/reel.enemy.enemy-ash-horned-fiend/reels/1/0/tier</t>
  </si>
  <si>
    <t>/reelSets/reel.enemy.enemy-ash-horned-fiend/reels/1/0/weight</t>
  </si>
  <si>
    <t>/reelSets/reel.enemy.enemy-ash-horned-fiend/reels/1/1/type</t>
  </si>
  <si>
    <t>/reelSets/reel.enemy.enemy-ash-horned-fiend/reels/1/1/tier</t>
  </si>
  <si>
    <t>/reelSets/reel.enemy.enemy-ash-horned-fiend/reels/1/1/weight</t>
  </si>
  <si>
    <t>/reelSets/reel.enemy.enemy-ash-horned-fiend/reels/1/2/type</t>
  </si>
  <si>
    <t>/reelSets/reel.enemy.enemy-ash-horned-fiend/reels/1/2/tier</t>
  </si>
  <si>
    <t>/reelSets/reel.enemy.enemy-ash-horned-fiend/reels/1/2/weight</t>
  </si>
  <si>
    <t>/reelSets/reel.enemy.enemy-ash-horned-fiend/reels/1/3/type</t>
  </si>
  <si>
    <t>/reelSets/reel.enemy.enemy-ash-horned-fiend/reels/1/3/tier</t>
  </si>
  <si>
    <t>/reelSets/reel.enemy.enemy-ash-horned-fiend/reels/1/3/weight</t>
  </si>
  <si>
    <t>/reelSets/reel.enemy.enemy-ash-horned-fiend/reels/1/4/type</t>
  </si>
  <si>
    <t>/reelSets/reel.enemy.enemy-ash-horned-fiend/reels/1/4/tier</t>
  </si>
  <si>
    <t>/reelSets/reel.enemy.enemy-ash-horned-fiend/reels/1/4/weight</t>
  </si>
  <si>
    <t>/reelSets/reel.enemy.enemy-ash-horned-fiend/reels/1/5/type</t>
  </si>
  <si>
    <t>/reelSets/reel.enemy.enemy-ash-horned-fiend/reels/1/5/tier</t>
  </si>
  <si>
    <t>/reelSets/reel.enemy.enemy-ash-horned-fiend/reels/1/5/weight</t>
  </si>
  <si>
    <t>/reelSets/reel.enemy.enemy-ash-horned-fiend/reels/2/0/type</t>
  </si>
  <si>
    <t>/reelSets/reel.enemy.enemy-ash-horned-fiend/reels/2/0/tier</t>
  </si>
  <si>
    <t>/reelSets/reel.enemy.enemy-ash-horned-fiend/reels/2/0/weight</t>
  </si>
  <si>
    <t>/reelSets/reel.enemy.enemy-ash-horned-fiend/reels/2/1/type</t>
  </si>
  <si>
    <t>/reelSets/reel.enemy.enemy-ash-horned-fiend/reels/2/1/tier</t>
  </si>
  <si>
    <t>/reelSets/reel.enemy.enemy-ash-horned-fiend/reels/2/1/weight</t>
  </si>
  <si>
    <t>/reelSets/reel.enemy.enemy-ash-horned-fiend/reels/2/2/type</t>
  </si>
  <si>
    <t>/reelSets/reel.enemy.enemy-ash-horned-fiend/reels/2/2/tier</t>
  </si>
  <si>
    <t>/reelSets/reel.enemy.enemy-ash-horned-fiend/reels/2/2/weight</t>
  </si>
  <si>
    <t>/reelSets/reel.enemy.enemy-ash-horned-fiend/reels/2/3/type</t>
  </si>
  <si>
    <t>/reelSets/reel.enemy.enemy-ash-horned-fiend/reels/2/3/tier</t>
  </si>
  <si>
    <t>/reelSets/reel.enemy.enemy-ash-horned-fiend/reels/2/3/weight</t>
  </si>
  <si>
    <t>/reelSets/reel.enemy.enemy-ash-horned-fiend/reels/2/4/type</t>
  </si>
  <si>
    <t>/reelSets/reel.enemy.enemy-ash-horned-fiend/reels/2/4/tier</t>
  </si>
  <si>
    <t>/reelSets/reel.enemy.enemy-ash-horned-fiend/reels/2/4/weight</t>
  </si>
  <si>
    <t>/reelSets/reel.enemy.enemy-ash-horned-fiend/reels/2/5/type</t>
  </si>
  <si>
    <t>/reelSets/reel.enemy.enemy-ash-horned-fiend/reels/2/5/tier</t>
  </si>
  <si>
    <t>/reelSets/reel.enemy.enemy-ash-horned-fiend/reels/2/5/weight</t>
  </si>
  <si>
    <t>/reelSets/reel.enemy.enemy-hollow-cantor/id</t>
  </si>
  <si>
    <t>reel.enemy.enemy-hollow-cantor</t>
  </si>
  <si>
    <t>/reelSets/reel.enemy.enemy-hollow-cantor/reels/0/0/type</t>
  </si>
  <si>
    <t>/reelSets/reel.enemy.enemy-hollow-cantor/reels/0/0/tier</t>
  </si>
  <si>
    <t>/reelSets/reel.enemy.enemy-hollow-cantor/reels/0/0/weight</t>
  </si>
  <si>
    <t>/reelSets/reel.enemy.enemy-hollow-cantor/reels/0/1/type</t>
  </si>
  <si>
    <t>/reelSets/reel.enemy.enemy-hollow-cantor/reels/0/1/tier</t>
  </si>
  <si>
    <t>/reelSets/reel.enemy.enemy-hollow-cantor/reels/0/1/weight</t>
  </si>
  <si>
    <t>/reelSets/reel.enemy.enemy-hollow-cantor/reels/0/2/type</t>
  </si>
  <si>
    <t>/reelSets/reel.enemy.enemy-hollow-cantor/reels/0/2/tier</t>
  </si>
  <si>
    <t>/reelSets/reel.enemy.enemy-hollow-cantor/reels/0/2/weight</t>
  </si>
  <si>
    <t>/reelSets/reel.enemy.enemy-hollow-cantor/reels/0/3/type</t>
  </si>
  <si>
    <t>/reelSets/reel.enemy.enemy-hollow-cantor/reels/0/3/tier</t>
  </si>
  <si>
    <t>/reelSets/reel.enemy.enemy-hollow-cantor/reels/0/3/weight</t>
  </si>
  <si>
    <t>/reelSets/reel.enemy.enemy-hollow-cantor/reels/0/4/type</t>
  </si>
  <si>
    <t>/reelSets/reel.enemy.enemy-hollow-cantor/reels/0/4/tier</t>
  </si>
  <si>
    <t>/reelSets/reel.enemy.enemy-hollow-cantor/reels/0/4/weight</t>
  </si>
  <si>
    <t>/reelSets/reel.enemy.enemy-hollow-cantor/reels/0/5/type</t>
  </si>
  <si>
    <t>/reelSets/reel.enemy.enemy-hollow-cantor/reels/0/5/tier</t>
  </si>
  <si>
    <t>/reelSets/reel.enemy.enemy-hollow-cantor/reels/0/5/weight</t>
  </si>
  <si>
    <t>/reelSets/reel.enemy.enemy-hollow-cantor/reels/1/0/type</t>
  </si>
  <si>
    <t>/reelSets/reel.enemy.enemy-hollow-cantor/reels/1/0/tier</t>
  </si>
  <si>
    <t>/reelSets/reel.enemy.enemy-hollow-cantor/reels/1/0/weight</t>
  </si>
  <si>
    <t>/reelSets/reel.enemy.enemy-hollow-cantor/reels/1/1/type</t>
  </si>
  <si>
    <t>/reelSets/reel.enemy.enemy-hollow-cantor/reels/1/1/tier</t>
  </si>
  <si>
    <t>/reelSets/reel.enemy.enemy-hollow-cantor/reels/1/1/weight</t>
  </si>
  <si>
    <t>/reelSets/reel.enemy.enemy-hollow-cantor/reels/1/2/type</t>
  </si>
  <si>
    <t>/reelSets/reel.enemy.enemy-hollow-cantor/reels/1/2/tier</t>
  </si>
  <si>
    <t>/reelSets/reel.enemy.enemy-hollow-cantor/reels/1/2/weight</t>
  </si>
  <si>
    <t>/reelSets/reel.enemy.enemy-hollow-cantor/reels/1/3/type</t>
  </si>
  <si>
    <t>/reelSets/reel.enemy.enemy-hollow-cantor/reels/1/3/tier</t>
  </si>
  <si>
    <t>/reelSets/reel.enemy.enemy-hollow-cantor/reels/1/3/weight</t>
  </si>
  <si>
    <t>/reelSets/reel.enemy.enemy-hollow-cantor/reels/1/4/type</t>
  </si>
  <si>
    <t>/reelSets/reel.enemy.enemy-hollow-cantor/reels/1/4/tier</t>
  </si>
  <si>
    <t>/reelSets/reel.enemy.enemy-hollow-cantor/reels/1/4/weight</t>
  </si>
  <si>
    <t>/reelSets/reel.enemy.enemy-hollow-cantor/reels/1/5/type</t>
  </si>
  <si>
    <t>/reelSets/reel.enemy.enemy-hollow-cantor/reels/1/5/tier</t>
  </si>
  <si>
    <t>/reelSets/reel.enemy.enemy-hollow-cantor/reels/1/5/weight</t>
  </si>
  <si>
    <t>/reelSets/reel.enemy.enemy-hollow-cantor/reels/2/0/type</t>
  </si>
  <si>
    <t>/reelSets/reel.enemy.enemy-hollow-cantor/reels/2/0/tier</t>
  </si>
  <si>
    <t>/reelSets/reel.enemy.enemy-hollow-cantor/reels/2/0/weight</t>
  </si>
  <si>
    <t>/reelSets/reel.enemy.enemy-hollow-cantor/reels/2/1/type</t>
  </si>
  <si>
    <t>/reelSets/reel.enemy.enemy-hollow-cantor/reels/2/1/tier</t>
  </si>
  <si>
    <t>/reelSets/reel.enemy.enemy-hollow-cantor/reels/2/1/weight</t>
  </si>
  <si>
    <t>/reelSets/reel.enemy.enemy-hollow-cantor/reels/2/2/type</t>
  </si>
  <si>
    <t>/reelSets/reel.enemy.enemy-hollow-cantor/reels/2/2/tier</t>
  </si>
  <si>
    <t>/reelSets/reel.enemy.enemy-hollow-cantor/reels/2/2/weight</t>
  </si>
  <si>
    <t>/reelSets/reel.enemy.enemy-hollow-cantor/reels/2/3/type</t>
  </si>
  <si>
    <t>/reelSets/reel.enemy.enemy-hollow-cantor/reels/2/3/tier</t>
  </si>
  <si>
    <t>/reelSets/reel.enemy.enemy-hollow-cantor/reels/2/3/weight</t>
  </si>
  <si>
    <t>/reelSets/reel.enemy.enemy-hollow-cantor/reels/2/4/type</t>
  </si>
  <si>
    <t>/reelSets/reel.enemy.enemy-hollow-cantor/reels/2/4/tier</t>
  </si>
  <si>
    <t>/reelSets/reel.enemy.enemy-hollow-cantor/reels/2/4/weight</t>
  </si>
  <si>
    <t>/reelSets/reel.enemy.enemy-hollow-cantor/reels/2/5/type</t>
  </si>
  <si>
    <t>/reelSets/reel.enemy.enemy-hollow-cantor/reels/2/5/tier</t>
  </si>
  <si>
    <t>/reelSets/reel.enemy.enemy-hollow-cantor/reels/2/5/weight</t>
  </si>
  <si>
    <t>/items/potion/name</t>
  </si>
  <si>
    <t>item.potion</t>
  </si>
  <si>
    <t>Healing tonic</t>
  </si>
  <si>
    <t>/items/potion/icon</t>
  </si>
  <si>
    <t>icon</t>
  </si>
  <si>
    <t>potion</t>
  </si>
  <si>
    <t>/items/potion/brief</t>
  </si>
  <si>
    <t>brief</t>
  </si>
  <si>
    <t>{heal} HP</t>
  </si>
  <si>
    <t>/items/potion/description</t>
  </si>
  <si>
    <t>description</t>
  </si>
  <si>
    <t>Restore {heal} HP to the selected living hero.</t>
  </si>
  <si>
    <t>/items/potion/id</t>
  </si>
  <si>
    <t>/items/potion/heal</t>
  </si>
  <si>
    <t>/items/bomb/name</t>
  </si>
  <si>
    <t>item.bomb</t>
  </si>
  <si>
    <t>Ink bomb</t>
  </si>
  <si>
    <t>/items/bomb/icon</t>
  </si>
  <si>
    <t>bomb</t>
  </si>
  <si>
    <t>/items/bomb/brief</t>
  </si>
  <si>
    <t>Roll damage + poison</t>
  </si>
  <si>
    <t>/items/bomb/combat</t>
  </si>
  <si>
    <t>combat</t>
  </si>
  <si>
    <t>/items/bomb/description</t>
  </si>
  <si>
    <t>Roll three reels for damage and poison against the selected enemy. Three alike can crit.</t>
  </si>
  <si>
    <t>/items/bomb/id</t>
  </si>
  <si>
    <t>/items/ward/name</t>
  </si>
  <si>
    <t>item.ward</t>
  </si>
  <si>
    <t>Paper ward</t>
  </si>
  <si>
    <t>/items/ward/icon</t>
  </si>
  <si>
    <t>ward</t>
  </si>
  <si>
    <t>/items/ward/brief</t>
  </si>
  <si>
    <t>{block} team block</t>
  </si>
  <si>
    <t>/items/ward/combat</t>
  </si>
  <si>
    <t>/items/ward/description</t>
  </si>
  <si>
    <t>Add {block} shared block for this battle.</t>
  </si>
  <si>
    <t>/items/ward/id</t>
  </si>
  <si>
    <t>/items/ward/block</t>
  </si>
  <si>
    <t>/items/antidote/name</t>
  </si>
  <si>
    <t>item.antidote</t>
  </si>
  <si>
    <t>Antidote</t>
  </si>
  <si>
    <t>/items/antidote/icon</t>
  </si>
  <si>
    <t>antidote</t>
  </si>
  <si>
    <t>/items/antidote/brief</t>
  </si>
  <si>
    <t>Cure poison</t>
  </si>
  <si>
    <t>/items/antidote/description</t>
  </si>
  <si>
    <t>Remove poison from the selected living hero.</t>
  </si>
  <si>
    <t>/items/antidote/id</t>
  </si>
  <si>
    <t>/items/bandage/name</t>
  </si>
  <si>
    <t>item.bandage</t>
  </si>
  <si>
    <t>Bandage</t>
  </si>
  <si>
    <t>/items/bandage/icon</t>
  </si>
  <si>
    <t>bandage</t>
  </si>
  <si>
    <t>/items/bandage/brief</t>
  </si>
  <si>
    <t>/items/bandage/description</t>
  </si>
  <si>
    <t>/items/bandage/id</t>
  </si>
  <si>
    <t>/items/bandage/heal</t>
  </si>
  <si>
    <t>/items/salve/name</t>
  </si>
  <si>
    <t>item.salve</t>
  </si>
  <si>
    <t>Mending salve</t>
  </si>
  <si>
    <t>/items/salve/icon</t>
  </si>
  <si>
    <t>salve</t>
  </si>
  <si>
    <t>/items/salve/brief</t>
  </si>
  <si>
    <t>{heal} HP to everyone</t>
  </si>
  <si>
    <t>/items/salve/description</t>
  </si>
  <si>
    <t>Restore {heal} HP to every living party member.</t>
  </si>
  <si>
    <t>/items/salve/id</t>
  </si>
  <si>
    <t>/items/salve/heal</t>
  </si>
  <si>
    <t>/items/ember/name</t>
  </si>
  <si>
    <t>item.ember</t>
  </si>
  <si>
    <t>Ember draught</t>
  </si>
  <si>
    <t>/items/ember/icon</t>
  </si>
  <si>
    <t>/items/ember/brief</t>
  </si>
  <si>
    <t>Damage + protection</t>
  </si>
  <si>
    <t>/items/ember/combat</t>
  </si>
  <si>
    <t>/items/ember/description</t>
  </si>
  <si>
    <t>Stimulate the selected hero: a small damage and defence bonus for {stimulantTurns} of their actions.</t>
  </si>
  <si>
    <t>/items/ember/id</t>
  </si>
  <si>
    <t>/items/ember/stimulant</t>
  </si>
  <si>
    <t>/items/oil/name</t>
  </si>
  <si>
    <t>item.oil</t>
  </si>
  <si>
    <t>Sharpening oil</t>
  </si>
  <si>
    <t>/items/oil/icon</t>
  </si>
  <si>
    <t>oil</t>
  </si>
  <si>
    <t>/items/oil/brief</t>
  </si>
  <si>
    <t>+{rage} rage</t>
  </si>
  <si>
    <t>/items/oil/combat</t>
  </si>
  <si>
    <t>/items/oil/description</t>
  </si>
  <si>
    <t>Give the selected hero {rage} rage, adding damage until this battle ends.</t>
  </si>
  <si>
    <t>/items/oil/id</t>
  </si>
  <si>
    <t>/items/oil/rage</t>
  </si>
  <si>
    <t>/items/frost/name</t>
  </si>
  <si>
    <t>item.frost</t>
  </si>
  <si>
    <t>Frost vial</t>
  </si>
  <si>
    <t>/items/frost/icon</t>
  </si>
  <si>
    <t>frost</t>
  </si>
  <si>
    <t>/items/frost/brief</t>
  </si>
  <si>
    <t>Stun one enemy</t>
  </si>
  <si>
    <t>/items/frost/combat</t>
  </si>
  <si>
    <t>/items/frost/description</t>
  </si>
  <si>
    <t>Attempt a strength-{stun} stun on the selected enemy. Armour can absorb it.</t>
  </si>
  <si>
    <t>/items/frost/id</t>
  </si>
  <si>
    <t>/items/frost/stun</t>
  </si>
  <si>
    <t>/items/firebomb/name</t>
  </si>
  <si>
    <t>item.firebomb</t>
  </si>
  <si>
    <t>Cinder flask</t>
  </si>
  <si>
    <t>/items/firebomb/icon</t>
  </si>
  <si>
    <t>/items/firebomb/brief</t>
  </si>
  <si>
    <t>Scorch all enemies</t>
  </si>
  <si>
    <t>/items/firebomb/combat</t>
  </si>
  <si>
    <t>/items/firebomb/description</t>
  </si>
  <si>
    <t>Deal {damageBase} plus floor depth divided by {depthDivisor}, rounded down, in magic damage to every enemy.</t>
  </si>
  <si>
    <t>/items/firebomb/id</t>
  </si>
  <si>
    <t>/items/firebomb/damageBase</t>
  </si>
  <si>
    <t>damageBase</t>
  </si>
  <si>
    <t>/items/firebomb/depthDivisor</t>
  </si>
  <si>
    <t>depthDivisor</t>
  </si>
  <si>
    <t>/items/venom/name</t>
  </si>
  <si>
    <t>item.venom</t>
  </si>
  <si>
    <t>Venom vial</t>
  </si>
  <si>
    <t>/items/venom/icon</t>
  </si>
  <si>
    <t>/items/venom/brief</t>
  </si>
  <si>
    <t>Poison for {poisonTurns} turns</t>
  </si>
  <si>
    <t>/items/venom/combat</t>
  </si>
  <si>
    <t>/items/venom/description</t>
  </si>
  <si>
    <t>Poison the selected enemy for {poisonTurns} tiny, armour-piercing damage ticks.</t>
  </si>
  <si>
    <t>/items/venom/id</t>
  </si>
  <si>
    <t>/items/venom/poison</t>
  </si>
  <si>
    <t>/items/chalk/name</t>
  </si>
  <si>
    <t>item.chalk</t>
  </si>
  <si>
    <t>Chalk map</t>
  </si>
  <si>
    <t>/items/chalk/icon</t>
  </si>
  <si>
    <t>chalk</t>
  </si>
  <si>
    <t>/items/chalk/brief</t>
  </si>
  <si>
    <t>Reveal neighbours</t>
  </si>
  <si>
    <t>/items/chalk/outside</t>
  </si>
  <si>
    <t>outside</t>
  </si>
  <si>
    <t>/items/chalk/description</t>
  </si>
  <si>
    <t>Reveal adjacent and diagonal tiles without activating them. Cannot be used during combat.</t>
  </si>
  <si>
    <t>/items/chalk/id</t>
  </si>
  <si>
    <t>/items/ration/name</t>
  </si>
  <si>
    <t>item.ration</t>
  </si>
  <si>
    <t>Trail ration</t>
  </si>
  <si>
    <t>/items/ration/icon</t>
  </si>
  <si>
    <t>ration</t>
  </si>
  <si>
    <t>/items/ration/brief</t>
  </si>
  <si>
    <t>{healthPercent}% maximum HP</t>
  </si>
  <si>
    <t>/items/ration/description</t>
  </si>
  <si>
    <t>Restore {healthPercent}% of the selected hero’s maximum HP.</t>
  </si>
  <si>
    <t>/items/ration/id</t>
  </si>
  <si>
    <t>/items/ration/healthFraction</t>
  </si>
  <si>
    <t>healthFraction</t>
  </si>
  <si>
    <t>/tuning/rollInkBomb.coefficient.1/value</t>
  </si>
  <si>
    <t>rule.tuning.rollInkBomb.coefficient.1</t>
  </si>
  <si>
    <t>rollInkBomb · coefficient 1</t>
  </si>
  <si>
    <t>Coefficient in: se.attack += Math.floor(state.depth / 3); const multiplier = await rollCrit</t>
  </si>
  <si>
    <t>/tuning/rollInkBomb.coefficient.1/category</t>
  </si>
  <si>
    <t>Items</t>
  </si>
  <si>
    <t>/tuning/rollInkBomb.coefficient.1/label</t>
  </si>
  <si>
    <t>/tuning/rollInkBomb.coefficient.1/description</t>
  </si>
  <si>
    <t>/tuning/rollInkBomb.coefficient.1/unit</t>
  </si>
  <si>
    <t>/tuning/rollInkBomb.coefficient.1/min</t>
  </si>
  <si>
    <t>/tuning/rollInkBomb.coefficient.1/max</t>
  </si>
  <si>
    <t>/tuning/rollInkBomb.coefficient.1/integer</t>
  </si>
  <si>
    <t>/equipment/ironSignet/name</t>
  </si>
  <si>
    <t>equipment.ironSignet</t>
  </si>
  <si>
    <t>Iron Signet</t>
  </si>
  <si>
    <t>/equipment/ironSignet/icon</t>
  </si>
  <si>
    <t>/equipment/ironSignet/job</t>
  </si>
  <si>
    <t>job</t>
  </si>
  <si>
    <t>/equipment/ironSignet/brief</t>
  </si>
  <si>
    <t>+{attack} blade damage</t>
  </si>
  <si>
    <t>/equipment/ironSignet/description</t>
  </si>
  <si>
    <t>Tank equipment. Every damaging roll gains {attack} damage.</t>
  </si>
  <si>
    <t>/equipment/ironSignet/attack</t>
  </si>
  <si>
    <t>/equipment/ironSignet/id</t>
  </si>
  <si>
    <t>/equipment/bulwarkBadge/name</t>
  </si>
  <si>
    <t>equipment.bulwarkBadge</t>
  </si>
  <si>
    <t>Bulwark Badge</t>
  </si>
  <si>
    <t>/equipment/bulwarkBadge/icon</t>
  </si>
  <si>
    <t>/equipment/bulwarkBadge/job</t>
  </si>
  <si>
    <t>/equipment/bulwarkBadge/brief</t>
  </si>
  <si>
    <t>+{guard} opening armour</t>
  </si>
  <si>
    <t>/equipment/bulwarkBadge/description</t>
  </si>
  <si>
    <t>Tank equipment. Start fights with {guard} team block; resist {defence} damage per incoming hit.</t>
  </si>
  <si>
    <t>/equipment/bulwarkBadge/guard</t>
  </si>
  <si>
    <t>guard</t>
  </si>
  <si>
    <t>/equipment/bulwarkBadge/defence</t>
  </si>
  <si>
    <t>defence</t>
  </si>
  <si>
    <t>/equipment/bulwarkBadge/id</t>
  </si>
  <si>
    <t>/equipment/glassRosary/name</t>
  </si>
  <si>
    <t>equipment.glassRosary</t>
  </si>
  <si>
    <t>Glass Rosary</t>
  </si>
  <si>
    <t>/equipment/glassRosary/icon</t>
  </si>
  <si>
    <t>/equipment/glassRosary/job</t>
  </si>
  <si>
    <t>/equipment/glassRosary/brief</t>
  </si>
  <si>
    <t>+{heal} healing</t>
  </si>
  <si>
    <t>/equipment/glassRosary/description</t>
  </si>
  <si>
    <t>Healer equipment. Add {heal} HP to healing rolls.</t>
  </si>
  <si>
    <t>/equipment/glassRosary/heal</t>
  </si>
  <si>
    <t>/equipment/glassRosary/id</t>
  </si>
  <si>
    <t>/equipment/mercyBell/name</t>
  </si>
  <si>
    <t>equipment.mercyBell</t>
  </si>
  <si>
    <t>Mercy Bell</t>
  </si>
  <si>
    <t>/equipment/mercyBell/icon</t>
  </si>
  <si>
    <t>/equipment/mercyBell/job</t>
  </si>
  <si>
    <t>/equipment/mercyBell/brief</t>
  </si>
  <si>
    <t>A little sanctuary</t>
  </si>
  <si>
    <t>/equipment/mercyBell/description</t>
  </si>
  <si>
    <t>Healer equipment. Every roll heals the party by {teamHeal} and adds {block} team block.</t>
  </si>
  <si>
    <t>/equipment/mercyBell/teamHeal</t>
  </si>
  <si>
    <t>/equipment/mercyBell/block</t>
  </si>
  <si>
    <t>/equipment/mercyBell/id</t>
  </si>
  <si>
    <t>/equipment/silentBoots/name</t>
  </si>
  <si>
    <t>equipment.silentBoots</t>
  </si>
  <si>
    <t>Silent Boots</t>
  </si>
  <si>
    <t>/equipment/silentBoots/icon</t>
  </si>
  <si>
    <t>flurry</t>
  </si>
  <si>
    <t>/equipment/silentBoots/job</t>
  </si>
  <si>
    <t>/equipment/silentBoots/brief</t>
  </si>
  <si>
    <t>Every {stunEveryOrdinal} roll stuns</t>
  </si>
  <si>
    <t>/equipment/silentBoots/description</t>
  </si>
  <si>
    <t>Rogue equipment. +{attack} damage; every {stunEveryOrdinal} roll stuns the target.</t>
  </si>
  <si>
    <t>/equipment/silentBoots/attack</t>
  </si>
  <si>
    <t>/equipment/silentBoots/stunEvery</t>
  </si>
  <si>
    <t>stunEvery</t>
  </si>
  <si>
    <t>/equipment/silentBoots/id</t>
  </si>
  <si>
    <t>/equipment/serpentPin/name</t>
  </si>
  <si>
    <t>equipment.serpentPin</t>
  </si>
  <si>
    <t>Serpent Pin</t>
  </si>
  <si>
    <t>/equipment/serpentPin/icon</t>
  </si>
  <si>
    <t>/equipment/serpentPin/job</t>
  </si>
  <si>
    <t>/equipment/serpentPin/brief</t>
  </si>
  <si>
    <t>Venom-tipped blades</t>
  </si>
  <si>
    <t>/equipment/serpentPin/description</t>
  </si>
  <si>
    <t>Rogue equipment. Damaging rolls add a short poison.</t>
  </si>
  <si>
    <t>/equipment/serpentPin/poison</t>
  </si>
  <si>
    <t>/equipment/serpentPin/id</t>
  </si>
  <si>
    <t>/equipment/starLens/name</t>
  </si>
  <si>
    <t>equipment.starLens</t>
  </si>
  <si>
    <t>Star Lens</t>
  </si>
  <si>
    <t>/equipment/starLens/icon</t>
  </si>
  <si>
    <t>/equipment/starLens/job</t>
  </si>
  <si>
    <t>/equipment/starLens/brief</t>
  </si>
  <si>
    <t>+{magic} magic damage</t>
  </si>
  <si>
    <t>/equipment/starLens/description</t>
  </si>
  <si>
    <t>Mage equipment. Add {magic} magic damage to every damaging roll.</t>
  </si>
  <si>
    <t>/equipment/starLens/magic</t>
  </si>
  <si>
    <t>/equipment/starLens/id</t>
  </si>
  <si>
    <t>/equipment/stormQuill/name</t>
  </si>
  <si>
    <t>equipment.stormQuill</t>
  </si>
  <si>
    <t>Storm Quill</t>
  </si>
  <si>
    <t>/equipment/stormQuill/icon</t>
  </si>
  <si>
    <t>/equipment/stormQuill/job</t>
  </si>
  <si>
    <t>/equipment/stormQuill/brief</t>
  </si>
  <si>
    <t>Power every {stimEveryOrdinal} roll</t>
  </si>
  <si>
    <t>/equipment/stormQuill/description</t>
  </si>
  <si>
    <t>Mage equipment. Every {stimEveryOrdinal} roll grants a stimulant; +{magic} magic damage.</t>
  </si>
  <si>
    <t>/equipment/stormQuill/magic</t>
  </si>
  <si>
    <t>/equipment/stormQuill/stimEvery</t>
  </si>
  <si>
    <t>stimEvery</t>
  </si>
  <si>
    <t>/equipment/stormQuill/id</t>
  </si>
  <si>
    <t>/equipment/stormQuill/stimulantPower</t>
  </si>
  <si>
    <t>stimulantPower</t>
  </si>
  <si>
    <t>/artefacts/0/key</t>
  </si>
  <si>
    <t>artefact.attack</t>
  </si>
  <si>
    <t>key</t>
  </si>
  <si>
    <t>/artefacts/0/name</t>
  </si>
  <si>
    <t>Fang of the Margin</t>
  </si>
  <si>
    <t>/artefacts/0/base</t>
  </si>
  <si>
    <t>base</t>
  </si>
  <si>
    <t>/artefacts/0/scale</t>
  </si>
  <si>
    <t>scale</t>
  </si>
  <si>
    <t>/artefacts/0/id</t>
  </si>
  <si>
    <t>/artefacts/1/key</t>
  </si>
  <si>
    <t>artefact.heal</t>
  </si>
  <si>
    <t>/artefacts/1/name</t>
  </si>
  <si>
    <t>The Glass Tear</t>
  </si>
  <si>
    <t>/artefacts/1/base</t>
  </si>
  <si>
    <t>/artefacts/1/scale</t>
  </si>
  <si>
    <t>/artefacts/1/id</t>
  </si>
  <si>
    <t>/artefacts/2/key</t>
  </si>
  <si>
    <t>artefact.block</t>
  </si>
  <si>
    <t>/artefacts/2/name</t>
  </si>
  <si>
    <t>Iron Pennant</t>
  </si>
  <si>
    <t>/artefacts/2/base</t>
  </si>
  <si>
    <t>/artefacts/2/scale</t>
  </si>
  <si>
    <t>/artefacts/2/id</t>
  </si>
  <si>
    <t>/artefacts/3/key</t>
  </si>
  <si>
    <t>artefact.gold</t>
  </si>
  <si>
    <t>gold</t>
  </si>
  <si>
    <t>/artefacts/3/name</t>
  </si>
  <si>
    <t>Lucky Farthing</t>
  </si>
  <si>
    <t>/artefacts/3/base</t>
  </si>
  <si>
    <t>/artefacts/3/scale</t>
  </si>
  <si>
    <t>/artefacts/3/id</t>
  </si>
  <si>
    <t>/artefacts/4/key</t>
  </si>
  <si>
    <t>artefact.guard</t>
  </si>
  <si>
    <t>/artefacts/4/name</t>
  </si>
  <si>
    <t>Ember Seal</t>
  </si>
  <si>
    <t>/artefacts/4/base</t>
  </si>
  <si>
    <t>/artefacts/4/scale</t>
  </si>
  <si>
    <t>/artefacts/4/id</t>
  </si>
  <si>
    <t>/artefacts/5/key</t>
  </si>
  <si>
    <t>artefact.revive</t>
  </si>
  <si>
    <t>revive</t>
  </si>
  <si>
    <t>/artefacts/5/name</t>
  </si>
  <si>
    <t>Revive Stone</t>
  </si>
  <si>
    <t>/artefacts/5/base</t>
  </si>
  <si>
    <t>/artefacts/5/scale</t>
  </si>
  <si>
    <t>/artefacts/5/id</t>
  </si>
  <si>
    <t>/tuning/makeArtefact.name.1/value</t>
  </si>
  <si>
    <t>rule.tuning.makeArtefact.name.1</t>
  </si>
  <si>
    <t>makeArtefact · name 1</t>
  </si>
  <si>
    <t>Coefficient in: ["I", "II", "III", "IV"][Math.min(3, Math.floor((depth - 1) / 3))], k</t>
  </si>
  <si>
    <t>/tuning/makeArtefact.name.1/category</t>
  </si>
  <si>
    <t>Artefacts</t>
  </si>
  <si>
    <t>/tuning/makeArtefact.name.1/label</t>
  </si>
  <si>
    <t>/tuning/makeArtefact.name.1/description</t>
  </si>
  <si>
    <t>/tuning/makeArtefact.name.1/unit</t>
  </si>
  <si>
    <t>/tuning/makeArtefact.name.1/min</t>
  </si>
  <si>
    <t>/tuning/makeArtefact.name.1/max</t>
  </si>
  <si>
    <t>/tuning/makeArtefact.name.1/integer</t>
  </si>
  <si>
    <t>/tuning/makeArtefact.name.2/value</t>
  </si>
  <si>
    <t>rule.tuning.makeArtefact.name.2</t>
  </si>
  <si>
    <t>makeArtefact · name 2</t>
  </si>
  <si>
    <t>Coefficient in: [Math.min(3, Math.floor((depth - 1) / 3))], key: t.key, power: Math.c</t>
  </si>
  <si>
    <t>/tuning/makeArtefact.name.2/category</t>
  </si>
  <si>
    <t>/tuning/makeArtefact.name.2/label</t>
  </si>
  <si>
    <t>/tuning/makeArtefact.name.2/description</t>
  </si>
  <si>
    <t>/tuning/makeArtefact.name.2/unit</t>
  </si>
  <si>
    <t>/tuning/makeArtefact.name.2/min</t>
  </si>
  <si>
    <t>/tuning/makeArtefact.name.2/max</t>
  </si>
  <si>
    <t>/tuning/makeArtefact.name.2/integer</t>
  </si>
  <si>
    <t>/enemies/enemy.ink-rat/id</t>
  </si>
  <si>
    <t>enemy.ink-rat</t>
  </si>
  <si>
    <t>/enemies/enemy.ink-rat/name</t>
  </si>
  <si>
    <t>The ink rat</t>
  </si>
  <si>
    <t>/enemies/enemy.ink-rat/art</t>
  </si>
  <si>
    <t>art</t>
  </si>
  <si>
    <t>rat</t>
  </si>
  <si>
    <t>/enemies/enemy.ink-rat/minFloor</t>
  </si>
  <si>
    <t>minFloor</t>
  </si>
  <si>
    <t>/enemies/enemy.ink-rat/maxFloor</t>
  </si>
  <si>
    <t>maxFloor</t>
  </si>
  <si>
    <t>/enemies/enemy.ink-rat/hpMultiplier</t>
  </si>
  <si>
    <t>hpMultiplier</t>
  </si>
  <si>
    <t>/enemies/enemy.ink-rat/damageMultiplier</t>
  </si>
  <si>
    <t>damageMultiplier</t>
  </si>
  <si>
    <t>/enemies/enemy.ink-rat/frequencyOverride</t>
  </si>
  <si>
    <t>frequencyOverride</t>
  </si>
  <si>
    <t>/enemies/enemy.ink-rat/strikesOverride</t>
  </si>
  <si>
    <t>strikesOverride</t>
  </si>
  <si>
    <t>/enemies/enemy.ink-rat/reelSet</t>
  </si>
  <si>
    <t>reelSet</t>
  </si>
  <si>
    <t>/enemies/enemy.margin-wraith/id</t>
  </si>
  <si>
    <t>enemy.margin-wraith</t>
  </si>
  <si>
    <t>/enemies/enemy.margin-wraith/name</t>
  </si>
  <si>
    <t>Margin wraith</t>
  </si>
  <si>
    <t>/enemies/enemy.margin-wraith/art</t>
  </si>
  <si>
    <t>ghost</t>
  </si>
  <si>
    <t>/enemies/enemy.margin-wraith/minFloor</t>
  </si>
  <si>
    <t>/enemies/enemy.margin-wraith/maxFloor</t>
  </si>
  <si>
    <t>/enemies/enemy.margin-wraith/hpMultiplier</t>
  </si>
  <si>
    <t>/enemies/enemy.margin-wraith/damageMultiplier</t>
  </si>
  <si>
    <t>/enemies/enemy.margin-wraith/frequencyOverride</t>
  </si>
  <si>
    <t>/enemies/enemy.margin-wraith/strikesOverride</t>
  </si>
  <si>
    <t>/enemies/enemy.margin-wraith/reelSet</t>
  </si>
  <si>
    <t>/enemies/enemy.blotling/id</t>
  </si>
  <si>
    <t>enemy.blotling</t>
  </si>
  <si>
    <t>/enemies/enemy.blotling/name</t>
  </si>
  <si>
    <t>Blotling</t>
  </si>
  <si>
    <t>/enemies/enemy.blotling/art</t>
  </si>
  <si>
    <t>slime</t>
  </si>
  <si>
    <t>/enemies/enemy.blotling/minFloor</t>
  </si>
  <si>
    <t>/enemies/enemy.blotling/maxFloor</t>
  </si>
  <si>
    <t>/enemies/enemy.blotling/hpMultiplier</t>
  </si>
  <si>
    <t>/enemies/enemy.blotling/damageMultiplier</t>
  </si>
  <si>
    <t>/enemies/enemy.blotling/frequencyOverride</t>
  </si>
  <si>
    <t>/enemies/enemy.blotling/strikesOverride</t>
  </si>
  <si>
    <t>/enemies/enemy.blotling/reelSet</t>
  </si>
  <si>
    <t>/enemies/enemy.skeletal-warrior/id</t>
  </si>
  <si>
    <t>enemy.skeletal-warrior</t>
  </si>
  <si>
    <t>/enemies/enemy.skeletal-warrior/name</t>
  </si>
  <si>
    <t>Skeletal warrior</t>
  </si>
  <si>
    <t>/enemies/enemy.skeletal-warrior/art</t>
  </si>
  <si>
    <t>skull</t>
  </si>
  <si>
    <t>/enemies/enemy.skeletal-warrior/minFloor</t>
  </si>
  <si>
    <t>/enemies/enemy.skeletal-warrior/maxFloor</t>
  </si>
  <si>
    <t>/enemies/enemy.skeletal-warrior/hpMultiplier</t>
  </si>
  <si>
    <t>/enemies/enemy.skeletal-warrior/damageMultiplier</t>
  </si>
  <si>
    <t>/enemies/enemy.skeletal-warrior/frequencyOverride</t>
  </si>
  <si>
    <t>/enemies/enemy.skeletal-warrior/strikesOverride</t>
  </si>
  <si>
    <t>/enemies/enemy.skeletal-warrior/reelSet</t>
  </si>
  <si>
    <t>/enemies/enemy.chainbound-revenant/id</t>
  </si>
  <si>
    <t>enemy.chainbound-revenant</t>
  </si>
  <si>
    <t>/enemies/enemy.chainbound-revenant/name</t>
  </si>
  <si>
    <t>Chainbound revenant</t>
  </si>
  <si>
    <t>/enemies/enemy.chainbound-revenant/art</t>
  </si>
  <si>
    <t>revenant</t>
  </si>
  <si>
    <t>/enemies/enemy.chainbound-revenant/minFloor</t>
  </si>
  <si>
    <t>/enemies/enemy.chainbound-revenant/maxFloor</t>
  </si>
  <si>
    <t>/enemies/enemy.chainbound-revenant/hpMultiplier</t>
  </si>
  <si>
    <t>/enemies/enemy.chainbound-revenant/damageMultiplier</t>
  </si>
  <si>
    <t>/enemies/enemy.chainbound-revenant/frequencyOverride</t>
  </si>
  <si>
    <t>/enemies/enemy.chainbound-revenant/strikesOverride</t>
  </si>
  <si>
    <t>/enemies/enemy.chainbound-revenant/reelSet</t>
  </si>
  <si>
    <t>/enemies/enemy.ash-horned-fiend/id</t>
  </si>
  <si>
    <t>enemy.ash-horned-fiend</t>
  </si>
  <si>
    <t>/enemies/enemy.ash-horned-fiend/name</t>
  </si>
  <si>
    <t>Ash-horned fiend</t>
  </si>
  <si>
    <t>/enemies/enemy.ash-horned-fiend/art</t>
  </si>
  <si>
    <t>demon</t>
  </si>
  <si>
    <t>/enemies/enemy.ash-horned-fiend/minFloor</t>
  </si>
  <si>
    <t>/enemies/enemy.ash-horned-fiend/maxFloor</t>
  </si>
  <si>
    <t>/enemies/enemy.ash-horned-fiend/hpMultiplier</t>
  </si>
  <si>
    <t>/enemies/enemy.ash-horned-fiend/damageMultiplier</t>
  </si>
  <si>
    <t>/enemies/enemy.ash-horned-fiend/frequencyOverride</t>
  </si>
  <si>
    <t>/enemies/enemy.ash-horned-fiend/strikesOverride</t>
  </si>
  <si>
    <t>/enemies/enemy.ash-horned-fiend/reelSet</t>
  </si>
  <si>
    <t>/enemies/enemy.hollow-cantor/id</t>
  </si>
  <si>
    <t>enemy.hollow-cantor</t>
  </si>
  <si>
    <t>/enemies/enemy.hollow-cantor/name</t>
  </si>
  <si>
    <t>The hollow cantor</t>
  </si>
  <si>
    <t>/enemies/enemy.hollow-cantor/art</t>
  </si>
  <si>
    <t>lich</t>
  </si>
  <si>
    <t>/enemies/enemy.hollow-cantor/minFloor</t>
  </si>
  <si>
    <t>/enemies/enemy.hollow-cantor/maxFloor</t>
  </si>
  <si>
    <t>/enemies/enemy.hollow-cantor/hpMultiplier</t>
  </si>
  <si>
    <t>/enemies/enemy.hollow-cantor/damageMultiplier</t>
  </si>
  <si>
    <t>/enemies/enemy.hollow-cantor/frequencyOverride</t>
  </si>
  <si>
    <t>/enemies/enemy.hollow-cantor/strikesOverride</t>
  </si>
  <si>
    <t>/enemies/enemy.hollow-cantor/reelSet</t>
  </si>
  <si>
    <t>/enemies/enemy.marrow-lich/id</t>
  </si>
  <si>
    <t>enemy.marrow-lich</t>
  </si>
  <si>
    <t>/enemies/enemy.marrow-lich/name</t>
  </si>
  <si>
    <t>The marrow lich</t>
  </si>
  <si>
    <t>/enemies/enemy.marrow-lich/art</t>
  </si>
  <si>
    <t>/enemies/enemy.marrow-lich/minFloor</t>
  </si>
  <si>
    <t>/enemies/enemy.marrow-lich/maxFloor</t>
  </si>
  <si>
    <t>/enemies/enemy.marrow-lich/hpMultiplier</t>
  </si>
  <si>
    <t>/enemies/enemy.marrow-lich/damageMultiplier</t>
  </si>
  <si>
    <t>/enemies/enemy.marrow-lich/frequencyOverride</t>
  </si>
  <si>
    <t>/enemies/enemy.marrow-lich/strikesOverride</t>
  </si>
  <si>
    <t>/enemies/enemy.marrow-lich/reelSet</t>
  </si>
  <si>
    <t>/enemies/enemy.furnace-devil/id</t>
  </si>
  <si>
    <t>enemy.furnace-devil</t>
  </si>
  <si>
    <t>/enemies/enemy.furnace-devil/name</t>
  </si>
  <si>
    <t>The furnace devil</t>
  </si>
  <si>
    <t>/enemies/enemy.furnace-devil/art</t>
  </si>
  <si>
    <t>/enemies/enemy.furnace-devil/minFloor</t>
  </si>
  <si>
    <t>/enemies/enemy.furnace-devil/maxFloor</t>
  </si>
  <si>
    <t>/enemies/enemy.furnace-devil/hpMultiplier</t>
  </si>
  <si>
    <t>/enemies/enemy.furnace-devil/damageMultiplier</t>
  </si>
  <si>
    <t>/enemies/enemy.furnace-devil/frequencyOverride</t>
  </si>
  <si>
    <t>/enemies/enemy.furnace-devil/strikesOverride</t>
  </si>
  <si>
    <t>/enemies/enemy.furnace-devil/reelSet</t>
  </si>
  <si>
    <t>/enemies/enemy.stitched-horror/id</t>
  </si>
  <si>
    <t>enemy.stitched-horror</t>
  </si>
  <si>
    <t>/enemies/enemy.stitched-horror/name</t>
  </si>
  <si>
    <t>The stitched horror</t>
  </si>
  <si>
    <t>/enemies/enemy.stitched-horror/art</t>
  </si>
  <si>
    <t>abomination</t>
  </si>
  <si>
    <t>/enemies/enemy.stitched-horror/minFloor</t>
  </si>
  <si>
    <t>/enemies/enemy.stitched-horror/maxFloor</t>
  </si>
  <si>
    <t>/enemies/enemy.stitched-horror/hpMultiplier</t>
  </si>
  <si>
    <t>/enemies/enemy.stitched-horror/damageMultiplier</t>
  </si>
  <si>
    <t>/enemies/enemy.stitched-horror/frequencyOverride</t>
  </si>
  <si>
    <t>/enemies/enemy.stitched-horror/strikesOverride</t>
  </si>
  <si>
    <t>/enemies/enemy.stitched-horror/reelSet</t>
  </si>
  <si>
    <t>/enemies/enemy.candle-gnawer/id</t>
  </si>
  <si>
    <t>enemy.candle-gnawer</t>
  </si>
  <si>
    <t>/enemies/enemy.candle-gnawer/name</t>
  </si>
  <si>
    <t>Candle gnawer</t>
  </si>
  <si>
    <t>/enemies/enemy.candle-gnawer/art</t>
  </si>
  <si>
    <t>gnawer</t>
  </si>
  <si>
    <t>/enemies/enemy.candle-gnawer/minFloor</t>
  </si>
  <si>
    <t>/enemies/enemy.candle-gnawer/maxFloor</t>
  </si>
  <si>
    <t>/enemies/enemy.candle-gnawer/hpMultiplier</t>
  </si>
  <si>
    <t>/enemies/enemy.candle-gnawer/damageMultiplier</t>
  </si>
  <si>
    <t>/enemies/enemy.candle-gnawer/frequencyOverride</t>
  </si>
  <si>
    <t>/enemies/enemy.candle-gnawer/strikesOverride</t>
  </si>
  <si>
    <t>/enemies/enemy.candle-gnawer/reelSet</t>
  </si>
  <si>
    <t>/enemies/enemy.blind-bellkeeper/id</t>
  </si>
  <si>
    <t>enemy.blind-bellkeeper</t>
  </si>
  <si>
    <t>/enemies/enemy.blind-bellkeeper/name</t>
  </si>
  <si>
    <t>Blind bellkeeper</t>
  </si>
  <si>
    <t>/enemies/enemy.blind-bellkeeper/art</t>
  </si>
  <si>
    <t>bellkeeper</t>
  </si>
  <si>
    <t>/enemies/enemy.blind-bellkeeper/minFloor</t>
  </si>
  <si>
    <t>/enemies/enemy.blind-bellkeeper/maxFloor</t>
  </si>
  <si>
    <t>/enemies/enemy.blind-bellkeeper/hpMultiplier</t>
  </si>
  <si>
    <t>/enemies/enemy.blind-bellkeeper/damageMultiplier</t>
  </si>
  <si>
    <t>/enemies/enemy.blind-bellkeeper/frequencyOverride</t>
  </si>
  <si>
    <t>/enemies/enemy.blind-bellkeeper/strikesOverride</t>
  </si>
  <si>
    <t>/enemies/enemy.blind-bellkeeper/reelSet</t>
  </si>
  <si>
    <t>/enemies/enemy.thorn-widow/id</t>
  </si>
  <si>
    <t>enemy.thorn-widow</t>
  </si>
  <si>
    <t>/enemies/enemy.thorn-widow/name</t>
  </si>
  <si>
    <t>Thorn widow</t>
  </si>
  <si>
    <t>/enemies/enemy.thorn-widow/art</t>
  </si>
  <si>
    <t>widow</t>
  </si>
  <si>
    <t>/enemies/enemy.thorn-widow/minFloor</t>
  </si>
  <si>
    <t>/enemies/enemy.thorn-widow/maxFloor</t>
  </si>
  <si>
    <t>/enemies/enemy.thorn-widow/hpMultiplier</t>
  </si>
  <si>
    <t>/enemies/enemy.thorn-widow/damageMultiplier</t>
  </si>
  <si>
    <t>/enemies/enemy.thorn-widow/frequencyOverride</t>
  </si>
  <si>
    <t>/enemies/enemy.thorn-widow/strikesOverride</t>
  </si>
  <si>
    <t>/enemies/enemy.thorn-widow/reelSet</t>
  </si>
  <si>
    <t>/enemies/enemy.gutter-oracle/id</t>
  </si>
  <si>
    <t>enemy.gutter-oracle</t>
  </si>
  <si>
    <t>/enemies/enemy.gutter-oracle/name</t>
  </si>
  <si>
    <t>Gutter oracle</t>
  </si>
  <si>
    <t>/enemies/enemy.gutter-oracle/art</t>
  </si>
  <si>
    <t>oracle</t>
  </si>
  <si>
    <t>/enemies/enemy.gutter-oracle/minFloor</t>
  </si>
  <si>
    <t>/enemies/enemy.gutter-oracle/maxFloor</t>
  </si>
  <si>
    <t>/enemies/enemy.gutter-oracle/hpMultiplier</t>
  </si>
  <si>
    <t>/enemies/enemy.gutter-oracle/damageMultiplier</t>
  </si>
  <si>
    <t>/enemies/enemy.gutter-oracle/frequencyOverride</t>
  </si>
  <si>
    <t>/enemies/enemy.gutter-oracle/strikesOverride</t>
  </si>
  <si>
    <t>/enemies/enemy.gutter-oracle/reelSet</t>
  </si>
  <si>
    <t>/enemies/enemy.page-eater/id</t>
  </si>
  <si>
    <t>enemy.page-eater</t>
  </si>
  <si>
    <t>/enemies/enemy.page-eater/name</t>
  </si>
  <si>
    <t>The page eater</t>
  </si>
  <si>
    <t>/enemies/enemy.page-eater/art</t>
  </si>
  <si>
    <t>pageeater</t>
  </si>
  <si>
    <t>/enemies/enemy.page-eater/minFloor</t>
  </si>
  <si>
    <t>/enemies/enemy.page-eater/maxFloor</t>
  </si>
  <si>
    <t>/enemies/enemy.page-eater/hpMultiplier</t>
  </si>
  <si>
    <t>/enemies/enemy.page-eater/damageMultiplier</t>
  </si>
  <si>
    <t>/enemies/enemy.page-eater/frequencyOverride</t>
  </si>
  <si>
    <t>/enemies/enemy.page-eater/strikesOverride</t>
  </si>
  <si>
    <t>/enemies/enemy.page-eater/reelSet</t>
  </si>
  <si>
    <t>/enemies/enemy.hungry-chest/id</t>
  </si>
  <si>
    <t>enemy.hungry-chest</t>
  </si>
  <si>
    <t>/enemies/enemy.hungry-chest/name</t>
  </si>
  <si>
    <t>The hungry chest</t>
  </si>
  <si>
    <t>/enemies/enemy.hungry-chest/art</t>
  </si>
  <si>
    <t>mimic</t>
  </si>
  <si>
    <t>/enemies/enemy.hungry-chest/minFloor</t>
  </si>
  <si>
    <t>/enemies/enemy.hungry-chest/maxFloor</t>
  </si>
  <si>
    <t>/enemies/enemy.hungry-chest/hpMultiplier</t>
  </si>
  <si>
    <t>/enemies/enemy.hungry-chest/damageMultiplier</t>
  </si>
  <si>
    <t>/enemies/enemy.hungry-chest/frequencyOverride</t>
  </si>
  <si>
    <t>/enemies/enemy.hungry-chest/strikesOverride</t>
  </si>
  <si>
    <t>/enemies/enemy.hungry-chest/reelSet</t>
  </si>
  <si>
    <t>/enemies/enemy.unwritten/id</t>
  </si>
  <si>
    <t>enemy.unwritten</t>
  </si>
  <si>
    <t>/enemies/enemy.unwritten/name</t>
  </si>
  <si>
    <t>The Unwritten</t>
  </si>
  <si>
    <t>/enemies/enemy.unwritten/art</t>
  </si>
  <si>
    <t>pursuer</t>
  </si>
  <si>
    <t>/enemies/enemy.unwritten/minFloor</t>
  </si>
  <si>
    <t>/enemies/enemy.unwritten/maxFloor</t>
  </si>
  <si>
    <t>/enemies/enemy.unwritten/hpMultiplier</t>
  </si>
  <si>
    <t>/enemies/enemy.unwritten/damageMultiplier</t>
  </si>
  <si>
    <t>/enemies/enemy.unwritten/frequencyOverride</t>
  </si>
  <si>
    <t>/enemies/enemy.unwritten/strikesOverride</t>
  </si>
  <si>
    <t>/enemies/enemy.unwritten/reelSet</t>
  </si>
  <si>
    <t>/enemies/enemy.bastion-butcher/id</t>
  </si>
  <si>
    <t>enemy.bastion-butcher</t>
  </si>
  <si>
    <t>/enemies/enemy.bastion-butcher/name</t>
  </si>
  <si>
    <t>The Bastion Butcher</t>
  </si>
  <si>
    <t>/enemies/enemy.bastion-butcher/art</t>
  </si>
  <si>
    <t>/enemies/enemy.bastion-butcher/minFloor</t>
  </si>
  <si>
    <t>/enemies/enemy.bastion-butcher/maxFloor</t>
  </si>
  <si>
    <t>/enemies/enemy.bastion-butcher/hpMultiplier</t>
  </si>
  <si>
    <t>/enemies/enemy.bastion-butcher/damageMultiplier</t>
  </si>
  <si>
    <t>/enemies/enemy.bastion-butcher/frequencyOverride</t>
  </si>
  <si>
    <t>/enemies/enemy.bastion-butcher/strikesOverride</t>
  </si>
  <si>
    <t>/enemies/enemy.bastion-butcher/reelSet</t>
  </si>
  <si>
    <t>/enemies/boss.floor01/id</t>
  </si>
  <si>
    <t>boss.floor01</t>
  </si>
  <si>
    <t>/enemies/boss.floor01/name</t>
  </si>
  <si>
    <t>The Rust Warden</t>
  </si>
  <si>
    <t>/enemies/boss.floor01/art</t>
  </si>
  <si>
    <t>/enemies/boss.floor01/minFloor</t>
  </si>
  <si>
    <t>/enemies/boss.floor01/maxFloor</t>
  </si>
  <si>
    <t>/enemies/boss.floor01/hpMultiplier</t>
  </si>
  <si>
    <t>/enemies/boss.floor01/damageMultiplier</t>
  </si>
  <si>
    <t>/enemies/boss.floor01/frequencyOverride</t>
  </si>
  <si>
    <t>/enemies/boss.floor01/strikesOverride</t>
  </si>
  <si>
    <t>/enemies/boss.floor01/reelSet</t>
  </si>
  <si>
    <t>/enemies/boss.floor02/id</t>
  </si>
  <si>
    <t>boss.floor02</t>
  </si>
  <si>
    <t>/enemies/boss.floor02/name</t>
  </si>
  <si>
    <t>The Candle King</t>
  </si>
  <si>
    <t>/enemies/boss.floor02/art</t>
  </si>
  <si>
    <t>/enemies/boss.floor02/minFloor</t>
  </si>
  <si>
    <t>/enemies/boss.floor02/maxFloor</t>
  </si>
  <si>
    <t>/enemies/boss.floor02/hpMultiplier</t>
  </si>
  <si>
    <t>/enemies/boss.floor02/damageMultiplier</t>
  </si>
  <si>
    <t>/enemies/boss.floor02/frequencyOverride</t>
  </si>
  <si>
    <t>/enemies/boss.floor02/strikesOverride</t>
  </si>
  <si>
    <t>/enemies/boss.floor02/reelSet</t>
  </si>
  <si>
    <t>/enemies/boss.floor03/id</t>
  </si>
  <si>
    <t>boss.floor03</t>
  </si>
  <si>
    <t>/enemies/boss.floor03/name</t>
  </si>
  <si>
    <t>The Blind Castellan</t>
  </si>
  <si>
    <t>/enemies/boss.floor03/art</t>
  </si>
  <si>
    <t>/enemies/boss.floor03/minFloor</t>
  </si>
  <si>
    <t>/enemies/boss.floor03/maxFloor</t>
  </si>
  <si>
    <t>/enemies/boss.floor03/hpMultiplier</t>
  </si>
  <si>
    <t>/enemies/boss.floor03/damageMultiplier</t>
  </si>
  <si>
    <t>/enemies/boss.floor03/frequencyOverride</t>
  </si>
  <si>
    <t>/enemies/boss.floor03/strikesOverride</t>
  </si>
  <si>
    <t>/enemies/boss.floor03/reelSet</t>
  </si>
  <si>
    <t>/enemies/boss.floor04/id</t>
  </si>
  <si>
    <t>boss.floor04</t>
  </si>
  <si>
    <t>/enemies/boss.floor04/name</t>
  </si>
  <si>
    <t>The Bell Below</t>
  </si>
  <si>
    <t>/enemies/boss.floor04/art</t>
  </si>
  <si>
    <t>/enemies/boss.floor04/minFloor</t>
  </si>
  <si>
    <t>/enemies/boss.floor04/maxFloor</t>
  </si>
  <si>
    <t>/enemies/boss.floor04/hpMultiplier</t>
  </si>
  <si>
    <t>/enemies/boss.floor04/damageMultiplier</t>
  </si>
  <si>
    <t>/enemies/boss.floor04/frequencyOverride</t>
  </si>
  <si>
    <t>/enemies/boss.floor04/strikesOverride</t>
  </si>
  <si>
    <t>/enemies/boss.floor04/reelSet</t>
  </si>
  <si>
    <t>/enemies/boss.floor05/id</t>
  </si>
  <si>
    <t>boss.floor05</t>
  </si>
  <si>
    <t>/enemies/boss.floor05/name</t>
  </si>
  <si>
    <t>The Thorn Matriarch</t>
  </si>
  <si>
    <t>/enemies/boss.floor05/art</t>
  </si>
  <si>
    <t>/enemies/boss.floor05/minFloor</t>
  </si>
  <si>
    <t>/enemies/boss.floor05/maxFloor</t>
  </si>
  <si>
    <t>/enemies/boss.floor05/hpMultiplier</t>
  </si>
  <si>
    <t>/enemies/boss.floor05/damageMultiplier</t>
  </si>
  <si>
    <t>/enemies/boss.floor05/frequencyOverride</t>
  </si>
  <si>
    <t>/enemies/boss.floor05/strikesOverride</t>
  </si>
  <si>
    <t>/enemies/boss.floor05/reelSet</t>
  </si>
  <si>
    <t>/enemies/boss.floor06/id</t>
  </si>
  <si>
    <t>boss.floor06</t>
  </si>
  <si>
    <t>/enemies/boss.floor06/name</t>
  </si>
  <si>
    <t>The Ash Collector</t>
  </si>
  <si>
    <t>/enemies/boss.floor06/art</t>
  </si>
  <si>
    <t>/enemies/boss.floor06/minFloor</t>
  </si>
  <si>
    <t>/enemies/boss.floor06/maxFloor</t>
  </si>
  <si>
    <t>/enemies/boss.floor06/hpMultiplier</t>
  </si>
  <si>
    <t>/enemies/boss.floor06/damageMultiplier</t>
  </si>
  <si>
    <t>/enemies/boss.floor06/frequencyOverride</t>
  </si>
  <si>
    <t>/enemies/boss.floor06/strikesOverride</t>
  </si>
  <si>
    <t>/enemies/boss.floor06/reelSet</t>
  </si>
  <si>
    <t>/enemies/boss.floor07/id</t>
  </si>
  <si>
    <t>boss.floor07</t>
  </si>
  <si>
    <t>/enemies/boss.floor07/name</t>
  </si>
  <si>
    <t>The Gutter Saint</t>
  </si>
  <si>
    <t>/enemies/boss.floor07/art</t>
  </si>
  <si>
    <t>/enemies/boss.floor07/minFloor</t>
  </si>
  <si>
    <t>/enemies/boss.floor07/maxFloor</t>
  </si>
  <si>
    <t>/enemies/boss.floor07/hpMultiplier</t>
  </si>
  <si>
    <t>/enemies/boss.floor07/damageMultiplier</t>
  </si>
  <si>
    <t>/enemies/boss.floor07/frequencyOverride</t>
  </si>
  <si>
    <t>/enemies/boss.floor07/strikesOverride</t>
  </si>
  <si>
    <t>/enemies/boss.floor07/reelSet</t>
  </si>
  <si>
    <t>/enemies/boss.floor08/id</t>
  </si>
  <si>
    <t>boss.floor08</t>
  </si>
  <si>
    <t>/enemies/boss.floor08/name</t>
  </si>
  <si>
    <t>The Bone Architect</t>
  </si>
  <si>
    <t>/enemies/boss.floor08/art</t>
  </si>
  <si>
    <t>/enemies/boss.floor08/minFloor</t>
  </si>
  <si>
    <t>/enemies/boss.floor08/maxFloor</t>
  </si>
  <si>
    <t>/enemies/boss.floor08/hpMultiplier</t>
  </si>
  <si>
    <t>/enemies/boss.floor08/damageMultiplier</t>
  </si>
  <si>
    <t>/enemies/boss.floor08/frequencyOverride</t>
  </si>
  <si>
    <t>/enemies/boss.floor08/strikesOverride</t>
  </si>
  <si>
    <t>/enemies/boss.floor08/reelSet</t>
  </si>
  <si>
    <t>/enemies/boss.floor09/id</t>
  </si>
  <si>
    <t>boss.floor09</t>
  </si>
  <si>
    <t>/enemies/boss.floor09/name</t>
  </si>
  <si>
    <t>The Keeper of Last Names</t>
  </si>
  <si>
    <t>/enemies/boss.floor09/art</t>
  </si>
  <si>
    <t>/enemies/boss.floor09/minFloor</t>
  </si>
  <si>
    <t>/enemies/boss.floor09/maxFloor</t>
  </si>
  <si>
    <t>/enemies/boss.floor09/hpMultiplier</t>
  </si>
  <si>
    <t>/enemies/boss.floor09/damageMultiplier</t>
  </si>
  <si>
    <t>/enemies/boss.floor09/frequencyOverride</t>
  </si>
  <si>
    <t>/enemies/boss.floor09/strikesOverride</t>
  </si>
  <si>
    <t>/enemies/boss.floor09/reelSet</t>
  </si>
  <si>
    <t>/enemies/boss.floor10/id</t>
  </si>
  <si>
    <t>boss.floor10</t>
  </si>
  <si>
    <t>/enemies/boss.floor10/name</t>
  </si>
  <si>
    <t>The Last Redaction</t>
  </si>
  <si>
    <t>/enemies/boss.floor10/art</t>
  </si>
  <si>
    <t>/enemies/boss.floor10/minFloor</t>
  </si>
  <si>
    <t>/enemies/boss.floor10/maxFloor</t>
  </si>
  <si>
    <t>/enemies/boss.floor10/hpMultiplier</t>
  </si>
  <si>
    <t>/enemies/boss.floor10/damageMultiplier</t>
  </si>
  <si>
    <t>/enemies/boss.floor10/frequencyOverride</t>
  </si>
  <si>
    <t>/enemies/boss.floor10/strikesOverride</t>
  </si>
  <si>
    <t>/enemies/boss.floor10/reelSet</t>
  </si>
  <si>
    <t>/bosses/0</t>
  </si>
  <si>
    <t>rule.bosses</t>
  </si>
  <si>
    <t>/bosses/1</t>
  </si>
  <si>
    <t>/bosses/2</t>
  </si>
  <si>
    <t>/bosses/3</t>
  </si>
  <si>
    <t>/bosses/4</t>
  </si>
  <si>
    <t>/bosses/5</t>
  </si>
  <si>
    <t>/bosses/6</t>
  </si>
  <si>
    <t>/bosses/7</t>
  </si>
  <si>
    <t>/bosses/8</t>
  </si>
  <si>
    <t>/bosses/9</t>
  </si>
  <si>
    <t>9</t>
  </si>
  <si>
    <t>/encounterPools/early/0</t>
  </si>
  <si>
    <t>rule.encounterPools.early</t>
  </si>
  <si>
    <t>/encounterPools/early/1</t>
  </si>
  <si>
    <t>/encounterPools/early/2</t>
  </si>
  <si>
    <t>/encounterPools/early/3</t>
  </si>
  <si>
    <t>/encounterPools/middle/0</t>
  </si>
  <si>
    <t>rule.encounterPools.middle</t>
  </si>
  <si>
    <t>/encounterPools/middle/1</t>
  </si>
  <si>
    <t>/encounterPools/middle/2</t>
  </si>
  <si>
    <t>/encounterPools/deep/0</t>
  </si>
  <si>
    <t>rule.encounterPools.deep</t>
  </si>
  <si>
    <t>/encounterPools/deep/1</t>
  </si>
  <si>
    <t>/encounterPools/deep/2</t>
  </si>
  <si>
    <t>/encounterPools/bands/0</t>
  </si>
  <si>
    <t>rule.encounterPools.bands</t>
  </si>
  <si>
    <t>/encounterPools/bands/1</t>
  </si>
  <si>
    <t>/encounterPools/bands/2</t>
  </si>
  <si>
    <t>/encounterPools/bands/3</t>
  </si>
  <si>
    <t>/encounterPools/bands/4</t>
  </si>
  <si>
    <t>/encounterPools/mimic</t>
  </si>
  <si>
    <t>rule.encounterPools</t>
  </si>
  <si>
    <t>/encounterPools/pursuer</t>
  </si>
  <si>
    <t>/encounterPools/stronghold</t>
  </si>
  <si>
    <t>stronghold</t>
  </si>
  <si>
    <t>/elites/0/id</t>
  </si>
  <si>
    <t>elite.ironbound</t>
  </si>
  <si>
    <t>/elites/0/name</t>
  </si>
  <si>
    <t>Ironbound</t>
  </si>
  <si>
    <t>/elites/0/frequencyReduction</t>
  </si>
  <si>
    <t>frequencyReduction</t>
  </si>
  <si>
    <t>/elites/0/blockBase</t>
  </si>
  <si>
    <t>blockBase</t>
  </si>
  <si>
    <t>/elites/0/blockPerDepth</t>
  </si>
  <si>
    <t>blockPerDepth</t>
  </si>
  <si>
    <t>/elites/0/poisonOnHit</t>
  </si>
  <si>
    <t>poisonOnHit</t>
  </si>
  <si>
    <t>/elites/1/id</t>
  </si>
  <si>
    <t>elite.frenzied</t>
  </si>
  <si>
    <t>/elites/1/name</t>
  </si>
  <si>
    <t>Frenzied</t>
  </si>
  <si>
    <t>/elites/1/frequencyReduction</t>
  </si>
  <si>
    <t>/elites/1/blockBase</t>
  </si>
  <si>
    <t>/elites/1/blockPerDepth</t>
  </si>
  <si>
    <t>/elites/1/poisonOnHit</t>
  </si>
  <si>
    <t>/elites/2/id</t>
  </si>
  <si>
    <t>elite.venomous</t>
  </si>
  <si>
    <t>/elites/2/name</t>
  </si>
  <si>
    <t>Venomous</t>
  </si>
  <si>
    <t>/elites/2/frequencyReduction</t>
  </si>
  <si>
    <t>/elites/2/blockBase</t>
  </si>
  <si>
    <t>/elites/2/blockPerDepth</t>
  </si>
  <si>
    <t>/elites/2/poisonOnHit</t>
  </si>
  <si>
    <t>/tuning/enemyBalance.damage.1/value</t>
  </si>
  <si>
    <t>rule.tuning.enemyBalance.damage.1</t>
  </si>
  <si>
    <t>enemyBalance · damage 1</t>
  </si>
  <si>
    <t>Coefficient in: , ), damage: boss ? 2 + Math.floor(depth / 3) : Math.</t>
  </si>
  <si>
    <t>/tuning/enemyBalance.damage.1/category</t>
  </si>
  <si>
    <t>Enemies</t>
  </si>
  <si>
    <t>/tuning/enemyBalance.damage.1/label</t>
  </si>
  <si>
    <t>/tuning/enemyBalance.damage.1/description</t>
  </si>
  <si>
    <t>/tuning/enemyBalance.damage.1/unit</t>
  </si>
  <si>
    <t>/tuning/enemyBalance.damage.1/min</t>
  </si>
  <si>
    <t>/tuning/enemyBalance.damage.1/max</t>
  </si>
  <si>
    <t>/tuning/enemyBalance.damage.1/integer</t>
  </si>
  <si>
    <t>/tuning/enemyBalance.damage.2/value</t>
  </si>
  <si>
    <t>rule.tuning.enemyBalance.damage.2</t>
  </si>
  <si>
    <t>enemyBalance · damage 2</t>
  </si>
  <si>
    <t>Coefficient in: : boss ? 2 + Math.floor(depth / 3) : Math.max( 1,</t>
  </si>
  <si>
    <t>/tuning/enemyBalance.damage.2/category</t>
  </si>
  <si>
    <t>/tuning/enemyBalance.damage.2/label</t>
  </si>
  <si>
    <t>/tuning/enemyBalance.damage.2/description</t>
  </si>
  <si>
    <t>/tuning/enemyBalance.damage.2/unit</t>
  </si>
  <si>
    <t>/tuning/enemyBalance.damage.2/min</t>
  </si>
  <si>
    <t>/tuning/enemyBalance.damage.2/max</t>
  </si>
  <si>
    <t>/tuning/enemyBalance.damage.2/integer</t>
  </si>
  <si>
    <t>/tuning/enemyBalance.damage.3/value</t>
  </si>
  <si>
    <t>rule.tuning.enemyBalance.damage.3</t>
  </si>
  <si>
    <t>enemyBalance · damage 3</t>
  </si>
  <si>
    <t>Coefficient in: 1, Math.floor( (2 + Math.floor((depth - 1</t>
  </si>
  <si>
    <t>/tuning/enemyBalance.damage.3/category</t>
  </si>
  <si>
    <t>/tuning/enemyBalance.damage.3/label</t>
  </si>
  <si>
    <t>/tuning/enemyBalance.damage.3/description</t>
  </si>
  <si>
    <t>/tuning/enemyBalance.damage.3/unit</t>
  </si>
  <si>
    <t>/tuning/enemyBalance.damage.3/min</t>
  </si>
  <si>
    <t>/tuning/enemyBalance.damage.3/max</t>
  </si>
  <si>
    <t>/tuning/enemyBalance.damage.3/integer</t>
  </si>
  <si>
    <t>/tuning/enemyBalance.damage.4/value</t>
  </si>
  <si>
    <t>rule.tuning.enemyBalance.damage.4</t>
  </si>
  <si>
    <t>enemyBalance · damage 4</t>
  </si>
  <si>
    <t>Coefficient in: Math.floor((depth - 1) / 3) + (elite ? 1 : 0) +</t>
  </si>
  <si>
    <t>/tuning/enemyBalance.damage.4/category</t>
  </si>
  <si>
    <t>/tuning/enemyBalance.damage.4/label</t>
  </si>
  <si>
    <t>/tuning/enemyBalance.damage.4/description</t>
  </si>
  <si>
    <t>/tuning/enemyBalance.damage.4/unit</t>
  </si>
  <si>
    <t>/tuning/enemyBalance.damage.4/min</t>
  </si>
  <si>
    <t>/tuning/enemyBalance.damage.4/max</t>
  </si>
  <si>
    <t>/tuning/enemyBalance.damage.4/integer</t>
  </si>
  <si>
    <t>/tuning/enemyBalance.damage.5/value</t>
  </si>
  <si>
    <t>rule.tuning.enemyBalance.damage.5</t>
  </si>
  <si>
    <t>enemyBalance · damage 5</t>
  </si>
  <si>
    <t>Coefficient in: old ? 1 : 0)) * (pair ? 0.8 : 1), ), ), fre</t>
  </si>
  <si>
    <t>/tuning/enemyBalance.damage.5/category</t>
  </si>
  <si>
    <t>/tuning/enemyBalance.damage.5/label</t>
  </si>
  <si>
    <t>/tuning/enemyBalance.damage.5/description</t>
  </si>
  <si>
    <t>/tuning/enemyBalance.damage.5/unit</t>
  </si>
  <si>
    <t>/tuning/enemyBalance.damage.5/min</t>
  </si>
  <si>
    <t>/tuning/enemyBalance.damage.5/max</t>
  </si>
  <si>
    <t>/tuning/enemyBalance.damage.5/integer</t>
  </si>
  <si>
    <t>/tuning/enemyBalance.frequency.1/value</t>
  </si>
  <si>
    <t>rule.tuning.enemyBalance.frequency.1</t>
  </si>
  <si>
    <t>enemyBalance · frequency 1</t>
  </si>
  <si>
    <t>Coefficient in: ), frequency: stronghold ? 2 : boss ? depth &gt;= 7</t>
  </si>
  <si>
    <t>/tuning/enemyBalance.frequency.1/category</t>
  </si>
  <si>
    <t>/tuning/enemyBalance.frequency.1/label</t>
  </si>
  <si>
    <t>/tuning/enemyBalance.frequency.1/description</t>
  </si>
  <si>
    <t>/tuning/enemyBalance.frequency.1/unit</t>
  </si>
  <si>
    <t>/tuning/enemyBalance.frequency.1/min</t>
  </si>
  <si>
    <t>/tuning/enemyBalance.frequency.1/max</t>
  </si>
  <si>
    <t>/tuning/enemyBalance.frequency.1/integer</t>
  </si>
  <si>
    <t>/tuning/enemyBalance.frequency.2/value</t>
  </si>
  <si>
    <t>rule.tuning.enemyBalance.frequency.2</t>
  </si>
  <si>
    <t>enemyBalance · frequency 2</t>
  </si>
  <si>
    <t>Coefficient in: ? 2 : boss ? depth &gt;= 7 ? 1 : 2 :</t>
  </si>
  <si>
    <t>/tuning/enemyBalance.frequency.2/category</t>
  </si>
  <si>
    <t>/tuning/enemyBalance.frequency.2/label</t>
  </si>
  <si>
    <t>/tuning/enemyBalance.frequency.2/description</t>
  </si>
  <si>
    <t>/tuning/enemyBalance.frequency.2/unit</t>
  </si>
  <si>
    <t>/tuning/enemyBalance.frequency.2/min</t>
  </si>
  <si>
    <t>/tuning/enemyBalance.frequency.2/max</t>
  </si>
  <si>
    <t>/tuning/enemyBalance.frequency.2/integer</t>
  </si>
  <si>
    <t>/tuning/enemyBalance.frequency.3/value</t>
  </si>
  <si>
    <t>rule.tuning.enemyBalance.frequency.3</t>
  </si>
  <si>
    <t>enemyBalance · frequency 3</t>
  </si>
  <si>
    <t>Coefficient in: depth &gt;= 7 ? 1 : 2 : depth &lt; 3 ? 3</t>
  </si>
  <si>
    <t>/tuning/enemyBalance.frequency.3/category</t>
  </si>
  <si>
    <t>/tuning/enemyBalance.frequency.3/label</t>
  </si>
  <si>
    <t>/tuning/enemyBalance.frequency.3/description</t>
  </si>
  <si>
    <t>/tuning/enemyBalance.frequency.3/unit</t>
  </si>
  <si>
    <t>/tuning/enemyBalance.frequency.3/min</t>
  </si>
  <si>
    <t>/tuning/enemyBalance.frequency.3/max</t>
  </si>
  <si>
    <t>/tuning/enemyBalance.frequency.3/integer</t>
  </si>
  <si>
    <t>/tuning/enemyBalance.frequency.4/value</t>
  </si>
  <si>
    <t>rule.tuning.enemyBalance.frequency.4</t>
  </si>
  <si>
    <t>enemyBalance · frequency 4</t>
  </si>
  <si>
    <t>Coefficient in: ? 1 : 2 : depth &lt; 3 ? 3 : depth &lt; 9</t>
  </si>
  <si>
    <t>/tuning/enemyBalance.frequency.4/category</t>
  </si>
  <si>
    <t>/tuning/enemyBalance.frequency.4/label</t>
  </si>
  <si>
    <t>/tuning/enemyBalance.frequency.4/description</t>
  </si>
  <si>
    <t>/tuning/enemyBalance.frequency.4/unit</t>
  </si>
  <si>
    <t>/tuning/enemyBalance.frequency.4/min</t>
  </si>
  <si>
    <t>/tuning/enemyBalance.frequency.4/max</t>
  </si>
  <si>
    <t>/tuning/enemyBalance.frequency.4/integer</t>
  </si>
  <si>
    <t>/tuning/enemyBalance.frequency.5/value</t>
  </si>
  <si>
    <t>rule.tuning.enemyBalance.frequency.5</t>
  </si>
  <si>
    <t>enemyBalance · frequency 5</t>
  </si>
  <si>
    <t>Coefficient in: : 2 : depth &lt; 3 ? 3 : depth &lt; 9 ? 2</t>
  </si>
  <si>
    <t>/tuning/enemyBalance.frequency.5/category</t>
  </si>
  <si>
    <t>/tuning/enemyBalance.frequency.5/label</t>
  </si>
  <si>
    <t>/tuning/enemyBalance.frequency.5/description</t>
  </si>
  <si>
    <t>/tuning/enemyBalance.frequency.5/unit</t>
  </si>
  <si>
    <t>/tuning/enemyBalance.frequency.5/min</t>
  </si>
  <si>
    <t>/tuning/enemyBalance.frequency.5/max</t>
  </si>
  <si>
    <t>/tuning/enemyBalance.frequency.5/integer</t>
  </si>
  <si>
    <t>/tuning/enemyBalance.frequency.6/value</t>
  </si>
  <si>
    <t>rule.tuning.enemyBalance.frequency.6</t>
  </si>
  <si>
    <t>enemyBalance · frequency 6</t>
  </si>
  <si>
    <t>Coefficient in: &lt; 3 ? 3 : depth &lt; 9 ? 2 : 1,</t>
  </si>
  <si>
    <t>/tuning/enemyBalance.frequency.6/category</t>
  </si>
  <si>
    <t>/tuning/enemyBalance.frequency.6/label</t>
  </si>
  <si>
    <t>/tuning/enemyBalance.frequency.6/description</t>
  </si>
  <si>
    <t>/tuning/enemyBalance.frequency.6/unit</t>
  </si>
  <si>
    <t>/tuning/enemyBalance.frequency.6/min</t>
  </si>
  <si>
    <t>/tuning/enemyBalance.frequency.6/max</t>
  </si>
  <si>
    <t>/tuning/enemyBalance.frequency.6/integer</t>
  </si>
  <si>
    <t>/tuning/enemyBalance.frequency.7/value</t>
  </si>
  <si>
    <t>rule.tuning.enemyBalance.frequency.7</t>
  </si>
  <si>
    <t>enemyBalance · frequency 7</t>
  </si>
  <si>
    <t>Coefficient in: 3 : depth &lt; 9 ? 2 : 1, strikes: (boss &amp;</t>
  </si>
  <si>
    <t>/tuning/enemyBalance.frequency.7/category</t>
  </si>
  <si>
    <t>/tuning/enemyBalance.frequency.7/label</t>
  </si>
  <si>
    <t>/tuning/enemyBalance.frequency.7/description</t>
  </si>
  <si>
    <t>/tuning/enemyBalance.frequency.7/unit</t>
  </si>
  <si>
    <t>/tuning/enemyBalance.frequency.7/min</t>
  </si>
  <si>
    <t>/tuning/enemyBalance.frequency.7/max</t>
  </si>
  <si>
    <t>/tuning/enemyBalance.frequency.7/integer</t>
  </si>
  <si>
    <t>/tuning/enemyBalance.strikes.1/value</t>
  </si>
  <si>
    <t>rule.tuning.enemyBalance.strikes.1</t>
  </si>
  <si>
    <t>enemyBalance · strikes 1</t>
  </si>
  <si>
    <t>Coefficient in: : 1, strikes: (boss &amp;&amp; depth &gt;= 6) || (stronghold &amp;&amp; depth &gt;= 7) ? 2 :</t>
  </si>
  <si>
    <t>/tuning/enemyBalance.strikes.1/category</t>
  </si>
  <si>
    <t>/tuning/enemyBalance.strikes.1/label</t>
  </si>
  <si>
    <t>/tuning/enemyBalance.strikes.1/description</t>
  </si>
  <si>
    <t>/tuning/enemyBalance.strikes.1/unit</t>
  </si>
  <si>
    <t>/tuning/enemyBalance.strikes.1/min</t>
  </si>
  <si>
    <t>/tuning/enemyBalance.strikes.1/max</t>
  </si>
  <si>
    <t>/tuning/enemyBalance.strikes.1/integer</t>
  </si>
  <si>
    <t>/tuning/enemyBalance.strikes.2/value</t>
  </si>
  <si>
    <t>rule.tuning.enemyBalance.strikes.2</t>
  </si>
  <si>
    <t>enemyBalance · strikes 2</t>
  </si>
  <si>
    <t>Coefficient in: epth &gt;= 6) || (stronghold &amp;&amp; depth &gt;= 7) ? 2 : 1, }; }</t>
  </si>
  <si>
    <t>/tuning/enemyBalance.strikes.2/category</t>
  </si>
  <si>
    <t>/tuning/enemyBalance.strikes.2/label</t>
  </si>
  <si>
    <t>/tuning/enemyBalance.strikes.2/description</t>
  </si>
  <si>
    <t>/tuning/enemyBalance.strikes.2/unit</t>
  </si>
  <si>
    <t>/tuning/enemyBalance.strikes.2/min</t>
  </si>
  <si>
    <t>/tuning/enemyBalance.strikes.2/max</t>
  </si>
  <si>
    <t>/tuning/enemyBalance.strikes.2/integer</t>
  </si>
  <si>
    <t>/tuning/enemyBalance.strikes.3/value</t>
  </si>
  <si>
    <t>rule.tuning.enemyBalance.strikes.3</t>
  </si>
  <si>
    <t>enemyBalance · strikes 3</t>
  </si>
  <si>
    <t>Coefficient in: &gt;= 6) || (stronghold &amp;&amp; depth &gt;= 7) ? 2 : 1, }; }</t>
  </si>
  <si>
    <t>/tuning/enemyBalance.strikes.3/category</t>
  </si>
  <si>
    <t>/tuning/enemyBalance.strikes.3/label</t>
  </si>
  <si>
    <t>/tuning/enemyBalance.strikes.3/description</t>
  </si>
  <si>
    <t>/tuning/enemyBalance.strikes.3/unit</t>
  </si>
  <si>
    <t>/tuning/enemyBalance.strikes.3/min</t>
  </si>
  <si>
    <t>/tuning/enemyBalance.strikes.3/max</t>
  </si>
  <si>
    <t>/tuning/enemyBalance.strikes.3/integer</t>
  </si>
  <si>
    <t>/tuning/beginEncounter.pools.1/value</t>
  </si>
  <si>
    <t>rule.tuning.beginEncounter.pools.1</t>
  </si>
  <si>
    <t>beginEncounter · pools 1</t>
  </si>
  <si>
    <t>Coefficient in: = !!options.elite, pools=(depth&gt;=8?BALANCE.encounterPools.deep:depth&gt;=4?</t>
  </si>
  <si>
    <t>/tuning/beginEncounter.pools.1/category</t>
  </si>
  <si>
    <t>/tuning/beginEncounter.pools.1/label</t>
  </si>
  <si>
    <t>/tuning/beginEncounter.pools.1/description</t>
  </si>
  <si>
    <t>/tuning/beginEncounter.pools.1/unit</t>
  </si>
  <si>
    <t>/tuning/beginEncounter.pools.1/min</t>
  </si>
  <si>
    <t>/tuning/beginEncounter.pools.1/max</t>
  </si>
  <si>
    <t>/tuning/beginEncounter.pools.1/integer</t>
  </si>
  <si>
    <t>/tuning/beginEncounter.pools.2/value</t>
  </si>
  <si>
    <t>rule.tuning.beginEncounter.pools.2</t>
  </si>
  <si>
    <t>beginEncounter · pools 2</t>
  </si>
  <si>
    <t>Coefficient in: =8?BALANCE.encounterPools.deep:depth&gt;=4?BALANCE.encounterPools.middle:BALANCE</t>
  </si>
  <si>
    <t>/tuning/beginEncounter.pools.2/category</t>
  </si>
  <si>
    <t>/tuning/beginEncounter.pools.2/label</t>
  </si>
  <si>
    <t>/tuning/beginEncounter.pools.2/description</t>
  </si>
  <si>
    <t>/tuning/beginEncounter.pools.2/unit</t>
  </si>
  <si>
    <t>/tuning/beginEncounter.pools.2/min</t>
  </si>
  <si>
    <t>/tuning/beginEncounter.pools.2/max</t>
  </si>
  <si>
    <t>/tuning/beginEncounter.pools.2/integer</t>
  </si>
  <si>
    <t>/tuning/beginEncounter.band.1/value</t>
  </si>
  <si>
    <t>rule.tuning.beginEncounter.band.1</t>
  </si>
  <si>
    <t>beginEncounter · band 1</t>
  </si>
  <si>
    <t>Coefficient in: BALANCE.encounterPools.bands[Math.min(4,Math.floor((depth-1)/2))]), count</t>
  </si>
  <si>
    <t>/tuning/beginEncounter.band.1/category</t>
  </si>
  <si>
    <t>/tuning/beginEncounter.band.1/label</t>
  </si>
  <si>
    <t>/tuning/beginEncounter.band.1/description</t>
  </si>
  <si>
    <t>/tuning/beginEncounter.band.1/unit</t>
  </si>
  <si>
    <t>/tuning/beginEncounter.band.1/min</t>
  </si>
  <si>
    <t>/tuning/beginEncounter.band.1/max</t>
  </si>
  <si>
    <t>/tuning/beginEncounter.band.1/integer</t>
  </si>
  <si>
    <t>/tuning/beginEncounter.band.2/value</t>
  </si>
  <si>
    <t>rule.tuning.beginEncounter.band.2</t>
  </si>
  <si>
    <t>beginEncounter · band 2</t>
  </si>
  <si>
    <t>Coefficient in: bands[Math.min(4,Math.floor((depth-1)/2))]), count = options.count</t>
  </si>
  <si>
    <t>/tuning/beginEncounter.band.2/category</t>
  </si>
  <si>
    <t>/tuning/beginEncounter.band.2/label</t>
  </si>
  <si>
    <t>/tuning/beginEncounter.band.2/description</t>
  </si>
  <si>
    <t>/tuning/beginEncounter.band.2/unit</t>
  </si>
  <si>
    <t>/tuning/beginEncounter.band.2/min</t>
  </si>
  <si>
    <t>/tuning/beginEncounter.band.2/max</t>
  </si>
  <si>
    <t>/tuning/beginEncounter.band.2/integer</t>
  </si>
  <si>
    <t>/tuning/beginEncounter.count.1/value</t>
  </si>
  <si>
    <t>rule.tuning.beginEncounter.count.1</t>
  </si>
  <si>
    <t>beginEncounter · count 1</t>
  </si>
  <si>
    <t>Coefficient in: !options.wandering &amp;&amp; depth &gt;= 4 &amp;&amp; Math.random() &lt; Math.min(0.4</t>
  </si>
  <si>
    <t>/tuning/beginEncounter.count.1/category</t>
  </si>
  <si>
    <t>/tuning/beginEncounter.count.1/label</t>
  </si>
  <si>
    <t>/tuning/beginEncounter.count.1/description</t>
  </si>
  <si>
    <t>/tuning/beginEncounter.count.1/unit</t>
  </si>
  <si>
    <t>/tuning/beginEncounter.count.1/min</t>
  </si>
  <si>
    <t>/tuning/beginEncounter.count.1/max</t>
  </si>
  <si>
    <t>/tuning/beginEncounter.count.1/integer</t>
  </si>
  <si>
    <t>/tuning/beginEncounter.count.2/value</t>
  </si>
  <si>
    <t>rule.tuning.beginEncounter.count.2</t>
  </si>
  <si>
    <t>beginEncounter · count 2</t>
  </si>
  <si>
    <t>Coefficient in: = 4 &amp;&amp; Math.random() &lt; Math.min(0.45, 0.08 + (depth - 4) * 0.055)</t>
  </si>
  <si>
    <t>/tuning/beginEncounter.count.2/category</t>
  </si>
  <si>
    <t>/tuning/beginEncounter.count.2/label</t>
  </si>
  <si>
    <t>/tuning/beginEncounter.count.2/description</t>
  </si>
  <si>
    <t>/tuning/beginEncounter.count.2/unit</t>
  </si>
  <si>
    <t>/tuning/beginEncounter.count.2/min</t>
  </si>
  <si>
    <t>/tuning/beginEncounter.count.2/max</t>
  </si>
  <si>
    <t>/tuning/beginEncounter.count.2/integer</t>
  </si>
  <si>
    <t>/tuning/beginEncounter.count.3/value</t>
  </si>
  <si>
    <t>rule.tuning.beginEncounter.count.3</t>
  </si>
  <si>
    <t>beginEncounter · count 3</t>
  </si>
  <si>
    <t>Coefficient in: Math.random() &lt; Math.min(0.45, 0.08 + (depth - 4) * 0.055) ? 2</t>
  </si>
  <si>
    <t>/tuning/beginEncounter.count.3/category</t>
  </si>
  <si>
    <t>/tuning/beginEncounter.count.3/label</t>
  </si>
  <si>
    <t>/tuning/beginEncounter.count.3/description</t>
  </si>
  <si>
    <t>/tuning/beginEncounter.count.3/unit</t>
  </si>
  <si>
    <t>/tuning/beginEncounter.count.3/min</t>
  </si>
  <si>
    <t>/tuning/beginEncounter.count.3/max</t>
  </si>
  <si>
    <t>/tuning/beginEncounter.count.3/integer</t>
  </si>
  <si>
    <t>/tuning/beginEncounter.count.4/value</t>
  </si>
  <si>
    <t>rule.tuning.beginEncounter.count.4</t>
  </si>
  <si>
    <t>beginEncounter · count 4</t>
  </si>
  <si>
    <t>Coefficient in: om() &lt; Math.min(0.45, 0.08 + (depth - 4) * 0.055) ? 2 : 1),</t>
  </si>
  <si>
    <t>/tuning/beginEncounter.count.4/category</t>
  </si>
  <si>
    <t>/tuning/beginEncounter.count.4/label</t>
  </si>
  <si>
    <t>/tuning/beginEncounter.count.4/description</t>
  </si>
  <si>
    <t>/tuning/beginEncounter.count.4/unit</t>
  </si>
  <si>
    <t>/tuning/beginEncounter.count.4/min</t>
  </si>
  <si>
    <t>/tuning/beginEncounter.count.4/max</t>
  </si>
  <si>
    <t>/tuning/beginEncounter.count.4/integer</t>
  </si>
  <si>
    <t>/tuning/beginEncounter.count.5/value</t>
  </si>
  <si>
    <t>rule.tuning.beginEncounter.count.5</t>
  </si>
  <si>
    <t>beginEncounter · count 5</t>
  </si>
  <si>
    <t>Coefficient in: &lt; Math.min(0.45, 0.08 + (depth - 4) * 0.055) ? 2 : 1), create</t>
  </si>
  <si>
    <t>/tuning/beginEncounter.count.5/category</t>
  </si>
  <si>
    <t>/tuning/beginEncounter.count.5/label</t>
  </si>
  <si>
    <t>/tuning/beginEncounter.count.5/description</t>
  </si>
  <si>
    <t>/tuning/beginEncounter.count.5/unit</t>
  </si>
  <si>
    <t>/tuning/beginEncounter.count.5/min</t>
  </si>
  <si>
    <t>/tuning/beginEncounter.count.5/max</t>
  </si>
  <si>
    <t>/tuning/beginEncounter.count.5/integer</t>
  </si>
  <si>
    <t>/tuning/beginEncounter.count.6/value</t>
  </si>
  <si>
    <t>rule.tuning.beginEncounter.count.6</t>
  </si>
  <si>
    <t>beginEncounter · count 6</t>
  </si>
  <si>
    <t>Coefficient in: 0.08 + (depth - 4) * 0.055) ? 2 : 1), create = (index) =&gt;</t>
  </si>
  <si>
    <t>/tuning/beginEncounter.count.6/category</t>
  </si>
  <si>
    <t>/tuning/beginEncounter.count.6/label</t>
  </si>
  <si>
    <t>/tuning/beginEncounter.count.6/description</t>
  </si>
  <si>
    <t>/tuning/beginEncounter.count.6/unit</t>
  </si>
  <si>
    <t>/tuning/beginEncounter.count.6/min</t>
  </si>
  <si>
    <t>/tuning/beginEncounter.count.6/max</t>
  </si>
  <si>
    <t>/tuning/beginEncounter.count.6/integer</t>
  </si>
  <si>
    <t>/tuning/beginEncounter.elite.1/value</t>
  </si>
  <si>
    <t>rule.tuning.beginEncounter.elite.1</t>
  </si>
  <si>
    <t>beginEncounter · elite 1</t>
  </si>
  <si>
    <t>Coefficient in: boss || stronghold || Math.random() &lt; 0.065, affixData=elite?pick(BALANCE</t>
  </si>
  <si>
    <t>/tuning/beginEncounter.elite.1/category</t>
  </si>
  <si>
    <t>/tuning/beginEncounter.elite.1/label</t>
  </si>
  <si>
    <t>/tuning/beginEncounter.elite.1/description</t>
  </si>
  <si>
    <t>/tuning/beginEncounter.elite.1/unit</t>
  </si>
  <si>
    <t>/tuning/beginEncounter.elite.1/min</t>
  </si>
  <si>
    <t>/tuning/beginEncounter.elite.1/max</t>
  </si>
  <si>
    <t>/tuning/beginEncounter.elite.1/integer</t>
  </si>
  <si>
    <t>/tuning/beginEncounter.pair.1/value</t>
  </si>
  <si>
    <t>rule.tuning.beginEncounter.pair.1</t>
  </si>
  <si>
    <t>beginEncounter · pair 1</t>
  </si>
  <si>
    <t>Coefficient in: ions.mimic, pair: count === 2, }), definition=BALAN</t>
  </si>
  <si>
    <t>/tuning/beginEncounter.pair.1/category</t>
  </si>
  <si>
    <t>/tuning/beginEncounter.pair.1/label</t>
  </si>
  <si>
    <t>/tuning/beginEncounter.pair.1/description</t>
  </si>
  <si>
    <t>/tuning/beginEncounter.pair.1/unit</t>
  </si>
  <si>
    <t>/tuning/beginEncounter.pair.1/min</t>
  </si>
  <si>
    <t>/tuning/beginEncounter.pair.1/max</t>
  </si>
  <si>
    <t>/tuning/beginEncounter.pair.1/integer</t>
  </si>
  <si>
    <t>/tuning/enemyTurn.attack.1/value</t>
  </si>
  <si>
    <t>rule.tuning.enemyTurn.attack.1</t>
  </si>
  <si>
    <t>enemyTurn · attack 1</t>
  </si>
  <si>
    <t>Coefficient in: raw.attack + raw.magic) * e.damage) / 9) + (raw.attack || raw.magic</t>
  </si>
  <si>
    <t>/tuning/enemyTurn.attack.1/category</t>
  </si>
  <si>
    <t>/tuning/enemyTurn.attack.1/label</t>
  </si>
  <si>
    <t>/tuning/enemyTurn.attack.1/description</t>
  </si>
  <si>
    <t>/tuning/enemyTurn.attack.1/unit</t>
  </si>
  <si>
    <t>/tuning/enemyTurn.attack.1/min</t>
  </si>
  <si>
    <t>/tuning/enemyTurn.attack.1/max</t>
  </si>
  <si>
    <t>/tuning/enemyTurn.attack.1/integer</t>
  </si>
  <si>
    <t>/tuning/enemyTurn.heal.1/value</t>
  </si>
  <si>
    <t>rule.tuning.enemyTurn.heal.1</t>
  </si>
  <si>
    <t>enemyTurn · heal 1</t>
  </si>
  <si>
    <t>Coefficient in: t, heal: Math.ceil(raw.heal / 2), block: raw.block, s</t>
  </si>
  <si>
    <t>/tuning/enemyTurn.heal.1/category</t>
  </si>
  <si>
    <t>/tuning/enemyTurn.heal.1/label</t>
  </si>
  <si>
    <t>/tuning/enemyTurn.heal.1/description</t>
  </si>
  <si>
    <t>/tuning/enemyTurn.heal.1/unit</t>
  </si>
  <si>
    <t>/tuning/enemyTurn.heal.1/min</t>
  </si>
  <si>
    <t>/tuning/enemyTurn.heal.1/max</t>
  </si>
  <si>
    <t>/tuning/enemyTurn.heal.1/integer</t>
  </si>
  <si>
    <t>/tuning/enemy.growthStartDepth/value</t>
  </si>
  <si>
    <t>rule.tuning.enemy.growthStartDepth</t>
  </si>
  <si>
    <t>growthStartDepth</t>
  </si>
  <si>
    <t>Coefficient in: const growth = Math.max(0, depth - 3); return { maxHp: boss ?</t>
  </si>
  <si>
    <t>/tuning/enemy.growthStartDepth/category</t>
  </si>
  <si>
    <t>/tuning/enemy.growthStartDepth/label</t>
  </si>
  <si>
    <t>/tuning/enemy.growthStartDepth/description</t>
  </si>
  <si>
    <t>/tuning/enemy.growthStartDepth/unit</t>
  </si>
  <si>
    <t>/tuning/enemy.growthStartDepth/min</t>
  </si>
  <si>
    <t>/tuning/enemy.growthStartDepth/max</t>
  </si>
  <si>
    <t>/tuning/enemy.growthStartDepth/integer</t>
  </si>
  <si>
    <t>/tuning/enemy.bossHpBase/value</t>
  </si>
  <si>
    <t>rule.tuning.enemy.bossHpBase</t>
  </si>
  <si>
    <t>bossHpBase</t>
  </si>
  <si>
    <t>Coefficient in: n { maxHp: boss ? Math.ceil(30 + depth * 9 + growth * growth * 3.2)</t>
  </si>
  <si>
    <t>/tuning/enemy.bossHpBase/category</t>
  </si>
  <si>
    <t>/tuning/enemy.bossHpBase/label</t>
  </si>
  <si>
    <t>/tuning/enemy.bossHpBase/description</t>
  </si>
  <si>
    <t>/tuning/enemy.bossHpBase/unit</t>
  </si>
  <si>
    <t>/tuning/enemy.bossHpBase/min</t>
  </si>
  <si>
    <t>/tuning/enemy.bossHpBase/max</t>
  </si>
  <si>
    <t>/tuning/enemy.bossHpBase/integer</t>
  </si>
  <si>
    <t>/tuning/enemy.bossHpPerDepth/value</t>
  </si>
  <si>
    <t>rule.tuning.enemy.bossHpPerDepth</t>
  </si>
  <si>
    <t>bossHpPerDepth</t>
  </si>
  <si>
    <t>Coefficient in: : boss ? Math.ceil(30 + depth * 9 + growth * growth * 3.2) : Math</t>
  </si>
  <si>
    <t>/tuning/enemy.bossHpPerDepth/category</t>
  </si>
  <si>
    <t>/tuning/enemy.bossHpPerDepth/label</t>
  </si>
  <si>
    <t>/tuning/enemy.bossHpPerDepth/description</t>
  </si>
  <si>
    <t>/tuning/enemy.bossHpPerDepth/unit</t>
  </si>
  <si>
    <t>/tuning/enemy.bossHpPerDepth/min</t>
  </si>
  <si>
    <t>/tuning/enemy.bossHpPerDepth/max</t>
  </si>
  <si>
    <t>/tuning/enemy.bossHpPerDepth/integer</t>
  </si>
  <si>
    <t>/tuning/enemy.bossHpQuadratic/value</t>
  </si>
  <si>
    <t>rule.tuning.enemy.bossHpQuadratic</t>
  </si>
  <si>
    <t>bossHpQuadratic</t>
  </si>
  <si>
    <t>Coefficient in: il(30 + depth * 9 + growth * growth * 3.2) : Math.ceil( (16 + d</t>
  </si>
  <si>
    <t>/tuning/enemy.bossHpQuadratic/category</t>
  </si>
  <si>
    <t>/tuning/enemy.bossHpQuadratic/label</t>
  </si>
  <si>
    <t>/tuning/enemy.bossHpQuadratic/description</t>
  </si>
  <si>
    <t>/tuning/enemy.bossHpQuadratic/unit</t>
  </si>
  <si>
    <t>/tuning/enemy.bossHpQuadratic/min</t>
  </si>
  <si>
    <t>/tuning/enemy.bossHpQuadratic/max</t>
  </si>
  <si>
    <t>/tuning/enemy.bossHpQuadratic/integer</t>
  </si>
  <si>
    <t>/tuning/enemy.hpBase/value</t>
  </si>
  <si>
    <t>rule.tuning.enemy.hpBase</t>
  </si>
  <si>
    <t>hpBase</t>
  </si>
  <si>
    <t>Coefficient in: * 3.2) : Math.ceil( (16 + depth * 5 + growth * growth * 0.45)</t>
  </si>
  <si>
    <t>/tuning/enemy.hpBase/category</t>
  </si>
  <si>
    <t>/tuning/enemy.hpBase/label</t>
  </si>
  <si>
    <t>/tuning/enemy.hpBase/description</t>
  </si>
  <si>
    <t>/tuning/enemy.hpBase/unit</t>
  </si>
  <si>
    <t>/tuning/enemy.hpBase/min</t>
  </si>
  <si>
    <t>/tuning/enemy.hpBase/max</t>
  </si>
  <si>
    <t>/tuning/enemy.hpBase/integer</t>
  </si>
  <si>
    <t>/tuning/enemy.hpPerDepth/value</t>
  </si>
  <si>
    <t>rule.tuning.enemy.hpPerDepth</t>
  </si>
  <si>
    <t>hpPerDepth</t>
  </si>
  <si>
    <t>Coefficient in: : Math.ceil( (16 + depth * 5 + growth * growth * 0.45) *</t>
  </si>
  <si>
    <t>/tuning/enemy.hpPerDepth/category</t>
  </si>
  <si>
    <t>/tuning/enemy.hpPerDepth/label</t>
  </si>
  <si>
    <t>/tuning/enemy.hpPerDepth/description</t>
  </si>
  <si>
    <t>/tuning/enemy.hpPerDepth/unit</t>
  </si>
  <si>
    <t>/tuning/enemy.hpPerDepth/min</t>
  </si>
  <si>
    <t>/tuning/enemy.hpPerDepth/max</t>
  </si>
  <si>
    <t>/tuning/enemy.hpPerDepth/integer</t>
  </si>
  <si>
    <t>/tuning/enemy.hpQuadratic/value</t>
  </si>
  <si>
    <t>rule.tuning.enemy.hpQuadratic</t>
  </si>
  <si>
    <t>hpQuadratic</t>
  </si>
  <si>
    <t>Coefficient in: (16 + depth * 5 + growth * growth * 0.45) * (elite ? 1.38 : 1) *</t>
  </si>
  <si>
    <t>/tuning/enemy.hpQuadratic/category</t>
  </si>
  <si>
    <t>/tuning/enemy.hpQuadratic/label</t>
  </si>
  <si>
    <t>/tuning/enemy.hpQuadratic/description</t>
  </si>
  <si>
    <t>/tuning/enemy.hpQuadratic/unit</t>
  </si>
  <si>
    <t>/tuning/enemy.hpQuadratic/min</t>
  </si>
  <si>
    <t>/tuning/enemy.hpQuadratic/max</t>
  </si>
  <si>
    <t>/tuning/enemy.hpQuadratic/integer</t>
  </si>
  <si>
    <t>/tuning/enemy.eliteHpMultiplier/value</t>
  </si>
  <si>
    <t>rule.tuning.enemy.eliteHpMultiplier</t>
  </si>
  <si>
    <t>eliteHpMultiplier</t>
  </si>
  <si>
    <t>Coefficient in: growth * 0.45) * (elite ? 1.38 : 1) * (stronghold ? 1.5</t>
  </si>
  <si>
    <t>/tuning/enemy.eliteHpMultiplier/category</t>
  </si>
  <si>
    <t>/tuning/enemy.eliteHpMultiplier/label</t>
  </si>
  <si>
    <t>/tuning/enemy.eliteHpMultiplier/description</t>
  </si>
  <si>
    <t>/tuning/enemy.eliteHpMultiplier/unit</t>
  </si>
  <si>
    <t>/tuning/enemy.eliteHpMultiplier/min</t>
  </si>
  <si>
    <t>/tuning/enemy.eliteHpMultiplier/max</t>
  </si>
  <si>
    <t>/tuning/enemy.eliteHpMultiplier/integer</t>
  </si>
  <si>
    <t>/tuning/enemy.strongholdHpMultiplier/value</t>
  </si>
  <si>
    <t>rule.tuning.enemy.strongholdHpMultiplier</t>
  </si>
  <si>
    <t>strongholdHpMultiplier</t>
  </si>
  <si>
    <t>Coefficient in: 1.38 : 1) * (stronghold ? 1.5 : 1) * (mimic ? 1.2 : 1)</t>
  </si>
  <si>
    <t>/tuning/enemy.strongholdHpMultiplier/category</t>
  </si>
  <si>
    <t>/tuning/enemy.strongholdHpMultiplier/label</t>
  </si>
  <si>
    <t>/tuning/enemy.strongholdHpMultiplier/description</t>
  </si>
  <si>
    <t>/tuning/enemy.strongholdHpMultiplier/unit</t>
  </si>
  <si>
    <t>/tuning/enemy.strongholdHpMultiplier/min</t>
  </si>
  <si>
    <t>/tuning/enemy.strongholdHpMultiplier/max</t>
  </si>
  <si>
    <t>/tuning/enemy.strongholdHpMultiplier/integer</t>
  </si>
  <si>
    <t>/tuning/enemy.mimicHpMultiplier/value</t>
  </si>
  <si>
    <t>rule.tuning.enemy.mimicHpMultiplier</t>
  </si>
  <si>
    <t>mimicHpMultiplier</t>
  </si>
  <si>
    <t>Coefficient in: old ? 1.5 : 1) * (mimic ? 1.2 : 1) * (pair ? 0.78 : 1),</t>
  </si>
  <si>
    <t>/tuning/enemy.mimicHpMultiplier/category</t>
  </si>
  <si>
    <t>/tuning/enemy.mimicHpMultiplier/label</t>
  </si>
  <si>
    <t>/tuning/enemy.mimicHpMultiplier/description</t>
  </si>
  <si>
    <t>/tuning/enemy.mimicHpMultiplier/unit</t>
  </si>
  <si>
    <t>/tuning/enemy.mimicHpMultiplier/min</t>
  </si>
  <si>
    <t>/tuning/enemy.mimicHpMultiplier/max</t>
  </si>
  <si>
    <t>/tuning/enemy.mimicHpMultiplier/integer</t>
  </si>
  <si>
    <t>/tuning/enemy.pairHpMultiplier/value</t>
  </si>
  <si>
    <t>rule.tuning.enemy.pairHpMultiplier</t>
  </si>
  <si>
    <t>pairHpMultiplier</t>
  </si>
  <si>
    <t>Coefficient in: imic ? 1.2 : 1) * (pair ? 0.78 : 1), ), damage: boss</t>
  </si>
  <si>
    <t>/tuning/enemy.pairHpMultiplier/category</t>
  </si>
  <si>
    <t>/tuning/enemy.pairHpMultiplier/label</t>
  </si>
  <si>
    <t>/tuning/enemy.pairHpMultiplier/description</t>
  </si>
  <si>
    <t>/tuning/enemy.pairHpMultiplier/unit</t>
  </si>
  <si>
    <t>/tuning/enemy.pairHpMultiplier/min</t>
  </si>
  <si>
    <t>/tuning/enemy.pairHpMultiplier/max</t>
  </si>
  <si>
    <t>/tuning/enemy.pairHpMultiplier/integer</t>
  </si>
  <si>
    <t>/tuning/generateFloor.start.1/value</t>
  </si>
  <si>
    <t>rule.tuning.generateFloor.start.1</t>
  </si>
  <si>
    <t>generateFloor · start 1</t>
  </si>
  <si>
    <t>Coefficient in: Pity || 0, ) { const start = pos(1, 7), map = Array.from({ length: W *</t>
  </si>
  <si>
    <t>/tuning/generateFloor.start.1/category</t>
  </si>
  <si>
    <t>World</t>
  </si>
  <si>
    <t>/tuning/generateFloor.start.1/label</t>
  </si>
  <si>
    <t>/tuning/generateFloor.start.1/description</t>
  </si>
  <si>
    <t>/tuning/generateFloor.start.1/unit</t>
  </si>
  <si>
    <t>/tuning/generateFloor.start.1/min</t>
  </si>
  <si>
    <t>/tuning/generateFloor.start.1/max</t>
  </si>
  <si>
    <t>/tuning/generateFloor.start.1/integer</t>
  </si>
  <si>
    <t>/tuning/generateFloor.coefficient.1/value</t>
  </si>
  <si>
    <t>rule.tuning.generateFloor.coefficient.1</t>
  </si>
  <si>
    <t>generateFloor · coefficient 1</t>
  </si>
  <si>
    <t>Coefficient in: os(x, y) !== start &amp;&amp; Math.random() &lt; 0.11) Object.assign(map[pos(x, y)]</t>
  </si>
  <si>
    <t>/tuning/generateFloor.coefficient.1/category</t>
  </si>
  <si>
    <t>/tuning/generateFloor.coefficient.1/label</t>
  </si>
  <si>
    <t>/tuning/generateFloor.coefficient.1/description</t>
  </si>
  <si>
    <t>/tuning/generateFloor.coefficient.1/unit</t>
  </si>
  <si>
    <t>/tuning/generateFloor.coefficient.1/min</t>
  </si>
  <si>
    <t>/tuning/generateFloor.coefficient.1/max</t>
  </si>
  <si>
    <t>/tuning/generateFloor.coefficient.1/integer</t>
  </si>
  <si>
    <t>/tuning/generateFloor.riverCount.1/value</t>
  </si>
  <si>
    <t>rule.tuning.generateFloor.riverCount.1</t>
  </si>
  <si>
    <t>generateFloor · riverCount 1</t>
  </si>
  <si>
    <t>Coefficient in: andom(), riverCount = riverRoll &lt; 0.012 ? 2 : riverRoll &lt; 0.35 ? 1 : 0; for</t>
  </si>
  <si>
    <t>/tuning/generateFloor.riverCount.1/category</t>
  </si>
  <si>
    <t>/tuning/generateFloor.riverCount.1/label</t>
  </si>
  <si>
    <t>/tuning/generateFloor.riverCount.1/description</t>
  </si>
  <si>
    <t>/tuning/generateFloor.riverCount.1/unit</t>
  </si>
  <si>
    <t>/tuning/generateFloor.riverCount.1/min</t>
  </si>
  <si>
    <t>/tuning/generateFloor.riverCount.1/max</t>
  </si>
  <si>
    <t>/tuning/generateFloor.riverCount.1/integer</t>
  </si>
  <si>
    <t>/tuning/generateFloor.riverCount.2/value</t>
  </si>
  <si>
    <t>rule.tuning.generateFloor.riverCount.2</t>
  </si>
  <si>
    <t>generateFloor · riverCount 2</t>
  </si>
  <si>
    <t>Coefficient in: riverCount = riverRoll &lt; 0.012 ? 2 : riverRoll &lt; 0.35 ? 1 : 0; for (le</t>
  </si>
  <si>
    <t>/tuning/generateFloor.riverCount.2/category</t>
  </si>
  <si>
    <t>/tuning/generateFloor.riverCount.2/label</t>
  </si>
  <si>
    <t>/tuning/generateFloor.riverCount.2/description</t>
  </si>
  <si>
    <t>/tuning/generateFloor.riverCount.2/unit</t>
  </si>
  <si>
    <t>/tuning/generateFloor.riverCount.2/min</t>
  </si>
  <si>
    <t>/tuning/generateFloor.riverCount.2/max</t>
  </si>
  <si>
    <t>/tuning/generateFloor.riverCount.2/integer</t>
  </si>
  <si>
    <t>/tuning/generateFloor.riverCount.3/value</t>
  </si>
  <si>
    <t>rule.tuning.generateFloor.riverCount.3</t>
  </si>
  <si>
    <t>generateFloor · riverCount 3</t>
  </si>
  <si>
    <t>Coefficient in: = riverRoll &lt; 0.012 ? 2 : riverRoll &lt; 0.35 ? 1 : 0; for (let stream = 0; strea</t>
  </si>
  <si>
    <t>/tuning/generateFloor.riverCount.3/category</t>
  </si>
  <si>
    <t>/tuning/generateFloor.riverCount.3/label</t>
  </si>
  <si>
    <t>/tuning/generateFloor.riverCount.3/description</t>
  </si>
  <si>
    <t>/tuning/generateFloor.riverCount.3/unit</t>
  </si>
  <si>
    <t>/tuning/generateFloor.riverCount.3/min</t>
  </si>
  <si>
    <t>/tuning/generateFloor.riverCount.3/max</t>
  </si>
  <si>
    <t>/tuning/generateFloor.riverCount.3/integer</t>
  </si>
  <si>
    <t>/tuning/generateFloor.horizontal.1/value</t>
  </si>
  <si>
    <t>rule.tuning.generateFloor.horizontal.1</t>
  </si>
  <si>
    <t>generateFloor · horizontal 1</t>
  </si>
  <si>
    <t>Coefficient in: = riverCount === 1 &amp;&amp; Math.random() &lt; 0.45, low = riverCount === 2 ? (stre</t>
  </si>
  <si>
    <t>/tuning/generateFloor.horizontal.1/category</t>
  </si>
  <si>
    <t>/tuning/generateFloor.horizontal.1/label</t>
  </si>
  <si>
    <t>/tuning/generateFloor.horizontal.1/description</t>
  </si>
  <si>
    <t>/tuning/generateFloor.horizontal.1/unit</t>
  </si>
  <si>
    <t>/tuning/generateFloor.horizontal.1/min</t>
  </si>
  <si>
    <t>/tuning/generateFloor.horizontal.1/max</t>
  </si>
  <si>
    <t>/tuning/generateFloor.horizontal.1/integer</t>
  </si>
  <si>
    <t>/tuning/generateFloor.low.1/value</t>
  </si>
  <si>
    <t>rule.tuning.generateFloor.low.1</t>
  </si>
  <si>
    <t>generateFloor · low 1</t>
  </si>
  <si>
    <t>Coefficient in: () &lt; 0.45, low = riverCount === 2 ? (stream === 0 ? 2 : 6) : 2, h</t>
  </si>
  <si>
    <t>/tuning/generateFloor.low.1/category</t>
  </si>
  <si>
    <t>/tuning/generateFloor.low.1/label</t>
  </si>
  <si>
    <t>/tuning/generateFloor.low.1/description</t>
  </si>
  <si>
    <t>/tuning/generateFloor.low.1/unit</t>
  </si>
  <si>
    <t>/tuning/generateFloor.low.1/min</t>
  </si>
  <si>
    <t>/tuning/generateFloor.low.1/max</t>
  </si>
  <si>
    <t>/tuning/generateFloor.low.1/integer</t>
  </si>
  <si>
    <t>/tuning/generateFloor.low.2/value</t>
  </si>
  <si>
    <t>rule.tuning.generateFloor.low.2</t>
  </si>
  <si>
    <t>generateFloor · low 2</t>
  </si>
  <si>
    <t>Coefficient in: = riverCount === 2 ? (stream === 0 ? 2 : 6) : 2, high = riverCount ===</t>
  </si>
  <si>
    <t>/tuning/generateFloor.low.2/category</t>
  </si>
  <si>
    <t>/tuning/generateFloor.low.2/label</t>
  </si>
  <si>
    <t>/tuning/generateFloor.low.2/description</t>
  </si>
  <si>
    <t>/tuning/generateFloor.low.2/unit</t>
  </si>
  <si>
    <t>/tuning/generateFloor.low.2/min</t>
  </si>
  <si>
    <t>/tuning/generateFloor.low.2/max</t>
  </si>
  <si>
    <t>/tuning/generateFloor.low.2/integer</t>
  </si>
  <si>
    <t>/tuning/generateFloor.low.3/value</t>
  </si>
  <si>
    <t>rule.tuning.generateFloor.low.3</t>
  </si>
  <si>
    <t>generateFloor · low 3</t>
  </si>
  <si>
    <t>Coefficient in: iverCount === 2 ? (stream === 0 ? 2 : 6) : 2, high = riverCount === 2 ?</t>
  </si>
  <si>
    <t>/tuning/generateFloor.low.3/category</t>
  </si>
  <si>
    <t>/tuning/generateFloor.low.3/label</t>
  </si>
  <si>
    <t>/tuning/generateFloor.low.3/description</t>
  </si>
  <si>
    <t>/tuning/generateFloor.low.3/unit</t>
  </si>
  <si>
    <t>/tuning/generateFloor.low.3/min</t>
  </si>
  <si>
    <t>/tuning/generateFloor.low.3/max</t>
  </si>
  <si>
    <t>/tuning/generateFloor.low.3/integer</t>
  </si>
  <si>
    <t>/tuning/generateFloor.low.4/value</t>
  </si>
  <si>
    <t>rule.tuning.generateFloor.low.4</t>
  </si>
  <si>
    <t>generateFloor · low 4</t>
  </si>
  <si>
    <t>Coefficient in: ount === 2 ? (stream === 0 ? 2 : 6) : 2, high = riverCount === 2 ? low</t>
  </si>
  <si>
    <t>/tuning/generateFloor.low.4/category</t>
  </si>
  <si>
    <t>/tuning/generateFloor.low.4/label</t>
  </si>
  <si>
    <t>/tuning/generateFloor.low.4/description</t>
  </si>
  <si>
    <t>/tuning/generateFloor.low.4/unit</t>
  </si>
  <si>
    <t>/tuning/generateFloor.low.4/min</t>
  </si>
  <si>
    <t>/tuning/generateFloor.low.4/max</t>
  </si>
  <si>
    <t>/tuning/generateFloor.low.4/integer</t>
  </si>
  <si>
    <t>/tuning/generateFloor.high.1/value</t>
  </si>
  <si>
    <t>rule.tuning.generateFloor.high.1</t>
  </si>
  <si>
    <t>generateFloor · high 1</t>
  </si>
  <si>
    <t>Coefficient in: : 6) : 2, high = riverCount === 2 ? low + 1 : horizontal ? 5 : 8,</t>
  </si>
  <si>
    <t>/tuning/generateFloor.high.1/category</t>
  </si>
  <si>
    <t>/tuning/generateFloor.high.1/label</t>
  </si>
  <si>
    <t>/tuning/generateFloor.high.1/description</t>
  </si>
  <si>
    <t>/tuning/generateFloor.high.1/unit</t>
  </si>
  <si>
    <t>/tuning/generateFloor.high.1/min</t>
  </si>
  <si>
    <t>/tuning/generateFloor.high.1/max</t>
  </si>
  <si>
    <t>/tuning/generateFloor.high.1/integer</t>
  </si>
  <si>
    <t>/tuning/generateFloor.high.2/value</t>
  </si>
  <si>
    <t>rule.tuning.generateFloor.high.2</t>
  </si>
  <si>
    <t>generateFloor · high 2</t>
  </si>
  <si>
    <t>Coefficient in: rCount === 2 ? low + 1 : horizontal ? 5 : 8, river = []; let offset</t>
  </si>
  <si>
    <t>/tuning/generateFloor.high.2/category</t>
  </si>
  <si>
    <t>/tuning/generateFloor.high.2/label</t>
  </si>
  <si>
    <t>/tuning/generateFloor.high.2/description</t>
  </si>
  <si>
    <t>/tuning/generateFloor.high.2/unit</t>
  </si>
  <si>
    <t>/tuning/generateFloor.high.2/min</t>
  </si>
  <si>
    <t>/tuning/generateFloor.high.2/max</t>
  </si>
  <si>
    <t>/tuning/generateFloor.high.2/integer</t>
  </si>
  <si>
    <t>/tuning/generateFloor.high.3/value</t>
  </si>
  <si>
    <t>rule.tuning.generateFloor.high.3</t>
  </si>
  <si>
    <t>generateFloor · high 3</t>
  </si>
  <si>
    <t>Coefficient in: nt === 2 ? low + 1 : horizontal ? 5 : 8, river = []; let offset = l</t>
  </si>
  <si>
    <t>/tuning/generateFloor.high.3/category</t>
  </si>
  <si>
    <t>/tuning/generateFloor.high.3/label</t>
  </si>
  <si>
    <t>/tuning/generateFloor.high.3/description</t>
  </si>
  <si>
    <t>/tuning/generateFloor.high.3/unit</t>
  </si>
  <si>
    <t>/tuning/generateFloor.high.3/min</t>
  </si>
  <si>
    <t>/tuning/generateFloor.high.3/max</t>
  </si>
  <si>
    <t>/tuning/generateFloor.high.3/integer</t>
  </si>
  <si>
    <t>/tuning/generateFloor.length.1/value</t>
  </si>
  <si>
    <t>rule.tuning.generateFloor.length.1</t>
  </si>
  <si>
    <t>generateFloor · length 1</t>
  </si>
  <si>
    <t>Coefficient in: ; const length = horizontal ? W - 2 : H - 2; for (let step = 1; step</t>
  </si>
  <si>
    <t>/tuning/generateFloor.length.1/category</t>
  </si>
  <si>
    <t>/tuning/generateFloor.length.1/label</t>
  </si>
  <si>
    <t>/tuning/generateFloor.length.1/description</t>
  </si>
  <si>
    <t>/tuning/generateFloor.length.1/unit</t>
  </si>
  <si>
    <t>/tuning/generateFloor.length.1/min</t>
  </si>
  <si>
    <t>/tuning/generateFloor.length.1/max</t>
  </si>
  <si>
    <t>/tuning/generateFloor.length.1/integer</t>
  </si>
  <si>
    <t>/tuning/generateFloor.length.2/value</t>
  </si>
  <si>
    <t>rule.tuning.generateFloor.length.2</t>
  </si>
  <si>
    <t>generateFloor · length 2</t>
  </si>
  <si>
    <t>Coefficient in: nst length = horizontal ? W - 2 : H - 2; for (let step = 1; step &lt;= lengt</t>
  </si>
  <si>
    <t>/tuning/generateFloor.length.2/category</t>
  </si>
  <si>
    <t>/tuning/generateFloor.length.2/label</t>
  </si>
  <si>
    <t>/tuning/generateFloor.length.2/description</t>
  </si>
  <si>
    <t>/tuning/generateFloor.length.2/unit</t>
  </si>
  <si>
    <t>/tuning/generateFloor.length.2/min</t>
  </si>
  <si>
    <t>/tuning/generateFloor.length.2/max</t>
  </si>
  <si>
    <t>/tuning/generateFloor.length.2/integer</t>
  </si>
  <si>
    <t>/tuning/generateFloor.coefficient.2/value</t>
  </si>
  <si>
    <t>rule.tuning.generateFloor.coefficient.2</t>
  </si>
  <si>
    <t>generateFloor · coefficient 2</t>
  </si>
  <si>
    <t>Coefficient in: if (step &lt; length &amp;&amp; Math.random() &lt; 0.45) { offset = Math.max(</t>
  </si>
  <si>
    <t>/tuning/generateFloor.coefficient.2/category</t>
  </si>
  <si>
    <t>/tuning/generateFloor.coefficient.2/label</t>
  </si>
  <si>
    <t>/tuning/generateFloor.coefficient.2/description</t>
  </si>
  <si>
    <t>/tuning/generateFloor.coefficient.2/unit</t>
  </si>
  <si>
    <t>/tuning/generateFloor.coefficient.2/min</t>
  </si>
  <si>
    <t>/tuning/generateFloor.coefficient.2/max</t>
  </si>
  <si>
    <t>/tuning/generateFloor.coefficient.2/integer</t>
  </si>
  <si>
    <t>/tuning/generateFloor.coefficient.3/value</t>
  </si>
  <si>
    <t>rule.tuning.generateFloor.coefficient.3</t>
  </si>
  <si>
    <t>generateFloor · coefficient 3</t>
  </si>
  <si>
    <t>Coefficient in: h.min(high, offset + (Math.random() &lt; 0.5 ? -1 : 1)), ); wet(st</t>
  </si>
  <si>
    <t>/tuning/generateFloor.coefficient.3/category</t>
  </si>
  <si>
    <t>/tuning/generateFloor.coefficient.3/label</t>
  </si>
  <si>
    <t>/tuning/generateFloor.coefficient.3/description</t>
  </si>
  <si>
    <t>/tuning/generateFloor.coefficient.3/unit</t>
  </si>
  <si>
    <t>/tuning/generateFloor.coefficient.3/min</t>
  </si>
  <si>
    <t>/tuning/generateFloor.coefficient.3/max</t>
  </si>
  <si>
    <t>/tuning/generateFloor.coefficient.3/integer</t>
  </si>
  <si>
    <t>/tuning/generateFloor.candidates.1/value</t>
  </si>
  <si>
    <t>rule.tuning.generateFloor.candidates.1</t>
  </si>
  <si>
    <t>generateFloor · candidates 1</t>
  </si>
  <si>
    <t>Coefficient in: ) - 1) + Math.abs(Math.floor(i / W) - 7) &gt;= 8, ); if (!candidates.lengt</t>
  </si>
  <si>
    <t>/tuning/generateFloor.candidates.1/category</t>
  </si>
  <si>
    <t>/tuning/generateFloor.candidates.1/label</t>
  </si>
  <si>
    <t>/tuning/generateFloor.candidates.1/description</t>
  </si>
  <si>
    <t>/tuning/generateFloor.candidates.1/unit</t>
  </si>
  <si>
    <t>/tuning/generateFloor.candidates.1/min</t>
  </si>
  <si>
    <t>/tuning/generateFloor.candidates.1/max</t>
  </si>
  <si>
    <t>/tuning/generateFloor.candidates.1/integer</t>
  </si>
  <si>
    <t>/tuning/generateFloor.candidates.2/value</t>
  </si>
  <si>
    <t>rule.tuning.generateFloor.candidates.2</t>
  </si>
  <si>
    <t>generateFloor · candidates 2</t>
  </si>
  <si>
    <t>Coefficient in: + Math.abs(Math.floor(i / W) - 7) &gt;= 8, ); if (!candidates.length) {</t>
  </si>
  <si>
    <t>/tuning/generateFloor.candidates.2/category</t>
  </si>
  <si>
    <t>/tuning/generateFloor.candidates.2/label</t>
  </si>
  <si>
    <t>/tuning/generateFloor.candidates.2/description</t>
  </si>
  <si>
    <t>/tuning/generateFloor.candidates.2/unit</t>
  </si>
  <si>
    <t>/tuning/generateFloor.candidates.2/min</t>
  </si>
  <si>
    <t>/tuning/generateFloor.candidates.2/max</t>
  </si>
  <si>
    <t>/tuning/generateFloor.candidates.2/integer</t>
  </si>
  <si>
    <t>/tuning/generateFloor.coefficient.4/value</t>
  </si>
  <si>
    <t>rule.tuning.generateFloor.coefficient.4</t>
  </si>
  <si>
    <t>generateFloor · coefficient 4</t>
  </si>
  <si>
    <t>Coefficient in: s.length) { Object.assign(map[pos(9, 1)], { wall: false, terrain: "floor"</t>
  </si>
  <si>
    <t>/tuning/generateFloor.coefficient.4/category</t>
  </si>
  <si>
    <t>/tuning/generateFloor.coefficient.4/label</t>
  </si>
  <si>
    <t>/tuning/generateFloor.coefficient.4/description</t>
  </si>
  <si>
    <t>/tuning/generateFloor.coefficient.4/unit</t>
  </si>
  <si>
    <t>/tuning/generateFloor.coefficient.4/min</t>
  </si>
  <si>
    <t>/tuning/generateFloor.coefficient.4/max</t>
  </si>
  <si>
    <t>/tuning/generateFloor.coefficient.4/integer</t>
  </si>
  <si>
    <t>/tuning/generateFloor.coefficient.5/value</t>
  </si>
  <si>
    <t>rule.tuning.generateFloor.coefficient.5</t>
  </si>
  <si>
    <t>generateFloor · coefficient 5</t>
  </si>
  <si>
    <t>Coefficient in: in: "floor" }); candidates = [pos(9, 1)]; } const stair = pick(candid</t>
  </si>
  <si>
    <t>/tuning/generateFloor.coefficient.5/category</t>
  </si>
  <si>
    <t>/tuning/generateFloor.coefficient.5/label</t>
  </si>
  <si>
    <t>/tuning/generateFloor.coefficient.5/description</t>
  </si>
  <si>
    <t>/tuning/generateFloor.coefficient.5/unit</t>
  </si>
  <si>
    <t>/tuning/generateFloor.coefficient.5/min</t>
  </si>
  <si>
    <t>/tuning/generateFloor.coefficient.5/max</t>
  </si>
  <si>
    <t>/tuning/generateFloor.coefficient.5/integer</t>
  </si>
  <si>
    <t>/tuning/generateFloor.coefficient.6/value</t>
  </si>
  <si>
    <t>rule.tuning.generateFloor.coefficient.6</t>
  </si>
  <si>
    <t>generateFloor · coefficient 6</t>
  </si>
  <si>
    <t>Coefficient in: feated = false; if (Math.random() &lt; 0.035) { const centers = [pos(4, 3), po</t>
  </si>
  <si>
    <t>/tuning/generateFloor.coefficient.6/category</t>
  </si>
  <si>
    <t>/tuning/generateFloor.coefficient.6/label</t>
  </si>
  <si>
    <t>/tuning/generateFloor.coefficient.6/description</t>
  </si>
  <si>
    <t>/tuning/generateFloor.coefficient.6/unit</t>
  </si>
  <si>
    <t>/tuning/generateFloor.coefficient.6/min</t>
  </si>
  <si>
    <t>/tuning/generateFloor.coefficient.6/max</t>
  </si>
  <si>
    <t>/tuning/generateFloor.coefficient.6/integer</t>
  </si>
  <si>
    <t>/tuning/generateFloor.centers.1/value</t>
  </si>
  <si>
    <t>rule.tuning.generateFloor.centers.1</t>
  </si>
  <si>
    <t>generateFloor · centers 1</t>
  </si>
  <si>
    <t>Coefficient in: ) &lt; 0.035) { const centers = [pos(4, 3), pos(6, 3), pos(7, 4)].filter(</t>
  </si>
  <si>
    <t>/tuning/generateFloor.centers.1/category</t>
  </si>
  <si>
    <t>/tuning/generateFloor.centers.1/label</t>
  </si>
  <si>
    <t>/tuning/generateFloor.centers.1/description</t>
  </si>
  <si>
    <t>/tuning/generateFloor.centers.1/unit</t>
  </si>
  <si>
    <t>/tuning/generateFloor.centers.1/min</t>
  </si>
  <si>
    <t>/tuning/generateFloor.centers.1/max</t>
  </si>
  <si>
    <t>/tuning/generateFloor.centers.1/integer</t>
  </si>
  <si>
    <t>/tuning/generateFloor.centers.2/value</t>
  </si>
  <si>
    <t>rule.tuning.generateFloor.centers.2</t>
  </si>
  <si>
    <t>generateFloor · centers 2</t>
  </si>
  <si>
    <t>Coefficient in: 0.035) { const centers = [pos(4, 3), pos(6, 3), pos(7, 4)].filter(</t>
  </si>
  <si>
    <t>/tuning/generateFloor.centers.2/category</t>
  </si>
  <si>
    <t>/tuning/generateFloor.centers.2/label</t>
  </si>
  <si>
    <t>/tuning/generateFloor.centers.2/description</t>
  </si>
  <si>
    <t>/tuning/generateFloor.centers.2/unit</t>
  </si>
  <si>
    <t>/tuning/generateFloor.centers.2/min</t>
  </si>
  <si>
    <t>/tuning/generateFloor.centers.2/max</t>
  </si>
  <si>
    <t>/tuning/generateFloor.centers.2/integer</t>
  </si>
  <si>
    <t>/tuning/generateFloor.centers.3/value</t>
  </si>
  <si>
    <t>rule.tuning.generateFloor.centers.3</t>
  </si>
  <si>
    <t>generateFloor · centers 3</t>
  </si>
  <si>
    <t>Coefficient in: { const centers = [pos(4, 3), pos(6, 3), pos(7, 4)].filter( (i) =&gt;</t>
  </si>
  <si>
    <t>/tuning/generateFloor.centers.3/category</t>
  </si>
  <si>
    <t>/tuning/generateFloor.centers.3/label</t>
  </si>
  <si>
    <t>/tuning/generateFloor.centers.3/description</t>
  </si>
  <si>
    <t>/tuning/generateFloor.centers.3/unit</t>
  </si>
  <si>
    <t>/tuning/generateFloor.centers.3/min</t>
  </si>
  <si>
    <t>/tuning/generateFloor.centers.3/max</t>
  </si>
  <si>
    <t>/tuning/generateFloor.centers.3/integer</t>
  </si>
  <si>
    <t>/tuning/generateFloor.centers.4/value</t>
  </si>
  <si>
    <t>rule.tuning.generateFloor.centers.4</t>
  </si>
  <si>
    <t>generateFloor · centers 4</t>
  </si>
  <si>
    <t>Coefficient in: const centers = [pos(4, 3), pos(6, 3), pos(7, 4)].filter( (i) =&gt;</t>
  </si>
  <si>
    <t>/tuning/generateFloor.centers.4/category</t>
  </si>
  <si>
    <t>/tuning/generateFloor.centers.4/label</t>
  </si>
  <si>
    <t>/tuning/generateFloor.centers.4/description</t>
  </si>
  <si>
    <t>/tuning/generateFloor.centers.4/unit</t>
  </si>
  <si>
    <t>/tuning/generateFloor.centers.4/min</t>
  </si>
  <si>
    <t>/tuning/generateFloor.centers.4/max</t>
  </si>
  <si>
    <t>/tuning/generateFloor.centers.4/integer</t>
  </si>
  <si>
    <t>/tuning/generateFloor.centers.5/value</t>
  </si>
  <si>
    <t>rule.tuning.generateFloor.centers.5</t>
  </si>
  <si>
    <t>generateFloor · centers 5</t>
  </si>
  <si>
    <t>Coefficient in: centers = [pos(4, 3), pos(6, 3), pos(7, 4)].filter( (i) =&gt; !ma</t>
  </si>
  <si>
    <t>/tuning/generateFloor.centers.5/category</t>
  </si>
  <si>
    <t>/tuning/generateFloor.centers.5/label</t>
  </si>
  <si>
    <t>/tuning/generateFloor.centers.5/description</t>
  </si>
  <si>
    <t>/tuning/generateFloor.centers.5/unit</t>
  </si>
  <si>
    <t>/tuning/generateFloor.centers.5/min</t>
  </si>
  <si>
    <t>/tuning/generateFloor.centers.5/max</t>
  </si>
  <si>
    <t>/tuning/generateFloor.centers.5/integer</t>
  </si>
  <si>
    <t>/tuning/generateFloor.centers.6/value</t>
  </si>
  <si>
    <t>rule.tuning.generateFloor.centers.6</t>
  </si>
  <si>
    <t>generateFloor · centers 6</t>
  </si>
  <si>
    <t>Coefficient in: nters = [pos(4, 3), pos(6, 3), pos(7, 4)].filter( (i) =&gt; !map[i</t>
  </si>
  <si>
    <t>/tuning/generateFloor.centers.6/category</t>
  </si>
  <si>
    <t>/tuning/generateFloor.centers.6/label</t>
  </si>
  <si>
    <t>/tuning/generateFloor.centers.6/description</t>
  </si>
  <si>
    <t>/tuning/generateFloor.centers.6/unit</t>
  </si>
  <si>
    <t>/tuning/generateFloor.centers.6/min</t>
  </si>
  <si>
    <t>/tuning/generateFloor.centers.6/max</t>
  </si>
  <si>
    <t>/tuning/generateFloor.centers.6/integer</t>
  </si>
  <si>
    <t>/tuning/generateFloor.coefficient.7/value</t>
  </si>
  <si>
    <t>rule.tuning.generateFloor.coefficient.7</t>
  </si>
  <si>
    <t>generateFloor · coefficient 7</t>
  </si>
  <si>
    <t>Coefficient in: r (let y = Math.floor(gate / W); y &lt;= 7; y++) { let i = pos(gate % W,</t>
  </si>
  <si>
    <t>/tuning/generateFloor.coefficient.7/category</t>
  </si>
  <si>
    <t>/tuning/generateFloor.coefficient.7/label</t>
  </si>
  <si>
    <t>/tuning/generateFloor.coefficient.7/description</t>
  </si>
  <si>
    <t>/tuning/generateFloor.coefficient.7/unit</t>
  </si>
  <si>
    <t>/tuning/generateFloor.coefficient.7/min</t>
  </si>
  <si>
    <t>/tuning/generateFloor.coefficient.7/max</t>
  </si>
  <si>
    <t>/tuning/generateFloor.coefficient.7/integer</t>
  </si>
  <si>
    <t>/tuning/generateFloor.coefficient.8/value</t>
  </si>
  <si>
    <t>rule.tuning.generateFloor.coefficient.8</t>
  </si>
  <si>
    <t>generateFloor · coefficient 8</t>
  </si>
  <si>
    <t>Coefficient in: ush("recruit"); if (Math.random() &lt; 0.3) events.push("shop"); if (Math.rand</t>
  </si>
  <si>
    <t>/tuning/generateFloor.coefficient.8/category</t>
  </si>
  <si>
    <t>/tuning/generateFloor.coefficient.8/label</t>
  </si>
  <si>
    <t>/tuning/generateFloor.coefficient.8/description</t>
  </si>
  <si>
    <t>/tuning/generateFloor.coefficient.8/unit</t>
  </si>
  <si>
    <t>/tuning/generateFloor.coefficient.8/min</t>
  </si>
  <si>
    <t>/tuning/generateFloor.coefficient.8/max</t>
  </si>
  <si>
    <t>/tuning/generateFloor.coefficient.8/integer</t>
  </si>
  <si>
    <t>/tuning/generateFloor.coefficient.9/value</t>
  </si>
  <si>
    <t>rule.tuning.generateFloor.coefficient.9</t>
  </si>
  <si>
    <t>generateFloor · coefficient 9</t>
  </si>
  <si>
    <t>Coefficient in: s.push("shop"); if (Math.random() &lt; 0.32) events.push("ruin"); for (const e</t>
  </si>
  <si>
    <t>/tuning/generateFloor.coefficient.9/category</t>
  </si>
  <si>
    <t>/tuning/generateFloor.coefficient.9/label</t>
  </si>
  <si>
    <t>/tuning/generateFloor.coefficient.9/description</t>
  </si>
  <si>
    <t>/tuning/generateFloor.coefficient.9/unit</t>
  </si>
  <si>
    <t>/tuning/generateFloor.coefficient.9/min</t>
  </si>
  <si>
    <t>/tuning/generateFloor.coefficient.9/max</t>
  </si>
  <si>
    <t>/tuning/generateFloor.coefficient.9/integer</t>
  </si>
  <si>
    <t>/tuning/addCaveRooms.desired.1/value</t>
  </si>
  <si>
    <t>rule.tuning.addCaveRooms.desired.1</t>
  </si>
  <si>
    <t>addCaveRooms · desired 1</t>
  </si>
  <si>
    <t>Coefficient in: = Math.random(), desired = draw &lt; 0.3 ? 0 : draw &lt; 0.75 ? 1 : draw &lt; 0.95 ?</t>
  </si>
  <si>
    <t>/tuning/addCaveRooms.desired.1/category</t>
  </si>
  <si>
    <t>/tuning/addCaveRooms.desired.1/label</t>
  </si>
  <si>
    <t>/tuning/addCaveRooms.desired.1/description</t>
  </si>
  <si>
    <t>/tuning/addCaveRooms.desired.1/unit</t>
  </si>
  <si>
    <t>/tuning/addCaveRooms.desired.1/min</t>
  </si>
  <si>
    <t>/tuning/addCaveRooms.desired.1/max</t>
  </si>
  <si>
    <t>/tuning/addCaveRooms.desired.1/integer</t>
  </si>
  <si>
    <t>/tuning/addCaveRooms.desired.2/value</t>
  </si>
  <si>
    <t>rule.tuning.addCaveRooms.desired.2</t>
  </si>
  <si>
    <t>addCaveRooms · desired 2</t>
  </si>
  <si>
    <t>Coefficient in: desired = draw &lt; 0.3 ? 0 : draw &lt; 0.75 ? 1 : draw &lt; 0.95 ? 2 : 3; for (let</t>
  </si>
  <si>
    <t>/tuning/addCaveRooms.desired.2/category</t>
  </si>
  <si>
    <t>/tuning/addCaveRooms.desired.2/label</t>
  </si>
  <si>
    <t>/tuning/addCaveRooms.desired.2/description</t>
  </si>
  <si>
    <t>/tuning/addCaveRooms.desired.2/unit</t>
  </si>
  <si>
    <t>/tuning/addCaveRooms.desired.2/min</t>
  </si>
  <si>
    <t>/tuning/addCaveRooms.desired.2/max</t>
  </si>
  <si>
    <t>/tuning/addCaveRooms.desired.2/integer</t>
  </si>
  <si>
    <t>/tuning/addCaveRooms.desired.3/value</t>
  </si>
  <si>
    <t>rule.tuning.addCaveRooms.desired.3</t>
  </si>
  <si>
    <t>addCaveRooms · desired 3</t>
  </si>
  <si>
    <t>Coefficient in: &lt; 0.3 ? 0 : draw &lt; 0.75 ? 1 : draw &lt; 0.95 ? 2 : 3; for (let room = 1; room &lt;=</t>
  </si>
  <si>
    <t>/tuning/addCaveRooms.desired.3/category</t>
  </si>
  <si>
    <t>/tuning/addCaveRooms.desired.3/label</t>
  </si>
  <si>
    <t>/tuning/addCaveRooms.desired.3/description</t>
  </si>
  <si>
    <t>/tuning/addCaveRooms.desired.3/unit</t>
  </si>
  <si>
    <t>/tuning/addCaveRooms.desired.3/min</t>
  </si>
  <si>
    <t>/tuning/addCaveRooms.desired.3/max</t>
  </si>
  <si>
    <t>/tuning/addCaveRooms.desired.3/integer</t>
  </si>
  <si>
    <t>/tuning/addCaveRooms.desired.4/value</t>
  </si>
  <si>
    <t>rule.tuning.addCaveRooms.desired.4</t>
  </si>
  <si>
    <t>addCaveRooms · desired 4</t>
  </si>
  <si>
    <t>Coefficient in: ? 0 : draw &lt; 0.75 ? 1 : draw &lt; 0.95 ? 2 : 3; for (let room = 1; room &lt;= des</t>
  </si>
  <si>
    <t>/tuning/addCaveRooms.desired.4/category</t>
  </si>
  <si>
    <t>/tuning/addCaveRooms.desired.4/label</t>
  </si>
  <si>
    <t>/tuning/addCaveRooms.desired.4/description</t>
  </si>
  <si>
    <t>/tuning/addCaveRooms.desired.4/unit</t>
  </si>
  <si>
    <t>/tuning/addCaveRooms.desired.4/min</t>
  </si>
  <si>
    <t>/tuning/addCaveRooms.desired.4/max</t>
  </si>
  <si>
    <t>/tuning/addCaveRooms.desired.4/integer</t>
  </si>
  <si>
    <t>/tuning/addCaveRooms.desired.5/value</t>
  </si>
  <si>
    <t>rule.tuning.addCaveRooms.desired.5</t>
  </si>
  <si>
    <t>addCaveRooms · desired 5</t>
  </si>
  <si>
    <t>Coefficient in: : draw &lt; 0.75 ? 1 : draw &lt; 0.95 ? 2 : 3; for (let room = 1; room &lt;= desired</t>
  </si>
  <si>
    <t>/tuning/addCaveRooms.desired.5/category</t>
  </si>
  <si>
    <t>/tuning/addCaveRooms.desired.5/label</t>
  </si>
  <si>
    <t>/tuning/addCaveRooms.desired.5/description</t>
  </si>
  <si>
    <t>/tuning/addCaveRooms.desired.5/unit</t>
  </si>
  <si>
    <t>/tuning/addCaveRooms.desired.5/min</t>
  </si>
  <si>
    <t>/tuning/addCaveRooms.desired.5/max</t>
  </si>
  <si>
    <t>/tuning/addCaveRooms.desired.5/integer</t>
  </si>
  <si>
    <t>/tuning/addCaveRooms.coefficient.1/value</t>
  </si>
  <si>
    <t>rule.tuning.addCaveRooms.coefficient.1</t>
  </si>
  <si>
    <t>addCaveRooms · coefficient 1</t>
  </si>
  <si>
    <t>Coefficient in: tes = []; for (let y = 1; y &lt; H - 2; y++) for (let x = 1; x &lt; W - 2</t>
  </si>
  <si>
    <t>/tuning/addCaveRooms.coefficient.1/category</t>
  </si>
  <si>
    <t>/tuning/addCaveRooms.coefficient.1/label</t>
  </si>
  <si>
    <t>/tuning/addCaveRooms.coefficient.1/description</t>
  </si>
  <si>
    <t>/tuning/addCaveRooms.coefficient.1/unit</t>
  </si>
  <si>
    <t>/tuning/addCaveRooms.coefficient.1/min</t>
  </si>
  <si>
    <t>/tuning/addCaveRooms.coefficient.1/max</t>
  </si>
  <si>
    <t>/tuning/addCaveRooms.coefficient.1/integer</t>
  </si>
  <si>
    <t>/tuning/addCaveRooms.coefficient.2/value</t>
  </si>
  <si>
    <t>rule.tuning.addCaveRooms.coefficient.2</t>
  </si>
  <si>
    <t>addCaveRooms · coefficient 2</t>
  </si>
  <si>
    <t>Coefficient in: 2; y++) for (let x = 1; x &lt; W - 2; x++) { const width = 2 + (Ma</t>
  </si>
  <si>
    <t>/tuning/addCaveRooms.coefficient.2/category</t>
  </si>
  <si>
    <t>/tuning/addCaveRooms.coefficient.2/label</t>
  </si>
  <si>
    <t>/tuning/addCaveRooms.coefficient.2/description</t>
  </si>
  <si>
    <t>/tuning/addCaveRooms.coefficient.2/unit</t>
  </si>
  <si>
    <t>/tuning/addCaveRooms.coefficient.2/min</t>
  </si>
  <si>
    <t>/tuning/addCaveRooms.coefficient.2/max</t>
  </si>
  <si>
    <t>/tuning/addCaveRooms.coefficient.2/integer</t>
  </si>
  <si>
    <t>/tuning/addCaveRooms.width.1/value</t>
  </si>
  <si>
    <t>rule.tuning.addCaveRooms.width.1</t>
  </si>
  <si>
    <t>addCaveRooms · width 1</t>
  </si>
  <si>
    <t>Coefficient in: &lt; W - 2; x++) { const width = 2 + (Math.random() &lt; 0.3 &amp;&amp; x &lt; W - 3 ?</t>
  </si>
  <si>
    <t>/tuning/addCaveRooms.width.1/category</t>
  </si>
  <si>
    <t>/tuning/addCaveRooms.width.1/label</t>
  </si>
  <si>
    <t>/tuning/addCaveRooms.width.1/description</t>
  </si>
  <si>
    <t>/tuning/addCaveRooms.width.1/unit</t>
  </si>
  <si>
    <t>/tuning/addCaveRooms.width.1/min</t>
  </si>
  <si>
    <t>/tuning/addCaveRooms.width.1/max</t>
  </si>
  <si>
    <t>/tuning/addCaveRooms.width.1/integer</t>
  </si>
  <si>
    <t>/tuning/addCaveRooms.width.2/value</t>
  </si>
  <si>
    <t>rule.tuning.addCaveRooms.width.2</t>
  </si>
  <si>
    <t>addCaveRooms · width 2</t>
  </si>
  <si>
    <t>Coefficient in: const width = 2 + (Math.random() &lt; 0.3 &amp;&amp; x &lt; W - 3 ? 1 : 0), cell</t>
  </si>
  <si>
    <t>/tuning/addCaveRooms.width.2/category</t>
  </si>
  <si>
    <t>/tuning/addCaveRooms.width.2/label</t>
  </si>
  <si>
    <t>/tuning/addCaveRooms.width.2/description</t>
  </si>
  <si>
    <t>/tuning/addCaveRooms.width.2/unit</t>
  </si>
  <si>
    <t>/tuning/addCaveRooms.width.2/min</t>
  </si>
  <si>
    <t>/tuning/addCaveRooms.width.2/max</t>
  </si>
  <si>
    <t>/tuning/addCaveRooms.width.2/integer</t>
  </si>
  <si>
    <t>/tuning/addCaveRooms.width.3/value</t>
  </si>
  <si>
    <t>rule.tuning.addCaveRooms.width.3</t>
  </si>
  <si>
    <t>addCaveRooms · width 3</t>
  </si>
  <si>
    <t>Coefficient in: = 2 + (Math.random() &lt; 0.3 &amp;&amp; x &lt; W - 3 ? 1 : 0), cells = [];</t>
  </si>
  <si>
    <t>/tuning/addCaveRooms.width.3/category</t>
  </si>
  <si>
    <t>/tuning/addCaveRooms.width.3/label</t>
  </si>
  <si>
    <t>/tuning/addCaveRooms.width.3/description</t>
  </si>
  <si>
    <t>/tuning/addCaveRooms.width.3/unit</t>
  </si>
  <si>
    <t>/tuning/addCaveRooms.width.3/min</t>
  </si>
  <si>
    <t>/tuning/addCaveRooms.width.3/max</t>
  </si>
  <si>
    <t>/tuning/addCaveRooms.width.3/integer</t>
  </si>
  <si>
    <t>/tuning/addCaveRooms.coefficient.3/value</t>
  </si>
  <si>
    <t>rule.tuning.addCaveRooms.coefficient.3</t>
  </si>
  <si>
    <t>addCaveRooms · coefficient 3</t>
  </si>
  <si>
    <t>Coefficient in: s = []; for (let dy = 0; dy &lt; 2; dy++) for (let dx = 0; dx</t>
  </si>
  <si>
    <t>/tuning/addCaveRooms.coefficient.3/category</t>
  </si>
  <si>
    <t>/tuning/addCaveRooms.coefficient.3/label</t>
  </si>
  <si>
    <t>/tuning/addCaveRooms.coefficient.3/description</t>
  </si>
  <si>
    <t>/tuning/addCaveRooms.coefficient.3/unit</t>
  </si>
  <si>
    <t>/tuning/addCaveRooms.coefficient.3/min</t>
  </si>
  <si>
    <t>/tuning/addCaveRooms.coefficient.3/max</t>
  </si>
  <si>
    <t>/tuning/addCaveRooms.coefficient.3/integer</t>
  </si>
  <si>
    <t>/tuning/addCaveRooms.coefficient.4/value</t>
  </si>
  <si>
    <t>rule.tuning.addCaveRooms.coefficient.4</t>
  </si>
  <si>
    <t>addCaveRooms · coefficient 4</t>
  </si>
  <si>
    <t>Coefficient in: i].room &amp;&amp; i !== pos(1, 7) &amp;&amp; !["enemy", "guardia</t>
  </si>
  <si>
    <t>/tuning/addCaveRooms.coefficient.4/category</t>
  </si>
  <si>
    <t>/tuning/addCaveRooms.coefficient.4/label</t>
  </si>
  <si>
    <t>/tuning/addCaveRooms.coefficient.4/description</t>
  </si>
  <si>
    <t>/tuning/addCaveRooms.coefficient.4/unit</t>
  </si>
  <si>
    <t>/tuning/addCaveRooms.coefficient.4/min</t>
  </si>
  <si>
    <t>/tuning/addCaveRooms.coefficient.4/max</t>
  </si>
  <si>
    <t>/tuning/addCaveRooms.coefficient.4/integer</t>
  </si>
  <si>
    <t>/tuning/move.coefficient.1/value</t>
  </si>
  <si>
    <t>rule.tuning.move.coefficient.1</t>
  </si>
  <si>
    <t>move · coefficient 1</t>
  </si>
  <si>
    <t>Coefficient in: eEntry &amp;&amp; resolved &amp;&amp; Math.random() &lt; 0.12) { travel = null; beg</t>
  </si>
  <si>
    <t>/tuning/move.coefficient.1/category</t>
  </si>
  <si>
    <t>/tuning/move.coefficient.1/label</t>
  </si>
  <si>
    <t>/tuning/move.coefficient.1/description</t>
  </si>
  <si>
    <t>/tuning/move.coefficient.1/unit</t>
  </si>
  <si>
    <t>/tuning/move.coefficient.1/min</t>
  </si>
  <si>
    <t>/tuning/move.coefficient.1/max</t>
  </si>
  <si>
    <t>/tuning/move.coefficient.1/integer</t>
  </si>
  <si>
    <t>/tuning/ruinEncounter.baseGold.1/value</t>
  </si>
  <si>
    <t>rule.tuning.ruinEncounter.baseGold.1</t>
  </si>
  <si>
    <t>ruinEncounter · baseGold 1</t>
  </si>
  <si>
    <t>Coefficient in: .reduce((n, s) =&gt; n + s.tier * (6 + state.depth * 2), 0), baseDamag</t>
  </si>
  <si>
    <t>/tuning/ruinEncounter.baseGold.1/category</t>
  </si>
  <si>
    <t>/tuning/ruinEncounter.baseGold.1/label</t>
  </si>
  <si>
    <t>/tuning/ruinEncounter.baseGold.1/description</t>
  </si>
  <si>
    <t>/tuning/ruinEncounter.baseGold.1/unit</t>
  </si>
  <si>
    <t>/tuning/ruinEncounter.baseGold.1/min</t>
  </si>
  <si>
    <t>/tuning/ruinEncounter.baseGold.1/max</t>
  </si>
  <si>
    <t>/tuning/ruinEncounter.baseGold.1/integer</t>
  </si>
  <si>
    <t>/tuning/ruinEncounter.baseGold.2/value</t>
  </si>
  <si>
    <t>rule.tuning.ruinEncounter.baseGold.2</t>
  </si>
  <si>
    <t>ruinEncounter · baseGold 2</t>
  </si>
  <si>
    <t>Coefficient in: s) =&gt; n + s.tier * (6 + state.depth * 2), 0), baseDamage = Math.ceil(</t>
  </si>
  <si>
    <t>/tuning/ruinEncounter.baseGold.2/category</t>
  </si>
  <si>
    <t>/tuning/ruinEncounter.baseGold.2/label</t>
  </si>
  <si>
    <t>/tuning/ruinEncounter.baseGold.2/description</t>
  </si>
  <si>
    <t>/tuning/ruinEncounter.baseGold.2/unit</t>
  </si>
  <si>
    <t>/tuning/ruinEncounter.baseGold.2/min</t>
  </si>
  <si>
    <t>/tuning/ruinEncounter.baseGold.2/max</t>
  </si>
  <si>
    <t>/tuning/ruinEncounter.baseGold.2/integer</t>
  </si>
  <si>
    <t>/tuning/maybeDiscoveryHint.coefficient.1/value</t>
  </si>
  <si>
    <t>rule.tuning.maybeDiscoveryHint.coefficient.1</t>
  </si>
  <si>
    <t>maybeDiscoveryHint · coefficient 1</t>
  </si>
  <si>
    <t>Coefficient in: hecked = true; if (Math.random() &gt;= 0.25) return; const candidates = neighbo</t>
  </si>
  <si>
    <t>/tuning/maybeDiscoveryHint.coefficient.1/category</t>
  </si>
  <si>
    <t>/tuning/maybeDiscoveryHint.coefficient.1/label</t>
  </si>
  <si>
    <t>/tuning/maybeDiscoveryHint.coefficient.1/description</t>
  </si>
  <si>
    <t>/tuning/maybeDiscoveryHint.coefficient.1/unit</t>
  </si>
  <si>
    <t>/tuning/maybeDiscoveryHint.coefficient.1/min</t>
  </si>
  <si>
    <t>/tuning/maybeDiscoveryHint.coefficient.1/max</t>
  </si>
  <si>
    <t>/tuning/maybeDiscoveryHint.coefficient.1/integer</t>
  </si>
  <si>
    <t>/tuning/trapPower.coefficient.1/value</t>
  </si>
  <si>
    <t>rule.tuning.trapPower.coefficient.1</t>
  </si>
  <si>
    <t>trapPower · coefficient 1</t>
  </si>
  <si>
    <t>Coefficient in: function trapPower(depth) { return 0.5 + depth * 0.15; }</t>
  </si>
  <si>
    <t>/tuning/trapPower.coefficient.1/category</t>
  </si>
  <si>
    <t>/tuning/trapPower.coefficient.1/label</t>
  </si>
  <si>
    <t>/tuning/trapPower.coefficient.1/description</t>
  </si>
  <si>
    <t>/tuning/trapPower.coefficient.1/unit</t>
  </si>
  <si>
    <t>/tuning/trapPower.coefficient.1/min</t>
  </si>
  <si>
    <t>/tuning/trapPower.coefficient.1/max</t>
  </si>
  <si>
    <t>/tuning/trapPower.coefficient.1/integer</t>
  </si>
  <si>
    <t>/tuning/trapPower.coefficient.2/value</t>
  </si>
  <si>
    <t>rule.tuning.trapPower.coefficient.2</t>
  </si>
  <si>
    <t>trapPower · coefficient 2</t>
  </si>
  <si>
    <t>Coefficient in: Power(depth) { return 0.5 + depth * 0.15; }</t>
  </si>
  <si>
    <t>/tuning/trapPower.coefficient.2/category</t>
  </si>
  <si>
    <t>/tuning/trapPower.coefficient.2/label</t>
  </si>
  <si>
    <t>/tuning/trapPower.coefficient.2/description</t>
  </si>
  <si>
    <t>/tuning/trapPower.coefficient.2/unit</t>
  </si>
  <si>
    <t>/tuning/trapPower.coefficient.2/min</t>
  </si>
  <si>
    <t>/tuning/trapPower.coefficient.2/max</t>
  </si>
  <si>
    <t>/tuning/trapPower.coefficient.2/integer</t>
  </si>
  <si>
    <t>/tuning/recruitChance.coefficient.1/value</t>
  </si>
  <si>
    <t>rule.tuning.recruitChance.coefficient.1</t>
  </si>
  <si>
    <t>recruitChance · coefficient 1</t>
  </si>
  <si>
    <t>Coefficient in: eturn Math.min( partySize === 1 ? 0.85 : 0.7, (partySize === 1 ? 0.35 :</t>
  </si>
  <si>
    <t>/tuning/recruitChance.coefficient.1/category</t>
  </si>
  <si>
    <t>/tuning/recruitChance.coefficient.1/label</t>
  </si>
  <si>
    <t>/tuning/recruitChance.coefficient.1/description</t>
  </si>
  <si>
    <t>/tuning/recruitChance.coefficient.1/unit</t>
  </si>
  <si>
    <t>/tuning/recruitChance.coefficient.1/min</t>
  </si>
  <si>
    <t>/tuning/recruitChance.coefficient.1/max</t>
  </si>
  <si>
    <t>/tuning/recruitChance.coefficient.1/integer</t>
  </si>
  <si>
    <t>/tuning/recruitChance.coefficient.2/value</t>
  </si>
  <si>
    <t>rule.tuning.recruitChance.coefficient.2</t>
  </si>
  <si>
    <t>recruitChance · coefficient 2</t>
  </si>
  <si>
    <t>Coefficient in: ath.min( partySize === 1 ? 0.85 : 0.7, (partySize === 1 ? 0.35 : 0.28)</t>
  </si>
  <si>
    <t>/tuning/recruitChance.coefficient.2/category</t>
  </si>
  <si>
    <t>/tuning/recruitChance.coefficient.2/label</t>
  </si>
  <si>
    <t>/tuning/recruitChance.coefficient.2/description</t>
  </si>
  <si>
    <t>/tuning/recruitChance.coefficient.2/unit</t>
  </si>
  <si>
    <t>/tuning/recruitChance.coefficient.2/min</t>
  </si>
  <si>
    <t>/tuning/recruitChance.coefficient.2/max</t>
  </si>
  <si>
    <t>/tuning/recruitChance.coefficient.2/integer</t>
  </si>
  <si>
    <t>/tuning/recruitChance.coefficient.3/value</t>
  </si>
  <si>
    <t>rule.tuning.recruitChance.coefficient.3</t>
  </si>
  <si>
    <t>recruitChance · coefficient 3</t>
  </si>
  <si>
    <t>Coefficient in: ? 0.85 : 0.7, (partySize === 1 ? 0.35 : 0.28) + Math.max(0, 4 - depth</t>
  </si>
  <si>
    <t>/tuning/recruitChance.coefficient.3/category</t>
  </si>
  <si>
    <t>/tuning/recruitChance.coefficient.3/label</t>
  </si>
  <si>
    <t>/tuning/recruitChance.coefficient.3/description</t>
  </si>
  <si>
    <t>/tuning/recruitChance.coefficient.3/unit</t>
  </si>
  <si>
    <t>/tuning/recruitChance.coefficient.3/min</t>
  </si>
  <si>
    <t>/tuning/recruitChance.coefficient.3/max</t>
  </si>
  <si>
    <t>/tuning/recruitChance.coefficient.3/integer</t>
  </si>
  <si>
    <t>/tuning/recruitChance.coefficient.4/value</t>
  </si>
  <si>
    <t>rule.tuning.recruitChance.coefficient.4</t>
  </si>
  <si>
    <t>recruitChance · coefficient 4</t>
  </si>
  <si>
    <t>Coefficient in: : 0.7, (partySize === 1 ? 0.35 : 0.28) + Math.max(0, 4 - depth) * 0.0</t>
  </si>
  <si>
    <t>/tuning/recruitChance.coefficient.4/category</t>
  </si>
  <si>
    <t>/tuning/recruitChance.coefficient.4/label</t>
  </si>
  <si>
    <t>/tuning/recruitChance.coefficient.4/description</t>
  </si>
  <si>
    <t>/tuning/recruitChance.coefficient.4/unit</t>
  </si>
  <si>
    <t>/tuning/recruitChance.coefficient.4/min</t>
  </si>
  <si>
    <t>/tuning/recruitChance.coefficient.4/max</t>
  </si>
  <si>
    <t>/tuning/recruitChance.coefficient.4/integer</t>
  </si>
  <si>
    <t>/tuning/recruitChance.coefficient.5/value</t>
  </si>
  <si>
    <t>rule.tuning.recruitChance.coefficient.5</t>
  </si>
  <si>
    <t>recruitChance · coefficient 5</t>
  </si>
  <si>
    <t>Coefficient in: 1 ? 0.35 : 0.28) + Math.max(0, 4 - depth) * 0.025 + missedFloors</t>
  </si>
  <si>
    <t>/tuning/recruitChance.coefficient.5/category</t>
  </si>
  <si>
    <t>/tuning/recruitChance.coefficient.5/label</t>
  </si>
  <si>
    <t>/tuning/recruitChance.coefficient.5/description</t>
  </si>
  <si>
    <t>/tuning/recruitChance.coefficient.5/unit</t>
  </si>
  <si>
    <t>/tuning/recruitChance.coefficient.5/min</t>
  </si>
  <si>
    <t>/tuning/recruitChance.coefficient.5/max</t>
  </si>
  <si>
    <t>/tuning/recruitChance.coefficient.5/integer</t>
  </si>
  <si>
    <t>/tuning/recruitChance.coefficient.6/value</t>
  </si>
  <si>
    <t>rule.tuning.recruitChance.coefficient.6</t>
  </si>
  <si>
    <t>recruitChance · coefficient 6</t>
  </si>
  <si>
    <t>Coefficient in: .28) + Math.max(0, 4 - depth) * 0.025 + missedFloors * (partySize ===</t>
  </si>
  <si>
    <t>/tuning/recruitChance.coefficient.6/category</t>
  </si>
  <si>
    <t>/tuning/recruitChance.coefficient.6/label</t>
  </si>
  <si>
    <t>/tuning/recruitChance.coefficient.6/description</t>
  </si>
  <si>
    <t>/tuning/recruitChance.coefficient.6/unit</t>
  </si>
  <si>
    <t>/tuning/recruitChance.coefficient.6/min</t>
  </si>
  <si>
    <t>/tuning/recruitChance.coefficient.6/max</t>
  </si>
  <si>
    <t>/tuning/recruitChance.coefficient.6/integer</t>
  </si>
  <si>
    <t>/tuning/recruitChance.coefficient.7/value</t>
  </si>
  <si>
    <t>rule.tuning.recruitChance.coefficient.7</t>
  </si>
  <si>
    <t>recruitChance · coefficient 7</t>
  </si>
  <si>
    <t>Coefficient in: missedFloors * (partySize === 1 ? 0.07 : 0.05), ); }</t>
  </si>
  <si>
    <t>/tuning/recruitChance.coefficient.7/category</t>
  </si>
  <si>
    <t>/tuning/recruitChance.coefficient.7/label</t>
  </si>
  <si>
    <t>/tuning/recruitChance.coefficient.7/description</t>
  </si>
  <si>
    <t>/tuning/recruitChance.coefficient.7/unit</t>
  </si>
  <si>
    <t>/tuning/recruitChance.coefficient.7/min</t>
  </si>
  <si>
    <t>/tuning/recruitChance.coefficient.7/max</t>
  </si>
  <si>
    <t>/tuning/recruitChance.coefficient.7/integer</t>
  </si>
  <si>
    <t>/tuning/recruitChance.coefficient.8/value</t>
  </si>
  <si>
    <t>rule.tuning.recruitChance.coefficient.8</t>
  </si>
  <si>
    <t>recruitChance · coefficient 8</t>
  </si>
  <si>
    <t>Coefficient in: sedFloors * (partySize === 1 ? 0.07 : 0.05), ); }</t>
  </si>
  <si>
    <t>/tuning/recruitChance.coefficient.8/category</t>
  </si>
  <si>
    <t>/tuning/recruitChance.coefficient.8/label</t>
  </si>
  <si>
    <t>/tuning/recruitChance.coefficient.8/description</t>
  </si>
  <si>
    <t>/tuning/recruitChance.coefficient.8/unit</t>
  </si>
  <si>
    <t>/tuning/recruitChance.coefficient.8/min</t>
  </si>
  <si>
    <t>/tuning/recruitChance.coefficient.8/max</t>
  </si>
  <si>
    <t>/tuning/recruitChance.coefficient.8/integer</t>
  </si>
  <si>
    <t>/tuning/beaconTiles.coefficient.1/value</t>
  </si>
  <si>
    <t>rule.tuning.beaconTiles.coefficient.1</t>
  </si>
  <si>
    <t>beaconTiles · coefficient 1</t>
  </si>
  <si>
    <t>Coefficient in: rigin, i), ); if (Math.random() &lt; 0.55) { const ring = state.map .</t>
  </si>
  <si>
    <t>/tuning/beaconTiles.coefficient.1/category</t>
  </si>
  <si>
    <t>/tuning/beaconTiles.coefficient.1/label</t>
  </si>
  <si>
    <t>/tuning/beaconTiles.coefficient.1/description</t>
  </si>
  <si>
    <t>/tuning/beaconTiles.coefficient.1/unit</t>
  </si>
  <si>
    <t>/tuning/beaconTiles.coefficient.1/min</t>
  </si>
  <si>
    <t>/tuning/beaconTiles.coefficient.1/max</t>
  </si>
  <si>
    <t>/tuning/beaconTiles.coefficient.1/integer</t>
  </si>
  <si>
    <t>/tuning/beaconTiles.ring.1/value</t>
  </si>
  <si>
    <t>rule.tuning.beaconTiles.ring.1</t>
  </si>
  <si>
    <t>beaconTiles · ring 1</t>
  </si>
  <si>
    <t>Coefficient in: (i) =&gt; tileDistance(i, origin) === 2 &amp;&amp; lineOfSight(origin, i), );</t>
  </si>
  <si>
    <t>/tuning/beaconTiles.ring.1/category</t>
  </si>
  <si>
    <t>/tuning/beaconTiles.ring.1/label</t>
  </si>
  <si>
    <t>/tuning/beaconTiles.ring.1/description</t>
  </si>
  <si>
    <t>/tuning/beaconTiles.ring.1/unit</t>
  </si>
  <si>
    <t>/tuning/beaconTiles.ring.1/min</t>
  </si>
  <si>
    <t>/tuning/beaconTiles.ring.1/max</t>
  </si>
  <si>
    <t>/tuning/beaconTiles.ring.1/integer</t>
  </si>
  <si>
    <t>/tuning/beaconTiles.extra.1/value</t>
  </si>
  <si>
    <t>rule.tuning.beaconTiles.extra.1</t>
  </si>
  <si>
    <t>beaconTiles · extra 1</t>
  </si>
  <si>
    <t>Coefficient in: xtra = Math.min(ring.length, 1 + rand(5)); for (let k = 0; k &lt; extra; k++</t>
  </si>
  <si>
    <t>/tuning/beaconTiles.extra.1/category</t>
  </si>
  <si>
    <t>/tuning/beaconTiles.extra.1/label</t>
  </si>
  <si>
    <t>/tuning/beaconTiles.extra.1/description</t>
  </si>
  <si>
    <t>/tuning/beaconTiles.extra.1/unit</t>
  </si>
  <si>
    <t>/tuning/beaconTiles.extra.1/min</t>
  </si>
  <si>
    <t>/tuning/beaconTiles.extra.1/max</t>
  </si>
  <si>
    <t>/tuning/beaconTiles.extra.1/integer</t>
  </si>
  <si>
    <t>/tuning/pursuerRoute.next.1/value</t>
  </si>
  <si>
    <t>rule.tuning.pursuerRoute.next.1</t>
  </si>
  <si>
    <t>pursuerRoute · next 1</t>
  </si>
  <si>
    <t>Coefficient in: sts.get(i) + (state.map[j].seen ? 1 : 2.5); if (next &lt; (costs.get(j) ?? I</t>
  </si>
  <si>
    <t>/tuning/pursuerRoute.next.1/category</t>
  </si>
  <si>
    <t>/tuning/pursuerRoute.next.1/label</t>
  </si>
  <si>
    <t>/tuning/pursuerRoute.next.1/description</t>
  </si>
  <si>
    <t>/tuning/pursuerRoute.next.1/unit</t>
  </si>
  <si>
    <t>/tuning/pursuerRoute.next.1/min</t>
  </si>
  <si>
    <t>/tuning/pursuerRoute.next.1/max</t>
  </si>
  <si>
    <t>/tuning/pursuerRoute.next.1/integer</t>
  </si>
  <si>
    <t>/tuning/advancePursuer.coefficient.1/value</t>
  </si>
  <si>
    <t>rule.tuning.advancePursuer.coefficient.1</t>
  </si>
  <si>
    <t>advancePursuer · coefficient 1</t>
  </si>
  <si>
    <t>Coefficient in: dvancePursuer() { if (state.depth &lt; 3 || state.enemy || state.over) return</t>
  </si>
  <si>
    <t>/tuning/advancePursuer.coefficient.1/category</t>
  </si>
  <si>
    <t>/tuning/advancePursuer.coefficient.1/label</t>
  </si>
  <si>
    <t>/tuning/advancePursuer.coefficient.1/description</t>
  </si>
  <si>
    <t>/tuning/advancePursuer.coefficient.1/unit</t>
  </si>
  <si>
    <t>/tuning/advancePursuer.coefficient.1/min</t>
  </si>
  <si>
    <t>/tuning/advancePursuer.coefficient.1/max</t>
  </si>
  <si>
    <t>/tuning/advancePursuer.coefficient.1/integer</t>
  </si>
  <si>
    <t>/tuning/advancePursuer.coefficient.2/value</t>
  </si>
  <si>
    <t>rule.tuning.advancePursuer.coefficient.2</t>
  </si>
  <si>
    <t>advancePursuer · coefficient 2</t>
  </si>
  <si>
    <t>Coefficient in: r((c) =&gt; c.seen &amp;&amp; !c.wall).length &gt;= 18 ) { const reach = mapDistances(</t>
  </si>
  <si>
    <t>/tuning/advancePursuer.coefficient.2/category</t>
  </si>
  <si>
    <t>/tuning/advancePursuer.coefficient.2/label</t>
  </si>
  <si>
    <t>/tuning/advancePursuer.coefficient.2/description</t>
  </si>
  <si>
    <t>/tuning/advancePursuer.coefficient.2/unit</t>
  </si>
  <si>
    <t>/tuning/advancePursuer.coefficient.2/min</t>
  </si>
  <si>
    <t>/tuning/advancePursuer.coefficient.2/max</t>
  </si>
  <si>
    <t>/tuning/advancePursuer.coefficient.2/integer</t>
  </si>
  <si>
    <t>/tuning/advancePursuer.far.1/value</t>
  </si>
  <si>
    <t>rule.tuning.advancePursuer.far.1</t>
  </si>
  <si>
    <t>advancePursuer · far 1</t>
  </si>
  <si>
    <t>Coefficient in: .filter( (i) =&gt; reach.get(i) &gt;= 6 &amp;&amp; !state.map[i].event, ); co</t>
  </si>
  <si>
    <t>/tuning/advancePursuer.far.1/category</t>
  </si>
  <si>
    <t>/tuning/advancePursuer.far.1/label</t>
  </si>
  <si>
    <t>/tuning/advancePursuer.far.1/description</t>
  </si>
  <si>
    <t>/tuning/advancePursuer.far.1/unit</t>
  </si>
  <si>
    <t>/tuning/advancePursuer.far.1/min</t>
  </si>
  <si>
    <t>/tuning/advancePursuer.far.1/max</t>
  </si>
  <si>
    <t>/tuning/advancePursuer.far.1/integer</t>
  </si>
  <si>
    <t>/tuning/advancePursuer.coefficient.3/value</t>
  </si>
  <si>
    <t>rule.tuning.advancePursuer.coefficient.3</t>
  </si>
  <si>
    <t>advancePursuer · coefficient 3</t>
  </si>
  <si>
    <t>Coefficient in: osition; if (!contact &amp;&amp; ++p.beat % 2 === 0) { // Aim one step ahead wh</t>
  </si>
  <si>
    <t>/tuning/advancePursuer.coefficient.3/category</t>
  </si>
  <si>
    <t>/tuning/advancePursuer.coefficient.3/label</t>
  </si>
  <si>
    <t>/tuning/advancePursuer.coefficient.3/description</t>
  </si>
  <si>
    <t>/tuning/advancePursuer.coefficient.3/unit</t>
  </si>
  <si>
    <t>/tuning/advancePursuer.coefficient.3/min</t>
  </si>
  <si>
    <t>/tuning/advancePursuer.coefficient.3/max</t>
  </si>
  <si>
    <t>/tuning/advancePursuer.coefficient.3/integer</t>
  </si>
  <si>
    <t>/tuning/minorTravelEvent.coefficient.1/value</t>
  </si>
  <si>
    <t>rule.tuning.minorTravelEvent.coefficient.1</t>
  </si>
  <si>
    <t>minorTravelEvent · coefficient 1</t>
  </si>
  <si>
    <t>Coefficient in: steps - (state.lastMinorEventStep ?? -20) &lt; 12 || Math.random() &gt;= 0.025</t>
  </si>
  <si>
    <t>/tuning/minorTravelEvent.coefficient.1/category</t>
  </si>
  <si>
    <t>/tuning/minorTravelEvent.coefficient.1/label</t>
  </si>
  <si>
    <t>/tuning/minorTravelEvent.coefficient.1/description</t>
  </si>
  <si>
    <t>/tuning/minorTravelEvent.coefficient.1/unit</t>
  </si>
  <si>
    <t>/tuning/minorTravelEvent.coefficient.1/min</t>
  </si>
  <si>
    <t>/tuning/minorTravelEvent.coefficient.1/max</t>
  </si>
  <si>
    <t>/tuning/minorTravelEvent.coefficient.1/integer</t>
  </si>
  <si>
    <t>/tuning/minorTravelEvent.coefficient.2/value</t>
  </si>
  <si>
    <t>rule.tuning.minorTravelEvent.coefficient.2</t>
  </si>
  <si>
    <t>minorTravelEvent · coefficient 2</t>
  </si>
  <si>
    <t>Coefficient in: - (state.lastMinorEventStep ?? -20) &lt; 12 || Math.random() &gt;= 0.025 )</t>
  </si>
  <si>
    <t>/tuning/minorTravelEvent.coefficient.2/category</t>
  </si>
  <si>
    <t>/tuning/minorTravelEvent.coefficient.2/label</t>
  </si>
  <si>
    <t>/tuning/minorTravelEvent.coefficient.2/description</t>
  </si>
  <si>
    <t>/tuning/minorTravelEvent.coefficient.2/unit</t>
  </si>
  <si>
    <t>/tuning/minorTravelEvent.coefficient.2/min</t>
  </si>
  <si>
    <t>/tuning/minorTravelEvent.coefficient.2/max</t>
  </si>
  <si>
    <t>/tuning/minorTravelEvent.coefficient.2/integer</t>
  </si>
  <si>
    <t>/tuning/minorTravelEvent.coefficient.3/value</t>
  </si>
  <si>
    <t>rule.tuning.minorTravelEvent.coefficient.3</t>
  </si>
  <si>
    <t>minorTravelEvent · coefficient 3</t>
  </si>
  <si>
    <t>Coefficient in: ?? -20) &lt; 12 || Math.random() &gt;= 0.025 ) return false; state.lastMin</t>
  </si>
  <si>
    <t>/tuning/minorTravelEvent.coefficient.3/category</t>
  </si>
  <si>
    <t>/tuning/minorTravelEvent.coefficient.3/label</t>
  </si>
  <si>
    <t>/tuning/minorTravelEvent.coefficient.3/description</t>
  </si>
  <si>
    <t>/tuning/minorTravelEvent.coefficient.3/unit</t>
  </si>
  <si>
    <t>/tuning/minorTravelEvent.coefficient.3/min</t>
  </si>
  <si>
    <t>/tuning/minorTravelEvent.coefficient.3/max</t>
  </si>
  <si>
    <t>/tuning/minorTravelEvent.coefficient.3/integer</t>
  </si>
  <si>
    <t>/tuning/minorTravelEvent.coefficient.4/value</t>
  </si>
  <si>
    <t>rule.tuning.minorTravelEvent.coefficient.4</t>
  </si>
  <si>
    <t>minorTravelEvent · coefficient 4</t>
  </si>
  <si>
    <t>Coefficient in: = state.steps; if (Math.random() &lt; 0.45) { showSpotlight( "A forgot</t>
  </si>
  <si>
    <t>/tuning/minorTravelEvent.coefficient.4/category</t>
  </si>
  <si>
    <t>/tuning/minorTravelEvent.coefficient.4/label</t>
  </si>
  <si>
    <t>/tuning/minorTravelEvent.coefficient.4/description</t>
  </si>
  <si>
    <t>/tuning/minorTravelEvent.coefficient.4/unit</t>
  </si>
  <si>
    <t>/tuning/minorTravelEvent.coefficient.4/min</t>
  </si>
  <si>
    <t>/tuning/minorTravelEvent.coefficient.4/max</t>
  </si>
  <si>
    <t>/tuning/minorTravelEvent.coefficient.4/integer</t>
  </si>
  <si>
    <t>/tuning/minorTravelEvent.base.1/value</t>
  </si>
  <si>
    <t>rule.tuning.minorTravelEvent.base.1</t>
  </si>
  <si>
    <t>minorTravelEvent · base 1</t>
  </si>
  <si>
    <t>Coefficient in: r ? danger + Math.floor(state.depth / 4) : 0; const mult = await rollCritic</t>
  </si>
  <si>
    <t>/tuning/minorTravelEvent.base.1/category</t>
  </si>
  <si>
    <t>/tuning/minorTravelEvent.base.1/label</t>
  </si>
  <si>
    <t>/tuning/minorTravelEvent.base.1/description</t>
  </si>
  <si>
    <t>/tuning/minorTravelEvent.base.1/unit</t>
  </si>
  <si>
    <t>/tuning/minorTravelEvent.base.1/min</t>
  </si>
  <si>
    <t>/tuning/minorTravelEvent.base.1/max</t>
  </si>
  <si>
    <t>/tuning/minorTravelEvent.base.1/integer</t>
  </si>
  <si>
    <t>/tuning/world.ambushAgeMs/value</t>
  </si>
  <si>
    <t>rule.tuning.world.ambushAgeMs</t>
  </si>
  <si>
    <t>Old passage age</t>
  </si>
  <si>
    <t>milliseconds</t>
  </si>
  <si>
    <t>Exploration-only elapsed time before a resolved tile can ambush.</t>
  </si>
  <si>
    <t>/tuning/world.ambushAgeMs/category</t>
  </si>
  <si>
    <t>/tuning/world.ambushAgeMs/label</t>
  </si>
  <si>
    <t>/tuning/world.ambushAgeMs/description</t>
  </si>
  <si>
    <t>/tuning/world.ambushAgeMs/unit</t>
  </si>
  <si>
    <t>/tuning/world.ambushAgeMs/min</t>
  </si>
  <si>
    <t>/tuning/world.ambushAgeMs/max</t>
  </si>
  <si>
    <t>/tuning/world.ambushAgeMs/integer</t>
  </si>
  <si>
    <t>/world/events/enemy</t>
  </si>
  <si>
    <t>rule.world.events</t>
  </si>
  <si>
    <t>enemy</t>
  </si>
  <si>
    <t>/world/events/treasure</t>
  </si>
  <si>
    <t>treasure</t>
  </si>
  <si>
    <t>/world/events/trap</t>
  </si>
  <si>
    <t>/world/events/well</t>
  </si>
  <si>
    <t>well</t>
  </si>
  <si>
    <t>/world/events/beacon</t>
  </si>
  <si>
    <t>beacon</t>
  </si>
  <si>
    <t>/world/mimicChance</t>
  </si>
  <si>
    <t>rule.world</t>
  </si>
  <si>
    <t>mimicChance</t>
  </si>
  <si>
    <t>/world/shopExtraStock</t>
  </si>
  <si>
    <t>shopExtraStock</t>
  </si>
  <si>
    <t>/enemyReelRefs/skull</t>
  </si>
  <si>
    <t>rule.enemyReelRefs</t>
  </si>
  <si>
    <t>/enemyReelRefs/rat</t>
  </si>
  <si>
    <t>/enemyReelRefs/ghost</t>
  </si>
  <si>
    <t>/enemyReelRefs/slime</t>
  </si>
  <si>
    <t>/enemyReelRefs/revenant</t>
  </si>
  <si>
    <t>/enemyReelRefs/demon</t>
  </si>
  <si>
    <t>/enemyReelRefs/lich</t>
  </si>
  <si>
    <t>/enemyReelRefs/abomination</t>
  </si>
  <si>
    <t>/enemyReelRefs/mimic</t>
  </si>
  <si>
    <t>/enemyReelRefs/gnawer</t>
  </si>
  <si>
    <t>/enemyReelRefs/bellkeeper</t>
  </si>
  <si>
    <t>/enemyReelRefs/widow</t>
  </si>
  <si>
    <t>/enemyReelRefs/oracle</t>
  </si>
  <si>
    <t>/enemyReelRefs/pageeater</t>
  </si>
  <si>
    <t>/enemyReelRefs/pursuer</t>
  </si>
  <si>
    <t>/autoresolve/healThreshold</t>
  </si>
  <si>
    <t>rule.autoresolve</t>
  </si>
  <si>
    <t>healThreshold</t>
  </si>
  <si>
    <t>/autoresolve/itemInterval</t>
  </si>
  <si>
    <t>itemInterval</t>
  </si>
  <si>
    <t>/autoresolve/potionThreshold</t>
  </si>
  <si>
    <t>potionThreshold</t>
  </si>
  <si>
    <t>/autoresolve/wardThreshold</t>
  </si>
  <si>
    <t>wardThreshold</t>
  </si>
  <si>
    <t>/autoresolve/sealScores/rogue</t>
  </si>
  <si>
    <t>rule.autoresolve.sealScores</t>
  </si>
  <si>
    <t>/autoresolve/sealScores/mage</t>
  </si>
  <si>
    <t>/autoresolve/sealScores/other</t>
  </si>
  <si>
    <t>other</t>
  </si>
  <si>
    <t>/autoresolve/poisonScore</t>
  </si>
  <si>
    <t>poisonScore</t>
  </si>
  <si>
    <t>/tuning/treasureRoll.baseGold.1/value</t>
  </si>
  <si>
    <t>rule.tuning.treasureRoll.baseGold.1</t>
  </si>
  <si>
    <t>treasureRoll · baseGold 1</t>
  </si>
  <si>
    <t>Coefficient in: faces, faces, faces]), baseGold = 2 + state.depth, counts = {}, f</t>
  </si>
  <si>
    <t>/tuning/treasureRoll.baseGold.1/category</t>
  </si>
  <si>
    <t>Loot</t>
  </si>
  <si>
    <t>/tuning/treasureRoll.baseGold.1/label</t>
  </si>
  <si>
    <t>/tuning/treasureRoll.baseGold.1/description</t>
  </si>
  <si>
    <t>/tuning/treasureRoll.baseGold.1/unit</t>
  </si>
  <si>
    <t>/tuning/treasureRoll.baseGold.1/min</t>
  </si>
  <si>
    <t>/tuning/treasureRoll.baseGold.1/max</t>
  </si>
  <si>
    <t>/tuning/treasureRoll.baseGold.1/integer</t>
  </si>
  <si>
    <t>/tuning/treasureRoll.coefficient.1/value</t>
  </si>
  <si>
    <t>rule.tuning.treasureRoll.coefficient.1</t>
  </si>
  <si>
    <t>treasureRoll · coefficient 1</t>
  </si>
  <si>
    <t>Coefficient in: baseGold += s.tier * (battle ? 2 + state.depth : 4 + state.depth);</t>
  </si>
  <si>
    <t>/tuning/treasureRoll.coefficient.1/category</t>
  </si>
  <si>
    <t>/tuning/treasureRoll.coefficient.1/label</t>
  </si>
  <si>
    <t>/tuning/treasureRoll.coefficient.1/description</t>
  </si>
  <si>
    <t>/tuning/treasureRoll.coefficient.1/unit</t>
  </si>
  <si>
    <t>/tuning/treasureRoll.coefficient.1/min</t>
  </si>
  <si>
    <t>/tuning/treasureRoll.coefficient.1/max</t>
  </si>
  <si>
    <t>/tuning/treasureRoll.coefficient.1/integer</t>
  </si>
  <si>
    <t>/tuning/treasureRoll.coefficient.2/value</t>
  </si>
  <si>
    <t>rule.tuning.treasureRoll.coefficient.2</t>
  </si>
  <si>
    <t>treasureRoll · coefficient 2</t>
  </si>
  <si>
    <t>Coefficient in: s.tier * (battle ? 2 + state.depth : 4 + state.depth); if (s.type === "a</t>
  </si>
  <si>
    <t>/tuning/treasureRoll.coefficient.2/category</t>
  </si>
  <si>
    <t>/tuning/treasureRoll.coefficient.2/label</t>
  </si>
  <si>
    <t>/tuning/treasureRoll.coefficient.2/description</t>
  </si>
  <si>
    <t>/tuning/treasureRoll.coefficient.2/unit</t>
  </si>
  <si>
    <t>/tuning/treasureRoll.coefficient.2/min</t>
  </si>
  <si>
    <t>/tuning/treasureRoll.coefficient.2/max</t>
  </si>
  <si>
    <t>/tuning/treasureRoll.coefficient.2/integer</t>
  </si>
  <si>
    <t>/tuning/treasureRoll.coefficient.3/value</t>
  </si>
  <si>
    <t>rule.tuning.treasureRoll.coefficient.3</t>
  </si>
  <si>
    <t>treasureRoll · coefficient 3</t>
  </si>
  <si>
    <t>Coefficient in: if (source === "boss") baseGold *= 2; if (elite) { baseGold *= 3;</t>
  </si>
  <si>
    <t>/tuning/treasureRoll.coefficient.3/category</t>
  </si>
  <si>
    <t>/tuning/treasureRoll.coefficient.3/label</t>
  </si>
  <si>
    <t>/tuning/treasureRoll.coefficient.3/description</t>
  </si>
  <si>
    <t>/tuning/treasureRoll.coefficient.3/unit</t>
  </si>
  <si>
    <t>/tuning/treasureRoll.coefficient.3/min</t>
  </si>
  <si>
    <t>/tuning/treasureRoll.coefficient.3/max</t>
  </si>
  <si>
    <t>/tuning/treasureRoll.coefficient.3/integer</t>
  </si>
  <si>
    <t>/tuning/treasureRoll.coefficient.4/value</t>
  </si>
  <si>
    <t>rule.tuning.treasureRoll.coefficient.4</t>
  </si>
  <si>
    <t>treasureRoll · coefficient 4</t>
  </si>
  <si>
    <t>Coefficient in: *= 2; if (elite) { baseGold *= 3; const prized = makeArtefact(stat</t>
  </si>
  <si>
    <t>/tuning/treasureRoll.coefficient.4/category</t>
  </si>
  <si>
    <t>/tuning/treasureRoll.coefficient.4/label</t>
  </si>
  <si>
    <t>/tuning/treasureRoll.coefficient.4/description</t>
  </si>
  <si>
    <t>/tuning/treasureRoll.coefficient.4/unit</t>
  </si>
  <si>
    <t>/tuning/treasureRoll.coefficient.4/min</t>
  </si>
  <si>
    <t>/tuning/treasureRoll.coefficient.4/max</t>
  </si>
  <si>
    <t>/tuning/treasureRoll.coefficient.4/integer</t>
  </si>
  <si>
    <t>/tuning/treasureRoll.prized.1/value</t>
  </si>
  <si>
    <t>rule.tuning.treasureRoll.prized.1</t>
  </si>
  <si>
    <t>treasureRoll · prized 1</t>
  </si>
  <si>
    <t>Coefficient in: t prized = makeArtefact(state.depth + 2); prized.depth = state.depth;</t>
  </si>
  <si>
    <t>/tuning/treasureRoll.prized.1/category</t>
  </si>
  <si>
    <t>/tuning/treasureRoll.prized.1/label</t>
  </si>
  <si>
    <t>/tuning/treasureRoll.prized.1/description</t>
  </si>
  <si>
    <t>/tuning/treasureRoll.prized.1/unit</t>
  </si>
  <si>
    <t>/tuning/treasureRoll.prized.1/min</t>
  </si>
  <si>
    <t>/tuning/treasureRoll.prized.1/max</t>
  </si>
  <si>
    <t>/tuning/treasureRoll.prized.1/integer</t>
  </si>
  <si>
    <t>/loot/coins/0/type</t>
  </si>
  <si>
    <t>rule.loot.coins.0</t>
  </si>
  <si>
    <t>0 · type</t>
  </si>
  <si>
    <t>/loot/coins/0/tier</t>
  </si>
  <si>
    <t>0 · tier</t>
  </si>
  <si>
    <t>/loot/coins/0/weight</t>
  </si>
  <si>
    <t>0 · weight</t>
  </si>
  <si>
    <t>/loot/coins/1/type</t>
  </si>
  <si>
    <t>rule.loot.coins.1</t>
  </si>
  <si>
    <t>1 · type</t>
  </si>
  <si>
    <t>/loot/coins/1/tier</t>
  </si>
  <si>
    <t>1 · tier</t>
  </si>
  <si>
    <t>/loot/coins/1/weight</t>
  </si>
  <si>
    <t>1 · weight</t>
  </si>
  <si>
    <t>/loot/coins/2/type</t>
  </si>
  <si>
    <t>rule.loot.coins.2</t>
  </si>
  <si>
    <t>2 · type</t>
  </si>
  <si>
    <t>/loot/coins/2/tier</t>
  </si>
  <si>
    <t>2 · tier</t>
  </si>
  <si>
    <t>/loot/coins/2/weight</t>
  </si>
  <si>
    <t>2 · weight</t>
  </si>
  <si>
    <t>/loot/pointWeight</t>
  </si>
  <si>
    <t>rule.loot</t>
  </si>
  <si>
    <t>pointWeight</t>
  </si>
  <si>
    <t>/loot/itemWeight</t>
  </si>
  <si>
    <t>itemWeight</t>
  </si>
  <si>
    <t>/loot/artefactWeight</t>
  </si>
  <si>
    <t>artefactWeight</t>
  </si>
  <si>
    <t>/tuning/shopPrices.coefficient.1/value</t>
  </si>
  <si>
    <t>rule.tuning.shopPrices.coefficient.1</t>
  </si>
  <si>
    <t>shopPrices · coefficient 1</t>
  </si>
  <si>
    <t>Coefficient in: .keys(ITEM_DEFS).map((type) =&gt; [type, 14 + state.depth * 2]), ), potio</t>
  </si>
  <si>
    <t>/tuning/shopPrices.coefficient.1/category</t>
  </si>
  <si>
    <t>Economy</t>
  </si>
  <si>
    <t>/tuning/shopPrices.coefficient.1/label</t>
  </si>
  <si>
    <t>/tuning/shopPrices.coefficient.1/description</t>
  </si>
  <si>
    <t>/tuning/shopPrices.coefficient.1/unit</t>
  </si>
  <si>
    <t>/tuning/shopPrices.coefficient.1/min</t>
  </si>
  <si>
    <t>/tuning/shopPrices.coefficient.1/max</t>
  </si>
  <si>
    <t>/tuning/shopPrices.coefficient.1/integer</t>
  </si>
  <si>
    <t>/tuning/shopPrices.coefficient.2/value</t>
  </si>
  <si>
    <t>rule.tuning.shopPrices.coefficient.2</t>
  </si>
  <si>
    <t>shopPrices · coefficient 2</t>
  </si>
  <si>
    <t>Coefficient in: p((type) =&gt; [type, 14 + state.depth * 2]), ), potion: 14 + state.dept</t>
  </si>
  <si>
    <t>/tuning/shopPrices.coefficient.2/category</t>
  </si>
  <si>
    <t>/tuning/shopPrices.coefficient.2/label</t>
  </si>
  <si>
    <t>/tuning/shopPrices.coefficient.2/description</t>
  </si>
  <si>
    <t>/tuning/shopPrices.coefficient.2/unit</t>
  </si>
  <si>
    <t>/tuning/shopPrices.coefficient.2/min</t>
  </si>
  <si>
    <t>/tuning/shopPrices.coefficient.2/max</t>
  </si>
  <si>
    <t>/tuning/shopPrices.coefficient.2/integer</t>
  </si>
  <si>
    <t>/tuning/shopPrices.potion.1/value</t>
  </si>
  <si>
    <t>rule.tuning.shopPrices.potion.1</t>
  </si>
  <si>
    <t>shopPrices · potion 1</t>
  </si>
  <si>
    <t>Coefficient in: state.depth * 2]), ), potion: 14 + state.depth * 2, bomb: 18 + sta</t>
  </si>
  <si>
    <t>/tuning/shopPrices.potion.1/category</t>
  </si>
  <si>
    <t>/tuning/shopPrices.potion.1/label</t>
  </si>
  <si>
    <t>/tuning/shopPrices.potion.1/description</t>
  </si>
  <si>
    <t>/tuning/shopPrices.potion.1/unit</t>
  </si>
  <si>
    <t>/tuning/shopPrices.potion.1/min</t>
  </si>
  <si>
    <t>/tuning/shopPrices.potion.1/max</t>
  </si>
  <si>
    <t>/tuning/shopPrices.potion.1/integer</t>
  </si>
  <si>
    <t>/tuning/shopPrices.potion.2/value</t>
  </si>
  <si>
    <t>rule.tuning.shopPrices.potion.2</t>
  </si>
  <si>
    <t>shopPrices · potion 2</t>
  </si>
  <si>
    <t>Coefficient in: ), potion: 14 + state.depth * 2, bomb: 18 + state.depth * 2,</t>
  </si>
  <si>
    <t>/tuning/shopPrices.potion.2/category</t>
  </si>
  <si>
    <t>/tuning/shopPrices.potion.2/label</t>
  </si>
  <si>
    <t>/tuning/shopPrices.potion.2/description</t>
  </si>
  <si>
    <t>/tuning/shopPrices.potion.2/unit</t>
  </si>
  <si>
    <t>/tuning/shopPrices.potion.2/min</t>
  </si>
  <si>
    <t>/tuning/shopPrices.potion.2/max</t>
  </si>
  <si>
    <t>/tuning/shopPrices.potion.2/integer</t>
  </si>
  <si>
    <t>/tuning/shopPrices.bomb.1/value</t>
  </si>
  <si>
    <t>rule.tuning.shopPrices.bomb.1</t>
  </si>
  <si>
    <t>shopPrices · bomb 1</t>
  </si>
  <si>
    <t>Coefficient in: tion: 14 + state.depth * 2, bomb: 18 + state.depth * 2, ward: 12 + sta</t>
  </si>
  <si>
    <t>/tuning/shopPrices.bomb.1/category</t>
  </si>
  <si>
    <t>/tuning/shopPrices.bomb.1/label</t>
  </si>
  <si>
    <t>/tuning/shopPrices.bomb.1/description</t>
  </si>
  <si>
    <t>/tuning/shopPrices.bomb.1/unit</t>
  </si>
  <si>
    <t>/tuning/shopPrices.bomb.1/min</t>
  </si>
  <si>
    <t>/tuning/shopPrices.bomb.1/max</t>
  </si>
  <si>
    <t>/tuning/shopPrices.bomb.1/integer</t>
  </si>
  <si>
    <t>/tuning/shopPrices.bomb.2/value</t>
  </si>
  <si>
    <t>rule.tuning.shopPrices.bomb.2</t>
  </si>
  <si>
    <t>shopPrices · bomb 2</t>
  </si>
  <si>
    <t>Coefficient in: pth * 2, bomb: 18 + state.depth * 2, ward: 12 + state.depth * 2,</t>
  </si>
  <si>
    <t>/tuning/shopPrices.bomb.2/category</t>
  </si>
  <si>
    <t>/tuning/shopPrices.bomb.2/label</t>
  </si>
  <si>
    <t>/tuning/shopPrices.bomb.2/description</t>
  </si>
  <si>
    <t>/tuning/shopPrices.bomb.2/unit</t>
  </si>
  <si>
    <t>/tuning/shopPrices.bomb.2/min</t>
  </si>
  <si>
    <t>/tuning/shopPrices.bomb.2/max</t>
  </si>
  <si>
    <t>/tuning/shopPrices.bomb.2/integer</t>
  </si>
  <si>
    <t>/tuning/shopPrices.ward.1/value</t>
  </si>
  <si>
    <t>rule.tuning.shopPrices.ward.1</t>
  </si>
  <si>
    <t>shopPrices · ward 1</t>
  </si>
  <si>
    <t>Coefficient in: bomb: 18 + state.depth * 2, ward: 12 + state.depth * 2, heal: 22 + sta</t>
  </si>
  <si>
    <t>/tuning/shopPrices.ward.1/category</t>
  </si>
  <si>
    <t>/tuning/shopPrices.ward.1/label</t>
  </si>
  <si>
    <t>/tuning/shopPrices.ward.1/description</t>
  </si>
  <si>
    <t>/tuning/shopPrices.ward.1/unit</t>
  </si>
  <si>
    <t>/tuning/shopPrices.ward.1/min</t>
  </si>
  <si>
    <t>/tuning/shopPrices.ward.1/max</t>
  </si>
  <si>
    <t>/tuning/shopPrices.ward.1/integer</t>
  </si>
  <si>
    <t>/tuning/shopPrices.ward.2/value</t>
  </si>
  <si>
    <t>rule.tuning.shopPrices.ward.2</t>
  </si>
  <si>
    <t>shopPrices · ward 2</t>
  </si>
  <si>
    <t>Coefficient in: pth * 2, ward: 12 + state.depth * 2, heal: 22 + state.depth * 5,</t>
  </si>
  <si>
    <t>/tuning/shopPrices.ward.2/category</t>
  </si>
  <si>
    <t>/tuning/shopPrices.ward.2/label</t>
  </si>
  <si>
    <t>/tuning/shopPrices.ward.2/description</t>
  </si>
  <si>
    <t>/tuning/shopPrices.ward.2/unit</t>
  </si>
  <si>
    <t>/tuning/shopPrices.ward.2/min</t>
  </si>
  <si>
    <t>/tuning/shopPrices.ward.2/max</t>
  </si>
  <si>
    <t>/tuning/shopPrices.ward.2/integer</t>
  </si>
  <si>
    <t>/tuning/shopPrices.heal.1/value</t>
  </si>
  <si>
    <t>rule.tuning.shopPrices.heal.1</t>
  </si>
  <si>
    <t>shopPrices · heal 1</t>
  </si>
  <si>
    <t>Coefficient in: ward: 12 + state.depth * 2, heal: 22 + state.depth * 5, reveal: 18 + s</t>
  </si>
  <si>
    <t>/tuning/shopPrices.heal.1/category</t>
  </si>
  <si>
    <t>/tuning/shopPrices.heal.1/label</t>
  </si>
  <si>
    <t>/tuning/shopPrices.heal.1/description</t>
  </si>
  <si>
    <t>/tuning/shopPrices.heal.1/unit</t>
  </si>
  <si>
    <t>/tuning/shopPrices.heal.1/min</t>
  </si>
  <si>
    <t>/tuning/shopPrices.heal.1/max</t>
  </si>
  <si>
    <t>/tuning/shopPrices.heal.1/integer</t>
  </si>
  <si>
    <t>/tuning/shopPrices.heal.2/value</t>
  </si>
  <si>
    <t>rule.tuning.shopPrices.heal.2</t>
  </si>
  <si>
    <t>shopPrices · heal 2</t>
  </si>
  <si>
    <t>Coefficient in: pth * 2, heal: 22 + state.depth * 5, reveal: 18 + state.depth * 3,</t>
  </si>
  <si>
    <t>/tuning/shopPrices.heal.2/category</t>
  </si>
  <si>
    <t>/tuning/shopPrices.heal.2/label</t>
  </si>
  <si>
    <t>/tuning/shopPrices.heal.2/description</t>
  </si>
  <si>
    <t>/tuning/shopPrices.heal.2/unit</t>
  </si>
  <si>
    <t>/tuning/shopPrices.heal.2/min</t>
  </si>
  <si>
    <t>/tuning/shopPrices.heal.2/max</t>
  </si>
  <si>
    <t>/tuning/shopPrices.heal.2/integer</t>
  </si>
  <si>
    <t>/tuning/shopPrices.reveal.1/value</t>
  </si>
  <si>
    <t>rule.tuning.shopPrices.reveal.1</t>
  </si>
  <si>
    <t>shopPrices · reveal 1</t>
  </si>
  <si>
    <t>Coefficient in: al: 22 + state.depth * 5, reveal: 18 + state.depth * 3, }; }</t>
  </si>
  <si>
    <t>/tuning/shopPrices.reveal.1/category</t>
  </si>
  <si>
    <t>/tuning/shopPrices.reveal.1/label</t>
  </si>
  <si>
    <t>/tuning/shopPrices.reveal.1/description</t>
  </si>
  <si>
    <t>/tuning/shopPrices.reveal.1/unit</t>
  </si>
  <si>
    <t>/tuning/shopPrices.reveal.1/min</t>
  </si>
  <si>
    <t>/tuning/shopPrices.reveal.1/max</t>
  </si>
  <si>
    <t>/tuning/shopPrices.reveal.1/integer</t>
  </si>
  <si>
    <t>/tuning/shopPrices.reveal.2/value</t>
  </si>
  <si>
    <t>rule.tuning.shopPrices.reveal.2</t>
  </si>
  <si>
    <t>shopPrices · reveal 2</t>
  </si>
  <si>
    <t>Coefficient in: h * 5, reveal: 18 + state.depth * 3, }; }</t>
  </si>
  <si>
    <t>/tuning/shopPrices.reveal.2/category</t>
  </si>
  <si>
    <t>/tuning/shopPrices.reveal.2/label</t>
  </si>
  <si>
    <t>/tuning/shopPrices.reveal.2/description</t>
  </si>
  <si>
    <t>/tuning/shopPrices.reveal.2/unit</t>
  </si>
  <si>
    <t>/tuning/shopPrices.reveal.2/min</t>
  </si>
  <si>
    <t>/tuning/shopPrices.reveal.2/max</t>
  </si>
  <si>
    <t>/tuning/shopPrices.reveal.2/integer</t>
  </si>
  <si>
    <t>/abilities/fighter/id</t>
  </si>
  <si>
    <t>ability.rage</t>
  </si>
  <si>
    <t>/abilities/fighter/name</t>
  </si>
  <si>
    <t>RAGE</t>
  </si>
  <si>
    <t>/abilities/fighter/description</t>
  </si>
  <si>
    <t>Rage: add damage for the rest of this fight. Repeated rage builds a little protection.</t>
  </si>
  <si>
    <t>/abilities/fighter/stackCap</t>
  </si>
  <si>
    <t>stackCap</t>
  </si>
  <si>
    <t>/abilities/fighter/defenceThreshold</t>
  </si>
  <si>
    <t>defenceThreshold</t>
  </si>
  <si>
    <t>/abilities/healer/id</t>
  </si>
  <si>
    <t>ability.sanctuary</t>
  </si>
  <si>
    <t>/abilities/healer/name</t>
  </si>
  <si>
    <t>SANCTUARY</t>
  </si>
  <si>
    <t>/abilities/healer/description</t>
  </si>
  <si>
    <t>Sanctuary: heal every living ally and raise shared team block.</t>
  </si>
  <si>
    <t>/abilities/healer/healBase</t>
  </si>
  <si>
    <t>healBase</t>
  </si>
  <si>
    <t>/abilities/healer/healLevelDivisor</t>
  </si>
  <si>
    <t>healLevelDivisor</t>
  </si>
  <si>
    <t>/abilities/healer/blockBase</t>
  </si>
  <si>
    <t>/abilities/healer/blockLevelDivisor</t>
  </si>
  <si>
    <t>blockLevelDivisor</t>
  </si>
  <si>
    <t>/abilities/rogue/id</t>
  </si>
  <si>
    <t>/abilities/rogue/name</t>
  </si>
  <si>
    <t>FLURRY</t>
  </si>
  <si>
    <t>/abilities/rogue/description</t>
  </si>
  <si>
    <t>Flurry: roll three extra attack reels; matching blades can crit.</t>
  </si>
  <si>
    <t>/abilities/mage/id</t>
  </si>
  <si>
    <t>ability.nova</t>
  </si>
  <si>
    <t>/abilities/mage/name</t>
  </si>
  <si>
    <t>NOVA</t>
  </si>
  <si>
    <t>/abilities/mage/description</t>
  </si>
  <si>
    <t>Nova: strike every enemy with magic.</t>
  </si>
  <si>
    <t>/abilities/mage/damageBase</t>
  </si>
  <si>
    <t>/abilities/mage/damageLevelDivisor</t>
  </si>
  <si>
    <t>damageLevelDivisor</t>
  </si>
  <si>
    <t>/abilities/poison/id</t>
  </si>
  <si>
    <t>ability.poison</t>
  </si>
  <si>
    <t>/abilities/poison/name</t>
  </si>
  <si>
    <t>POISON</t>
  </si>
  <si>
    <t>/abilities/poison/description</t>
  </si>
  <si>
    <t>A tiny armour-piercing damage tick per action.</t>
  </si>
  <si>
    <t>/abilities/poison/baseTurns</t>
  </si>
  <si>
    <t>baseTurns</t>
  </si>
  <si>
    <t>/abilities/poison/maxTurns</t>
  </si>
  <si>
    <t>maxTurns</t>
  </si>
  <si>
    <t>/abilities/poison/damage</t>
  </si>
  <si>
    <t>damage</t>
  </si>
  <si>
    <t>/abilities/stimulant/id</t>
  </si>
  <si>
    <t>ability.stimulant</t>
  </si>
  <si>
    <t>/abilities/stimulant/name</t>
  </si>
  <si>
    <t>STIMULANT</t>
  </si>
  <si>
    <t>/abilities/stimulant/description</t>
  </si>
  <si>
    <t>Temporary damage and protection.</t>
  </si>
  <si>
    <t>/abilities/stimulant/attackBase</t>
  </si>
  <si>
    <t>attackBase</t>
  </si>
  <si>
    <t>/abilities/stimulant/attackDivisor</t>
  </si>
  <si>
    <t>attackDivisor</t>
  </si>
  <si>
    <t>/abilities/stimulant/defenceBase</t>
  </si>
  <si>
    <t>defenceBase</t>
  </si>
  <si>
    <t>/abilities/stimulant/defenceDivisor</t>
  </si>
  <si>
    <t>defenceDivisor</t>
  </si>
  <si>
    <t>/abilities/stimulant/maxPower</t>
  </si>
  <si>
    <t>maxPower</t>
  </si>
  <si>
    <t>/abilities/stimulant/baseTurns</t>
  </si>
  <si>
    <t>/abilities/stimulant/maxExtraTurns</t>
  </si>
  <si>
    <t>maxExtraTurns</t>
  </si>
  <si>
    <t>Class</t>
  </si>
  <si>
    <t>Outcome</t>
  </si>
  <si>
    <t>Probability</t>
  </si>
  <si>
    <t>Base damage</t>
  </si>
  <si>
    <t>Base healing</t>
  </si>
  <si>
    <t>Base block</t>
  </si>
  <si>
    <t>Three alike?</t>
  </si>
  <si>
    <t>Critical probability</t>
  </si>
  <si>
    <t>attack1 / attack1 / attack1</t>
  </si>
  <si>
    <t>attack1 / attack1 / attack2</t>
  </si>
  <si>
    <t>attack1 / attack1 / block1</t>
  </si>
  <si>
    <t>attack1 / attack1 / block2</t>
  </si>
  <si>
    <t>attack1 / attack1 / heal1</t>
  </si>
  <si>
    <t>attack1 / attack1 / blank1</t>
  </si>
  <si>
    <t>attack1 / attack2 / attack1</t>
  </si>
  <si>
    <t>attack1 / attack2 / attack2</t>
  </si>
  <si>
    <t>attack1 / attack2 / block1</t>
  </si>
  <si>
    <t>attack1 / attack2 / block2</t>
  </si>
  <si>
    <t>attack1 / attack2 / heal1</t>
  </si>
  <si>
    <t>attack1 / attack2 / blank1</t>
  </si>
  <si>
    <t>attack1 / block1 / attack1</t>
  </si>
  <si>
    <t>attack1 / block1 / attack2</t>
  </si>
  <si>
    <t>attack1 / block1 / block1</t>
  </si>
  <si>
    <t>attack1 / block1 / block2</t>
  </si>
  <si>
    <t>attack1 / block1 / heal1</t>
  </si>
  <si>
    <t>attack1 / block1 / blank1</t>
  </si>
  <si>
    <t>attack1 / block2 / attack1</t>
  </si>
  <si>
    <t>attack1 / block2 / attack2</t>
  </si>
  <si>
    <t>attack1 / block2 / block1</t>
  </si>
  <si>
    <t>attack1 / block2 / block2</t>
  </si>
  <si>
    <t>attack1 / block2 / heal1</t>
  </si>
  <si>
    <t>attack1 / block2 / blank1</t>
  </si>
  <si>
    <t>attack1 / heal1 / attack1</t>
  </si>
  <si>
    <t>attack1 / heal1 / attack2</t>
  </si>
  <si>
    <t>attack1 / heal1 / block1</t>
  </si>
  <si>
    <t>attack1 / heal1 / block2</t>
  </si>
  <si>
    <t>attack1 / heal1 / heal1</t>
  </si>
  <si>
    <t>attack1 / heal1 / blank1</t>
  </si>
  <si>
    <t>attack1 / blank1 / attack1</t>
  </si>
  <si>
    <t>attack1 / blank1 / attack2</t>
  </si>
  <si>
    <t>attack1 / blank1 / block1</t>
  </si>
  <si>
    <t>attack1 / blank1 / block2</t>
  </si>
  <si>
    <t>attack1 / blank1 / heal1</t>
  </si>
  <si>
    <t>attack1 / blank1 / blank1</t>
  </si>
  <si>
    <t>attack1 / class1 / attack1</t>
  </si>
  <si>
    <t>attack1 / class1 / attack2</t>
  </si>
  <si>
    <t>attack1 / class1 / block1</t>
  </si>
  <si>
    <t>attack1 / class1 / block2</t>
  </si>
  <si>
    <t>attack1 / class1 / heal1</t>
  </si>
  <si>
    <t>attack1 / class1 / blank1</t>
  </si>
  <si>
    <t>attack2 / attack1 / attack1</t>
  </si>
  <si>
    <t>attack2 / attack1 / attack2</t>
  </si>
  <si>
    <t>attack2 / attack1 / block1</t>
  </si>
  <si>
    <t>attack2 / attack1 / block2</t>
  </si>
  <si>
    <t>attack2 / attack1 / heal1</t>
  </si>
  <si>
    <t>attack2 / attack1 / blank1</t>
  </si>
  <si>
    <t>attack2 / attack2 / attack1</t>
  </si>
  <si>
    <t>attack2 / attack2 / attack2</t>
  </si>
  <si>
    <t>attack2 / attack2 / block1</t>
  </si>
  <si>
    <t>attack2 / attack2 / block2</t>
  </si>
  <si>
    <t>attack2 / attack2 / heal1</t>
  </si>
  <si>
    <t>attack2 / attack2 / blank1</t>
  </si>
  <si>
    <t>attack2 / block1 / attack1</t>
  </si>
  <si>
    <t>attack2 / block1 / attack2</t>
  </si>
  <si>
    <t>attack2 / block1 / block1</t>
  </si>
  <si>
    <t>attack2 / block1 / block2</t>
  </si>
  <si>
    <t>attack2 / block1 / heal1</t>
  </si>
  <si>
    <t>attack2 / block1 / blank1</t>
  </si>
  <si>
    <t>attack2 / block2 / attack1</t>
  </si>
  <si>
    <t>attack2 / block2 / attack2</t>
  </si>
  <si>
    <t>attack2 / block2 / block1</t>
  </si>
  <si>
    <t>attack2 / block2 / block2</t>
  </si>
  <si>
    <t>attack2 / block2 / heal1</t>
  </si>
  <si>
    <t>attack2 / block2 / blank1</t>
  </si>
  <si>
    <t>attack2 / heal1 / attack1</t>
  </si>
  <si>
    <t>attack2 / heal1 / attack2</t>
  </si>
  <si>
    <t>attack2 / heal1 / block1</t>
  </si>
  <si>
    <t>attack2 / heal1 / block2</t>
  </si>
  <si>
    <t>attack2 / heal1 / heal1</t>
  </si>
  <si>
    <t>attack2 / heal1 / blank1</t>
  </si>
  <si>
    <t>attack2 / blank1 / attack1</t>
  </si>
  <si>
    <t>attack2 / blank1 / attack2</t>
  </si>
  <si>
    <t>attack2 / blank1 / block1</t>
  </si>
  <si>
    <t>attack2 / blank1 / block2</t>
  </si>
  <si>
    <t>attack2 / blank1 / heal1</t>
  </si>
  <si>
    <t>attack2 / blank1 / blank1</t>
  </si>
  <si>
    <t>attack2 / class1 / attack1</t>
  </si>
  <si>
    <t>attack2 / class1 / attack2</t>
  </si>
  <si>
    <t>attack2 / class1 / block1</t>
  </si>
  <si>
    <t>attack2 / class1 / block2</t>
  </si>
  <si>
    <t>attack2 / class1 / heal1</t>
  </si>
  <si>
    <t>attack2 / class1 / blank1</t>
  </si>
  <si>
    <t>block1 / attack1 / attack1</t>
  </si>
  <si>
    <t>block1 / attack1 / attack2</t>
  </si>
  <si>
    <t>block1 / attack1 / block1</t>
  </si>
  <si>
    <t>block1 / attack1 / block2</t>
  </si>
  <si>
    <t>block1 / attack1 / heal1</t>
  </si>
  <si>
    <t>block1 / attack1 / blank1</t>
  </si>
  <si>
    <t>block1 / attack2 / attack1</t>
  </si>
  <si>
    <t>block1 / attack2 / attack2</t>
  </si>
  <si>
    <t>block1 / attack2 / block1</t>
  </si>
  <si>
    <t>block1 / attack2 / block2</t>
  </si>
  <si>
    <t>block1 / attack2 / heal1</t>
  </si>
  <si>
    <t>block1 / attack2 / blank1</t>
  </si>
  <si>
    <t>block1 / block1 / attack1</t>
  </si>
  <si>
    <t>block1 / block1 / attack2</t>
  </si>
  <si>
    <t>block1 / block1 / block1</t>
  </si>
  <si>
    <t>block1 / block1 / block2</t>
  </si>
  <si>
    <t>block1 / block1 / heal1</t>
  </si>
  <si>
    <t>block1 / block1 / blank1</t>
  </si>
  <si>
    <t>block1 / block2 / attack1</t>
  </si>
  <si>
    <t>block1 / block2 / attack2</t>
  </si>
  <si>
    <t>block1 / block2 / block1</t>
  </si>
  <si>
    <t>block1 / block2 / block2</t>
  </si>
  <si>
    <t>block1 / block2 / heal1</t>
  </si>
  <si>
    <t>block1 / block2 / blank1</t>
  </si>
  <si>
    <t>block1 / heal1 / attack1</t>
  </si>
  <si>
    <t>block1 / heal1 / attack2</t>
  </si>
  <si>
    <t>block1 / heal1 / block1</t>
  </si>
  <si>
    <t>block1 / heal1 / block2</t>
  </si>
  <si>
    <t>block1 / heal1 / heal1</t>
  </si>
  <si>
    <t>block1 / heal1 / blank1</t>
  </si>
  <si>
    <t>block1 / blank1 / attack1</t>
  </si>
  <si>
    <t>block1 / blank1 / attack2</t>
  </si>
  <si>
    <t>block1 / blank1 / block1</t>
  </si>
  <si>
    <t>block1 / blank1 / block2</t>
  </si>
  <si>
    <t>block1 / blank1 / heal1</t>
  </si>
  <si>
    <t>block1 / blank1 / blank1</t>
  </si>
  <si>
    <t>block1 / class1 / attack1</t>
  </si>
  <si>
    <t>block1 / class1 / attack2</t>
  </si>
  <si>
    <t>block1 / class1 / block1</t>
  </si>
  <si>
    <t>block1 / class1 / block2</t>
  </si>
  <si>
    <t>block1 / class1 / heal1</t>
  </si>
  <si>
    <t>block1 / class1 / blank1</t>
  </si>
  <si>
    <t>block2 / attack1 / attack1</t>
  </si>
  <si>
    <t>block2 / attack1 / attack2</t>
  </si>
  <si>
    <t>block2 / attack1 / block1</t>
  </si>
  <si>
    <t>block2 / attack1 / block2</t>
  </si>
  <si>
    <t>block2 / attack1 / heal1</t>
  </si>
  <si>
    <t>block2 / attack1 / blank1</t>
  </si>
  <si>
    <t>block2 / attack2 / attack1</t>
  </si>
  <si>
    <t>block2 / attack2 / attack2</t>
  </si>
  <si>
    <t>block2 / attack2 / block1</t>
  </si>
  <si>
    <t>block2 / attack2 / block2</t>
  </si>
  <si>
    <t>block2 / attack2 / heal1</t>
  </si>
  <si>
    <t>block2 / attack2 / blank1</t>
  </si>
  <si>
    <t>block2 / block1 / attack1</t>
  </si>
  <si>
    <t>block2 / block1 / attack2</t>
  </si>
  <si>
    <t>block2 / block1 / block1</t>
  </si>
  <si>
    <t>block2 / block1 / block2</t>
  </si>
  <si>
    <t>block2 / block1 / heal1</t>
  </si>
  <si>
    <t>block2 / block1 / blank1</t>
  </si>
  <si>
    <t>block2 / block2 / attack1</t>
  </si>
  <si>
    <t>block2 / block2 / attack2</t>
  </si>
  <si>
    <t>block2 / block2 / block1</t>
  </si>
  <si>
    <t>block2 / block2 / block2</t>
  </si>
  <si>
    <t>block2 / block2 / heal1</t>
  </si>
  <si>
    <t>block2 / block2 / blank1</t>
  </si>
  <si>
    <t>block2 / heal1 / attack1</t>
  </si>
  <si>
    <t>block2 / heal1 / attack2</t>
  </si>
  <si>
    <t>block2 / heal1 / block1</t>
  </si>
  <si>
    <t>block2 / heal1 / block2</t>
  </si>
  <si>
    <t>block2 / heal1 / heal1</t>
  </si>
  <si>
    <t>block2 / heal1 / blank1</t>
  </si>
  <si>
    <t>block2 / blank1 / attack1</t>
  </si>
  <si>
    <t>block2 / blank1 / attack2</t>
  </si>
  <si>
    <t>block2 / blank1 / block1</t>
  </si>
  <si>
    <t>block2 / blank1 / block2</t>
  </si>
  <si>
    <t>block2 / blank1 / heal1</t>
  </si>
  <si>
    <t>block2 / blank1 / blank1</t>
  </si>
  <si>
    <t>block2 / class1 / attack1</t>
  </si>
  <si>
    <t>block2 / class1 / attack2</t>
  </si>
  <si>
    <t>block2 / class1 / block1</t>
  </si>
  <si>
    <t>block2 / class1 / block2</t>
  </si>
  <si>
    <t>block2 / class1 / heal1</t>
  </si>
  <si>
    <t>block2 / class1 / blank1</t>
  </si>
  <si>
    <t>heal1 / attack1 / attack1</t>
  </si>
  <si>
    <t>heal1 / attack1 / attack2</t>
  </si>
  <si>
    <t>heal1 / attack1 / block1</t>
  </si>
  <si>
    <t>heal1 / attack1 / block2</t>
  </si>
  <si>
    <t>heal1 / attack1 / heal1</t>
  </si>
  <si>
    <t>heal1 / attack1 / blank1</t>
  </si>
  <si>
    <t>heal1 / attack2 / attack1</t>
  </si>
  <si>
    <t>heal1 / attack2 / attack2</t>
  </si>
  <si>
    <t>heal1 / attack2 / block1</t>
  </si>
  <si>
    <t>heal1 / attack2 / block2</t>
  </si>
  <si>
    <t>heal1 / attack2 / heal1</t>
  </si>
  <si>
    <t>heal1 / attack2 / blank1</t>
  </si>
  <si>
    <t>heal1 / block1 / attack1</t>
  </si>
  <si>
    <t>heal1 / block1 / attack2</t>
  </si>
  <si>
    <t>heal1 / block1 / block1</t>
  </si>
  <si>
    <t>heal1 / block1 / block2</t>
  </si>
  <si>
    <t>heal1 / block1 / heal1</t>
  </si>
  <si>
    <t>heal1 / block1 / blank1</t>
  </si>
  <si>
    <t>heal1 / block2 / attack1</t>
  </si>
  <si>
    <t>heal1 / block2 / attack2</t>
  </si>
  <si>
    <t>heal1 / block2 / block1</t>
  </si>
  <si>
    <t>heal1 / block2 / block2</t>
  </si>
  <si>
    <t>heal1 / block2 / heal1</t>
  </si>
  <si>
    <t>heal1 / block2 / blank1</t>
  </si>
  <si>
    <t>heal1 / heal1 / attack1</t>
  </si>
  <si>
    <t>heal1 / heal1 / attack2</t>
  </si>
  <si>
    <t>heal1 / heal1 / block1</t>
  </si>
  <si>
    <t>heal1 / heal1 / block2</t>
  </si>
  <si>
    <t>heal1 / heal1 / heal1</t>
  </si>
  <si>
    <t>heal1 / heal1 / blank1</t>
  </si>
  <si>
    <t>heal1 / blank1 / attack1</t>
  </si>
  <si>
    <t>heal1 / blank1 / attack2</t>
  </si>
  <si>
    <t>heal1 / blank1 / block1</t>
  </si>
  <si>
    <t>heal1 / blank1 / block2</t>
  </si>
  <si>
    <t>heal1 / blank1 / heal1</t>
  </si>
  <si>
    <t>heal1 / blank1 / blank1</t>
  </si>
  <si>
    <t>heal1 / class1 / attack1</t>
  </si>
  <si>
    <t>heal1 / class1 / attack2</t>
  </si>
  <si>
    <t>heal1 / class1 / block1</t>
  </si>
  <si>
    <t>heal1 / class1 / block2</t>
  </si>
  <si>
    <t>heal1 / class1 / heal1</t>
  </si>
  <si>
    <t>heal1 / class1 / blank1</t>
  </si>
  <si>
    <t>blank1 / attack1 / attack1</t>
  </si>
  <si>
    <t>blank1 / attack1 / attack2</t>
  </si>
  <si>
    <t>blank1 / attack1 / block1</t>
  </si>
  <si>
    <t>blank1 / attack1 / block2</t>
  </si>
  <si>
    <t>blank1 / attack1 / heal1</t>
  </si>
  <si>
    <t>blank1 / attack1 / blank1</t>
  </si>
  <si>
    <t>blank1 / attack2 / attack1</t>
  </si>
  <si>
    <t>blank1 / attack2 / attack2</t>
  </si>
  <si>
    <t>blank1 / attack2 / block1</t>
  </si>
  <si>
    <t>blank1 / attack2 / block2</t>
  </si>
  <si>
    <t>blank1 / attack2 / heal1</t>
  </si>
  <si>
    <t>blank1 / attack2 / blank1</t>
  </si>
  <si>
    <t>blank1 / block1 / attack1</t>
  </si>
  <si>
    <t>blank1 / block1 / attack2</t>
  </si>
  <si>
    <t>blank1 / block1 / block1</t>
  </si>
  <si>
    <t>blank1 / block1 / block2</t>
  </si>
  <si>
    <t>blank1 / block1 / heal1</t>
  </si>
  <si>
    <t>blank1 / block1 / blank1</t>
  </si>
  <si>
    <t>blank1 / block2 / attack1</t>
  </si>
  <si>
    <t>blank1 / block2 / attack2</t>
  </si>
  <si>
    <t>blank1 / block2 / block1</t>
  </si>
  <si>
    <t>blank1 / block2 / block2</t>
  </si>
  <si>
    <t>blank1 / block2 / heal1</t>
  </si>
  <si>
    <t>blank1 / block2 / blank1</t>
  </si>
  <si>
    <t>blank1 / heal1 / attack1</t>
  </si>
  <si>
    <t>blank1 / heal1 / attack2</t>
  </si>
  <si>
    <t>blank1 / heal1 / block1</t>
  </si>
  <si>
    <t>blank1 / heal1 / block2</t>
  </si>
  <si>
    <t>blank1 / heal1 / heal1</t>
  </si>
  <si>
    <t>blank1 / heal1 / blank1</t>
  </si>
  <si>
    <t>blank1 / blank1 / attack1</t>
  </si>
  <si>
    <t>blank1 / blank1 / attack2</t>
  </si>
  <si>
    <t>blank1 / blank1 / block1</t>
  </si>
  <si>
    <t>blank1 / blank1 / block2</t>
  </si>
  <si>
    <t>blank1 / blank1 / heal1</t>
  </si>
  <si>
    <t>blank1 / blank1 / blank1</t>
  </si>
  <si>
    <t>blank1 / class1 / attack1</t>
  </si>
  <si>
    <t>blank1 / class1 / attack2</t>
  </si>
  <si>
    <t>blank1 / class1 / block1</t>
  </si>
  <si>
    <t>blank1 / class1 / block2</t>
  </si>
  <si>
    <t>blank1 / class1 / heal1</t>
  </si>
  <si>
    <t>blank1 / class1 / blank1</t>
  </si>
  <si>
    <t>heal1 / heal1 / heal2</t>
  </si>
  <si>
    <t>heal1 / heal1 / stun1</t>
  </si>
  <si>
    <t>heal1 / heal1 / magic1</t>
  </si>
  <si>
    <t>heal1 / heal2 / heal1</t>
  </si>
  <si>
    <t>heal1 / heal2 / heal2</t>
  </si>
  <si>
    <t>heal1 / heal2 / block1</t>
  </si>
  <si>
    <t>heal1 / heal2 / stun1</t>
  </si>
  <si>
    <t>heal1 / heal2 / magic1</t>
  </si>
  <si>
    <t>heal1 / heal2 / blank1</t>
  </si>
  <si>
    <t>heal1 / block1 / heal2</t>
  </si>
  <si>
    <t>heal1 / block1 / stun1</t>
  </si>
  <si>
    <t>heal1 / block1 / magic1</t>
  </si>
  <si>
    <t>heal1 / stun1 / heal1</t>
  </si>
  <si>
    <t>heal1 / stun1 / heal2</t>
  </si>
  <si>
    <t>heal1 / stun1 / block1</t>
  </si>
  <si>
    <t>heal1 / stun1 / stun1</t>
  </si>
  <si>
    <t>heal1 / stun1 / magic1</t>
  </si>
  <si>
    <t>heal1 / stun1 / blank1</t>
  </si>
  <si>
    <t>heal1 / magic1 / heal1</t>
  </si>
  <si>
    <t>heal1 / magic1 / heal2</t>
  </si>
  <si>
    <t>heal1 / magic1 / block1</t>
  </si>
  <si>
    <t>heal1 / magic1 / stun1</t>
  </si>
  <si>
    <t>heal1 / magic1 / magic1</t>
  </si>
  <si>
    <t>heal1 / magic1 / blank1</t>
  </si>
  <si>
    <t>heal1 / blank1 / heal2</t>
  </si>
  <si>
    <t>heal1 / blank1 / stun1</t>
  </si>
  <si>
    <t>heal1 / blank1 / magic1</t>
  </si>
  <si>
    <t>heal1 / class1 / heal2</t>
  </si>
  <si>
    <t>heal1 / class1 / stun1</t>
  </si>
  <si>
    <t>heal1 / class1 / magic1</t>
  </si>
  <si>
    <t>heal2 / heal1 / heal1</t>
  </si>
  <si>
    <t>heal2 / heal1 / heal2</t>
  </si>
  <si>
    <t>heal2 / heal1 / block1</t>
  </si>
  <si>
    <t>heal2 / heal1 / stun1</t>
  </si>
  <si>
    <t>heal2 / heal1 / magic1</t>
  </si>
  <si>
    <t>heal2 / heal1 / blank1</t>
  </si>
  <si>
    <t>heal2 / heal2 / heal1</t>
  </si>
  <si>
    <t>heal2 / heal2 / heal2</t>
  </si>
  <si>
    <t>heal2 / heal2 / block1</t>
  </si>
  <si>
    <t>heal2 / heal2 / stun1</t>
  </si>
  <si>
    <t>heal2 / heal2 / magic1</t>
  </si>
  <si>
    <t>heal2 / heal2 / blank1</t>
  </si>
  <si>
    <t>heal2 / block1 / heal1</t>
  </si>
  <si>
    <t>heal2 / block1 / heal2</t>
  </si>
  <si>
    <t>heal2 / block1 / block1</t>
  </si>
  <si>
    <t>heal2 / block1 / stun1</t>
  </si>
  <si>
    <t>heal2 / block1 / magic1</t>
  </si>
  <si>
    <t>heal2 / block1 / blank1</t>
  </si>
  <si>
    <t>heal2 / stun1 / heal1</t>
  </si>
  <si>
    <t>heal2 / stun1 / heal2</t>
  </si>
  <si>
    <t>heal2 / stun1 / block1</t>
  </si>
  <si>
    <t>heal2 / stun1 / stun1</t>
  </si>
  <si>
    <t>heal2 / stun1 / magic1</t>
  </si>
  <si>
    <t>heal2 / stun1 / blank1</t>
  </si>
  <si>
    <t>heal2 / magic1 / heal1</t>
  </si>
  <si>
    <t>heal2 / magic1 / heal2</t>
  </si>
  <si>
    <t>heal2 / magic1 / block1</t>
  </si>
  <si>
    <t>heal2 / magic1 / stun1</t>
  </si>
  <si>
    <t>heal2 / magic1 / magic1</t>
  </si>
  <si>
    <t>heal2 / magic1 / blank1</t>
  </si>
  <si>
    <t>heal2 / blank1 / heal1</t>
  </si>
  <si>
    <t>heal2 / blank1 / heal2</t>
  </si>
  <si>
    <t>heal2 / blank1 / block1</t>
  </si>
  <si>
    <t>heal2 / blank1 / stun1</t>
  </si>
  <si>
    <t>heal2 / blank1 / magic1</t>
  </si>
  <si>
    <t>heal2 / blank1 / blank1</t>
  </si>
  <si>
    <t>heal2 / class1 / heal1</t>
  </si>
  <si>
    <t>heal2 / class1 / heal2</t>
  </si>
  <si>
    <t>heal2 / class1 / block1</t>
  </si>
  <si>
    <t>heal2 / class1 / stun1</t>
  </si>
  <si>
    <t>heal2 / class1 / magic1</t>
  </si>
  <si>
    <t>heal2 / class1 / blank1</t>
  </si>
  <si>
    <t>block1 / heal1 / heal2</t>
  </si>
  <si>
    <t>block1 / heal1 / stun1</t>
  </si>
  <si>
    <t>block1 / heal1 / magic1</t>
  </si>
  <si>
    <t>block1 / heal2 / heal1</t>
  </si>
  <si>
    <t>block1 / heal2 / heal2</t>
  </si>
  <si>
    <t>block1 / heal2 / block1</t>
  </si>
  <si>
    <t>block1 / heal2 / stun1</t>
  </si>
  <si>
    <t>block1 / heal2 / magic1</t>
  </si>
  <si>
    <t>block1 / heal2 / blank1</t>
  </si>
  <si>
    <t>block1 / block1 / heal2</t>
  </si>
  <si>
    <t>block1 / block1 / stun1</t>
  </si>
  <si>
    <t>block1 / block1 / magic1</t>
  </si>
  <si>
    <t>block1 / stun1 / heal1</t>
  </si>
  <si>
    <t>block1 / stun1 / heal2</t>
  </si>
  <si>
    <t>block1 / stun1 / block1</t>
  </si>
  <si>
    <t>block1 / stun1 / stun1</t>
  </si>
  <si>
    <t>block1 / stun1 / magic1</t>
  </si>
  <si>
    <t>block1 / stun1 / blank1</t>
  </si>
  <si>
    <t>block1 / magic1 / heal1</t>
  </si>
  <si>
    <t>block1 / magic1 / heal2</t>
  </si>
  <si>
    <t>block1 / magic1 / block1</t>
  </si>
  <si>
    <t>block1 / magic1 / stun1</t>
  </si>
  <si>
    <t>block1 / magic1 / magic1</t>
  </si>
  <si>
    <t>block1 / magic1 / blank1</t>
  </si>
  <si>
    <t>block1 / blank1 / heal2</t>
  </si>
  <si>
    <t>block1 / blank1 / stun1</t>
  </si>
  <si>
    <t>block1 / blank1 / magic1</t>
  </si>
  <si>
    <t>block1 / class1 / heal2</t>
  </si>
  <si>
    <t>block1 / class1 / stun1</t>
  </si>
  <si>
    <t>block1 / class1 / magic1</t>
  </si>
  <si>
    <t>stun1 / heal1 / heal1</t>
  </si>
  <si>
    <t>stun1 / heal1 / heal2</t>
  </si>
  <si>
    <t>stun1 / heal1 / block1</t>
  </si>
  <si>
    <t>stun1 / heal1 / stun1</t>
  </si>
  <si>
    <t>stun1 / heal1 / magic1</t>
  </si>
  <si>
    <t>stun1 / heal1 / blank1</t>
  </si>
  <si>
    <t>stun1 / heal2 / heal1</t>
  </si>
  <si>
    <t>stun1 / heal2 / heal2</t>
  </si>
  <si>
    <t>stun1 / heal2 / block1</t>
  </si>
  <si>
    <t>stun1 / heal2 / stun1</t>
  </si>
  <si>
    <t>stun1 / heal2 / magic1</t>
  </si>
  <si>
    <t>stun1 / heal2 / blank1</t>
  </si>
  <si>
    <t>stun1 / block1 / heal1</t>
  </si>
  <si>
    <t>stun1 / block1 / heal2</t>
  </si>
  <si>
    <t>stun1 / block1 / block1</t>
  </si>
  <si>
    <t>stun1 / block1 / stun1</t>
  </si>
  <si>
    <t>stun1 / block1 / magic1</t>
  </si>
  <si>
    <t>stun1 / block1 / blank1</t>
  </si>
  <si>
    <t>stun1 / stun1 / heal1</t>
  </si>
  <si>
    <t>stun1 / stun1 / heal2</t>
  </si>
  <si>
    <t>stun1 / stun1 / block1</t>
  </si>
  <si>
    <t>stun1 / stun1 / stun1</t>
  </si>
  <si>
    <t>stun1 / stun1 / magic1</t>
  </si>
  <si>
    <t>stun1 / stun1 / blank1</t>
  </si>
  <si>
    <t>stun1 / magic1 / heal1</t>
  </si>
  <si>
    <t>stun1 / magic1 / heal2</t>
  </si>
  <si>
    <t>stun1 / magic1 / block1</t>
  </si>
  <si>
    <t>stun1 / magic1 / stun1</t>
  </si>
  <si>
    <t>stun1 / magic1 / magic1</t>
  </si>
  <si>
    <t>stun1 / magic1 / blank1</t>
  </si>
  <si>
    <t>stun1 / blank1 / heal1</t>
  </si>
  <si>
    <t>stun1 / blank1 / heal2</t>
  </si>
  <si>
    <t>stun1 / blank1 / block1</t>
  </si>
  <si>
    <t>stun1 / blank1 / stun1</t>
  </si>
  <si>
    <t>stun1 / blank1 / magic1</t>
  </si>
  <si>
    <t>stun1 / blank1 / blank1</t>
  </si>
  <si>
    <t>stun1 / class1 / heal1</t>
  </si>
  <si>
    <t>stun1 / class1 / heal2</t>
  </si>
  <si>
    <t>stun1 / class1 / block1</t>
  </si>
  <si>
    <t>stun1 / class1 / stun1</t>
  </si>
  <si>
    <t>stun1 / class1 / magic1</t>
  </si>
  <si>
    <t>stun1 / class1 / blank1</t>
  </si>
  <si>
    <t>magic1 / heal1 / heal1</t>
  </si>
  <si>
    <t>magic1 / heal1 / heal2</t>
  </si>
  <si>
    <t>magic1 / heal1 / block1</t>
  </si>
  <si>
    <t>magic1 / heal1 / stun1</t>
  </si>
  <si>
    <t>magic1 / heal1 / magic1</t>
  </si>
  <si>
    <t>magic1 / heal1 / blank1</t>
  </si>
  <si>
    <t>magic1 / heal2 / heal1</t>
  </si>
  <si>
    <t>magic1 / heal2 / heal2</t>
  </si>
  <si>
    <t>magic1 / heal2 / block1</t>
  </si>
  <si>
    <t>magic1 / heal2 / stun1</t>
  </si>
  <si>
    <t>magic1 / heal2 / magic1</t>
  </si>
  <si>
    <t>magic1 / heal2 / blank1</t>
  </si>
  <si>
    <t>magic1 / block1 / heal1</t>
  </si>
  <si>
    <t>magic1 / block1 / heal2</t>
  </si>
  <si>
    <t>magic1 / block1 / block1</t>
  </si>
  <si>
    <t>magic1 / block1 / stun1</t>
  </si>
  <si>
    <t>magic1 / block1 / magic1</t>
  </si>
  <si>
    <t>magic1 / block1 / blank1</t>
  </si>
  <si>
    <t>magic1 / stun1 / heal1</t>
  </si>
  <si>
    <t>magic1 / stun1 / heal2</t>
  </si>
  <si>
    <t>magic1 / stun1 / block1</t>
  </si>
  <si>
    <t>magic1 / stun1 / stun1</t>
  </si>
  <si>
    <t>magic1 / stun1 / magic1</t>
  </si>
  <si>
    <t>magic1 / stun1 / blank1</t>
  </si>
  <si>
    <t>magic1 / magic1 / heal1</t>
  </si>
  <si>
    <t>magic1 / magic1 / heal2</t>
  </si>
  <si>
    <t>magic1 / magic1 / block1</t>
  </si>
  <si>
    <t>magic1 / magic1 / stun1</t>
  </si>
  <si>
    <t>magic1 / magic1 / magic1</t>
  </si>
  <si>
    <t>magic1 / magic1 / blank1</t>
  </si>
  <si>
    <t>magic1 / blank1 / heal1</t>
  </si>
  <si>
    <t>magic1 / blank1 / heal2</t>
  </si>
  <si>
    <t>magic1 / blank1 / block1</t>
  </si>
  <si>
    <t>magic1 / blank1 / stun1</t>
  </si>
  <si>
    <t>magic1 / blank1 / magic1</t>
  </si>
  <si>
    <t>magic1 / blank1 / blank1</t>
  </si>
  <si>
    <t>magic1 / class1 / heal1</t>
  </si>
  <si>
    <t>magic1 / class1 / heal2</t>
  </si>
  <si>
    <t>magic1 / class1 / block1</t>
  </si>
  <si>
    <t>magic1 / class1 / stun1</t>
  </si>
  <si>
    <t>magic1 / class1 / magic1</t>
  </si>
  <si>
    <t>magic1 / class1 / blank1</t>
  </si>
  <si>
    <t>blank1 / heal1 / heal2</t>
  </si>
  <si>
    <t>blank1 / heal1 / stun1</t>
  </si>
  <si>
    <t>blank1 / heal1 / magic1</t>
  </si>
  <si>
    <t>blank1 / heal2 / heal1</t>
  </si>
  <si>
    <t>blank1 / heal2 / heal2</t>
  </si>
  <si>
    <t>blank1 / heal2 / block1</t>
  </si>
  <si>
    <t>blank1 / heal2 / stun1</t>
  </si>
  <si>
    <t>blank1 / heal2 / magic1</t>
  </si>
  <si>
    <t>blank1 / heal2 / blank1</t>
  </si>
  <si>
    <t>blank1 / block1 / heal2</t>
  </si>
  <si>
    <t>blank1 / block1 / stun1</t>
  </si>
  <si>
    <t>blank1 / block1 / magic1</t>
  </si>
  <si>
    <t>blank1 / stun1 / heal1</t>
  </si>
  <si>
    <t>blank1 / stun1 / heal2</t>
  </si>
  <si>
    <t>blank1 / stun1 / block1</t>
  </si>
  <si>
    <t>blank1 / stun1 / stun1</t>
  </si>
  <si>
    <t>blank1 / stun1 / magic1</t>
  </si>
  <si>
    <t>blank1 / stun1 / blank1</t>
  </si>
  <si>
    <t>blank1 / magic1 / heal1</t>
  </si>
  <si>
    <t>blank1 / magic1 / heal2</t>
  </si>
  <si>
    <t>blank1 / magic1 / block1</t>
  </si>
  <si>
    <t>blank1 / magic1 / stun1</t>
  </si>
  <si>
    <t>blank1 / magic1 / magic1</t>
  </si>
  <si>
    <t>blank1 / magic1 / blank1</t>
  </si>
  <si>
    <t>blank1 / blank1 / heal2</t>
  </si>
  <si>
    <t>blank1 / blank1 / stun1</t>
  </si>
  <si>
    <t>blank1 / blank1 / magic1</t>
  </si>
  <si>
    <t>blank1 / class1 / heal2</t>
  </si>
  <si>
    <t>blank1 / class1 / stun1</t>
  </si>
  <si>
    <t>blank1 / class1 / magic1</t>
  </si>
  <si>
    <t>attack1 / attack1 / attack3</t>
  </si>
  <si>
    <t>attack1 / attack1 / poison1</t>
  </si>
  <si>
    <t>attack1 / attack2 / attack3</t>
  </si>
  <si>
    <t>attack1 / attack2 / poison1</t>
  </si>
  <si>
    <t>attack1 / attack3 / attack1</t>
  </si>
  <si>
    <t>attack1 / attack3 / attack2</t>
  </si>
  <si>
    <t>attack1 / attack3 / attack3</t>
  </si>
  <si>
    <t>attack1 / attack3 / poison1</t>
  </si>
  <si>
    <t>attack1 / attack3 / block1</t>
  </si>
  <si>
    <t>attack1 / attack3 / blank1</t>
  </si>
  <si>
    <t>attack1 / poison1 / attack1</t>
  </si>
  <si>
    <t>attack1 / poison1 / attack2</t>
  </si>
  <si>
    <t>attack1 / poison1 / attack3</t>
  </si>
  <si>
    <t>attack1 / poison1 / poison1</t>
  </si>
  <si>
    <t>attack1 / poison1 / block1</t>
  </si>
  <si>
    <t>attack1 / poison1 / blank1</t>
  </si>
  <si>
    <t>attack1 / block1 / attack3</t>
  </si>
  <si>
    <t>attack1 / block1 / poison1</t>
  </si>
  <si>
    <t>attack1 / blank1 / attack3</t>
  </si>
  <si>
    <t>attack1 / blank1 / poison1</t>
  </si>
  <si>
    <t>attack1 / class1 / attack3</t>
  </si>
  <si>
    <t>attack1 / class1 / poison1</t>
  </si>
  <si>
    <t>attack2 / attack1 / attack3</t>
  </si>
  <si>
    <t>attack2 / attack1 / poison1</t>
  </si>
  <si>
    <t>attack2 / attack2 / attack3</t>
  </si>
  <si>
    <t>attack2 / attack2 / poison1</t>
  </si>
  <si>
    <t>attack2 / attack3 / attack1</t>
  </si>
  <si>
    <t>attack2 / attack3 / attack2</t>
  </si>
  <si>
    <t>attack2 / attack3 / attack3</t>
  </si>
  <si>
    <t>attack2 / attack3 / poison1</t>
  </si>
  <si>
    <t>attack2 / attack3 / block1</t>
  </si>
  <si>
    <t>attack2 / attack3 / blank1</t>
  </si>
  <si>
    <t>attack2 / poison1 / attack1</t>
  </si>
  <si>
    <t>attack2 / poison1 / attack2</t>
  </si>
  <si>
    <t>attack2 / poison1 / attack3</t>
  </si>
  <si>
    <t>attack2 / poison1 / poison1</t>
  </si>
  <si>
    <t>attack2 / poison1 / block1</t>
  </si>
  <si>
    <t>attack2 / poison1 / blank1</t>
  </si>
  <si>
    <t>attack2 / block1 / attack3</t>
  </si>
  <si>
    <t>attack2 / block1 / poison1</t>
  </si>
  <si>
    <t>attack2 / blank1 / attack3</t>
  </si>
  <si>
    <t>attack2 / blank1 / poison1</t>
  </si>
  <si>
    <t>attack2 / class1 / attack3</t>
  </si>
  <si>
    <t>attack2 / class1 / poison1</t>
  </si>
  <si>
    <t>attack3 / attack1 / attack1</t>
  </si>
  <si>
    <t>attack3 / attack1 / attack2</t>
  </si>
  <si>
    <t>attack3 / attack1 / attack3</t>
  </si>
  <si>
    <t>attack3 / attack1 / poison1</t>
  </si>
  <si>
    <t>attack3 / attack1 / block1</t>
  </si>
  <si>
    <t>attack3 / attack1 / blank1</t>
  </si>
  <si>
    <t>attack3 / attack2 / attack1</t>
  </si>
  <si>
    <t>attack3 / attack2 / attack2</t>
  </si>
  <si>
    <t>attack3 / attack2 / attack3</t>
  </si>
  <si>
    <t>attack3 / attack2 / poison1</t>
  </si>
  <si>
    <t>attack3 / attack2 / block1</t>
  </si>
  <si>
    <t>attack3 / attack2 / blank1</t>
  </si>
  <si>
    <t>attack3 / attack3 / attack1</t>
  </si>
  <si>
    <t>attack3 / attack3 / attack2</t>
  </si>
  <si>
    <t>attack3 / attack3 / attack3</t>
  </si>
  <si>
    <t>attack3 / attack3 / poison1</t>
  </si>
  <si>
    <t>attack3 / attack3 / block1</t>
  </si>
  <si>
    <t>attack3 / attack3 / blank1</t>
  </si>
  <si>
    <t>attack3 / poison1 / attack1</t>
  </si>
  <si>
    <t>attack3 / poison1 / attack2</t>
  </si>
  <si>
    <t>attack3 / poison1 / attack3</t>
  </si>
  <si>
    <t>attack3 / poison1 / poison1</t>
  </si>
  <si>
    <t>attack3 / poison1 / block1</t>
  </si>
  <si>
    <t>attack3 / poison1 / blank1</t>
  </si>
  <si>
    <t>attack3 / block1 / attack1</t>
  </si>
  <si>
    <t>attack3 / block1 / attack2</t>
  </si>
  <si>
    <t>attack3 / block1 / attack3</t>
  </si>
  <si>
    <t>attack3 / block1 / poison1</t>
  </si>
  <si>
    <t>attack3 / block1 / block1</t>
  </si>
  <si>
    <t>attack3 / block1 / blank1</t>
  </si>
  <si>
    <t>attack3 / blank1 / attack1</t>
  </si>
  <si>
    <t>attack3 / blank1 / attack2</t>
  </si>
  <si>
    <t>attack3 / blank1 / attack3</t>
  </si>
  <si>
    <t>attack3 / blank1 / poison1</t>
  </si>
  <si>
    <t>attack3 / blank1 / block1</t>
  </si>
  <si>
    <t>attack3 / blank1 / blank1</t>
  </si>
  <si>
    <t>attack3 / class1 / attack1</t>
  </si>
  <si>
    <t>attack3 / class1 / attack2</t>
  </si>
  <si>
    <t>attack3 / class1 / attack3</t>
  </si>
  <si>
    <t>attack3 / class1 / poison1</t>
  </si>
  <si>
    <t>attack3 / class1 / block1</t>
  </si>
  <si>
    <t>attack3 / class1 / blank1</t>
  </si>
  <si>
    <t>poison1 / attack1 / attack1</t>
  </si>
  <si>
    <t>poison1 / attack1 / attack2</t>
  </si>
  <si>
    <t>poison1 / attack1 / attack3</t>
  </si>
  <si>
    <t>poison1 / attack1 / poison1</t>
  </si>
  <si>
    <t>poison1 / attack1 / block1</t>
  </si>
  <si>
    <t>poison1 / attack1 / blank1</t>
  </si>
  <si>
    <t>poison1 / attack2 / attack1</t>
  </si>
  <si>
    <t>poison1 / attack2 / attack2</t>
  </si>
  <si>
    <t>poison1 / attack2 / attack3</t>
  </si>
  <si>
    <t>poison1 / attack2 / poison1</t>
  </si>
  <si>
    <t>poison1 / attack2 / block1</t>
  </si>
  <si>
    <t>poison1 / attack2 / blank1</t>
  </si>
  <si>
    <t>poison1 / attack3 / attack1</t>
  </si>
  <si>
    <t>poison1 / attack3 / attack2</t>
  </si>
  <si>
    <t>poison1 / attack3 / attack3</t>
  </si>
  <si>
    <t>poison1 / attack3 / poison1</t>
  </si>
  <si>
    <t>poison1 / attack3 / block1</t>
  </si>
  <si>
    <t>poison1 / attack3 / blank1</t>
  </si>
  <si>
    <t>poison1 / poison1 / attack1</t>
  </si>
  <si>
    <t>poison1 / poison1 / attack2</t>
  </si>
  <si>
    <t>poison1 / poison1 / attack3</t>
  </si>
  <si>
    <t>poison1 / poison1 / poison1</t>
  </si>
  <si>
    <t>poison1 / poison1 / block1</t>
  </si>
  <si>
    <t>poison1 / poison1 / blank1</t>
  </si>
  <si>
    <t>poison1 / block1 / attack1</t>
  </si>
  <si>
    <t>poison1 / block1 / attack2</t>
  </si>
  <si>
    <t>poison1 / block1 / attack3</t>
  </si>
  <si>
    <t>poison1 / block1 / poison1</t>
  </si>
  <si>
    <t>poison1 / block1 / block1</t>
  </si>
  <si>
    <t>poison1 / block1 / blank1</t>
  </si>
  <si>
    <t>poison1 / blank1 / attack1</t>
  </si>
  <si>
    <t>poison1 / blank1 / attack2</t>
  </si>
  <si>
    <t>poison1 / blank1 / attack3</t>
  </si>
  <si>
    <t>poison1 / blank1 / poison1</t>
  </si>
  <si>
    <t>poison1 / blank1 / block1</t>
  </si>
  <si>
    <t>poison1 / blank1 / blank1</t>
  </si>
  <si>
    <t>poison1 / class1 / attack1</t>
  </si>
  <si>
    <t>poison1 / class1 / attack2</t>
  </si>
  <si>
    <t>poison1 / class1 / attack3</t>
  </si>
  <si>
    <t>poison1 / class1 / poison1</t>
  </si>
  <si>
    <t>poison1 / class1 / block1</t>
  </si>
  <si>
    <t>poison1 / class1 / blank1</t>
  </si>
  <si>
    <t>block1 / attack1 / attack3</t>
  </si>
  <si>
    <t>block1 / attack1 / poison1</t>
  </si>
  <si>
    <t>block1 / attack2 / attack3</t>
  </si>
  <si>
    <t>block1 / attack2 / poison1</t>
  </si>
  <si>
    <t>block1 / attack3 / attack1</t>
  </si>
  <si>
    <t>block1 / attack3 / attack2</t>
  </si>
  <si>
    <t>block1 / attack3 / attack3</t>
  </si>
  <si>
    <t>block1 / attack3 / poison1</t>
  </si>
  <si>
    <t>block1 / attack3 / block1</t>
  </si>
  <si>
    <t>block1 / attack3 / blank1</t>
  </si>
  <si>
    <t>block1 / poison1 / attack1</t>
  </si>
  <si>
    <t>block1 / poison1 / attack2</t>
  </si>
  <si>
    <t>block1 / poison1 / attack3</t>
  </si>
  <si>
    <t>block1 / poison1 / poison1</t>
  </si>
  <si>
    <t>block1 / poison1 / block1</t>
  </si>
  <si>
    <t>block1 / poison1 / blank1</t>
  </si>
  <si>
    <t>block1 / block1 / attack3</t>
  </si>
  <si>
    <t>block1 / block1 / poison1</t>
  </si>
  <si>
    <t>block1 / blank1 / attack3</t>
  </si>
  <si>
    <t>block1 / blank1 / poison1</t>
  </si>
  <si>
    <t>block1 / class1 / attack3</t>
  </si>
  <si>
    <t>block1 / class1 / poison1</t>
  </si>
  <si>
    <t>blank1 / attack1 / attack3</t>
  </si>
  <si>
    <t>blank1 / attack1 / poison1</t>
  </si>
  <si>
    <t>blank1 / attack2 / attack3</t>
  </si>
  <si>
    <t>blank1 / attack2 / poison1</t>
  </si>
  <si>
    <t>blank1 / attack3 / attack1</t>
  </si>
  <si>
    <t>blank1 / attack3 / attack2</t>
  </si>
  <si>
    <t>blank1 / attack3 / attack3</t>
  </si>
  <si>
    <t>blank1 / attack3 / poison1</t>
  </si>
  <si>
    <t>blank1 / attack3 / block1</t>
  </si>
  <si>
    <t>blank1 / attack3 / blank1</t>
  </si>
  <si>
    <t>blank1 / poison1 / attack1</t>
  </si>
  <si>
    <t>blank1 / poison1 / attack2</t>
  </si>
  <si>
    <t>blank1 / poison1 / attack3</t>
  </si>
  <si>
    <t>blank1 / poison1 / poison1</t>
  </si>
  <si>
    <t>blank1 / poison1 / block1</t>
  </si>
  <si>
    <t>blank1 / poison1 / blank1</t>
  </si>
  <si>
    <t>blank1 / block1 / attack3</t>
  </si>
  <si>
    <t>blank1 / block1 / poison1</t>
  </si>
  <si>
    <t>blank1 / blank1 / attack3</t>
  </si>
  <si>
    <t>blank1 / blank1 / poison1</t>
  </si>
  <si>
    <t>blank1 / class1 / attack3</t>
  </si>
  <si>
    <t>blank1 / class1 / poison1</t>
  </si>
  <si>
    <t>magic1 / magic1 / magic2</t>
  </si>
  <si>
    <t>magic1 / magic1 / poison1</t>
  </si>
  <si>
    <t>magic1 / magic1 / stimulant1</t>
  </si>
  <si>
    <t>magic1 / magic2 / magic1</t>
  </si>
  <si>
    <t>magic1 / magic2 / magic2</t>
  </si>
  <si>
    <t>magic1 / magic2 / poison1</t>
  </si>
  <si>
    <t>magic1 / magic2 / stimulant1</t>
  </si>
  <si>
    <t>magic1 / magic2 / block1</t>
  </si>
  <si>
    <t>magic1 / magic2 / blank1</t>
  </si>
  <si>
    <t>magic1 / poison1 / magic1</t>
  </si>
  <si>
    <t>magic1 / poison1 / magic2</t>
  </si>
  <si>
    <t>magic1 / poison1 / poison1</t>
  </si>
  <si>
    <t>magic1 / poison1 / stimulant1</t>
  </si>
  <si>
    <t>magic1 / poison1 / block1</t>
  </si>
  <si>
    <t>magic1 / poison1 / blank1</t>
  </si>
  <si>
    <t>magic1 / stimulant1 / magic1</t>
  </si>
  <si>
    <t>magic1 / stimulant1 / magic2</t>
  </si>
  <si>
    <t>magic1 / stimulant1 / poison1</t>
  </si>
  <si>
    <t>magic1 / stimulant1 / stimulant1</t>
  </si>
  <si>
    <t>magic1 / stimulant1 / block1</t>
  </si>
  <si>
    <t>magic1 / stimulant1 / blank1</t>
  </si>
  <si>
    <t>magic1 / block1 / magic2</t>
  </si>
  <si>
    <t>magic1 / block1 / poison1</t>
  </si>
  <si>
    <t>magic1 / block1 / stimulant1</t>
  </si>
  <si>
    <t>magic1 / blank1 / magic2</t>
  </si>
  <si>
    <t>magic1 / blank1 / poison1</t>
  </si>
  <si>
    <t>magic1 / blank1 / stimulant1</t>
  </si>
  <si>
    <t>magic1 / class1 / magic2</t>
  </si>
  <si>
    <t>magic1 / class1 / poison1</t>
  </si>
  <si>
    <t>magic1 / class1 / stimulant1</t>
  </si>
  <si>
    <t>magic2 / magic1 / magic1</t>
  </si>
  <si>
    <t>magic2 / magic1 / magic2</t>
  </si>
  <si>
    <t>magic2 / magic1 / poison1</t>
  </si>
  <si>
    <t>magic2 / magic1 / stimulant1</t>
  </si>
  <si>
    <t>magic2 / magic1 / block1</t>
  </si>
  <si>
    <t>magic2 / magic1 / blank1</t>
  </si>
  <si>
    <t>magic2 / magic2 / magic1</t>
  </si>
  <si>
    <t>magic2 / magic2 / magic2</t>
  </si>
  <si>
    <t>magic2 / magic2 / poison1</t>
  </si>
  <si>
    <t>magic2 / magic2 / stimulant1</t>
  </si>
  <si>
    <t>magic2 / magic2 / block1</t>
  </si>
  <si>
    <t>magic2 / magic2 / blank1</t>
  </si>
  <si>
    <t>magic2 / poison1 / magic1</t>
  </si>
  <si>
    <t>magic2 / poison1 / magic2</t>
  </si>
  <si>
    <t>magic2 / poison1 / poison1</t>
  </si>
  <si>
    <t>magic2 / poison1 / stimulant1</t>
  </si>
  <si>
    <t>magic2 / poison1 / block1</t>
  </si>
  <si>
    <t>magic2 / poison1 / blank1</t>
  </si>
  <si>
    <t>magic2 / stimulant1 / magic1</t>
  </si>
  <si>
    <t>magic2 / stimulant1 / magic2</t>
  </si>
  <si>
    <t>magic2 / stimulant1 / poison1</t>
  </si>
  <si>
    <t>magic2 / stimulant1 / stimulant1</t>
  </si>
  <si>
    <t>magic2 / stimulant1 / block1</t>
  </si>
  <si>
    <t>magic2 / stimulant1 / blank1</t>
  </si>
  <si>
    <t>magic2 / block1 / magic1</t>
  </si>
  <si>
    <t>magic2 / block1 / magic2</t>
  </si>
  <si>
    <t>magic2 / block1 / poison1</t>
  </si>
  <si>
    <t>magic2 / block1 / stimulant1</t>
  </si>
  <si>
    <t>magic2 / block1 / block1</t>
  </si>
  <si>
    <t>magic2 / block1 / blank1</t>
  </si>
  <si>
    <t>magic2 / blank1 / magic1</t>
  </si>
  <si>
    <t>magic2 / blank1 / magic2</t>
  </si>
  <si>
    <t>magic2 / blank1 / poison1</t>
  </si>
  <si>
    <t>magic2 / blank1 / stimulant1</t>
  </si>
  <si>
    <t>magic2 / blank1 / block1</t>
  </si>
  <si>
    <t>magic2 / blank1 / blank1</t>
  </si>
  <si>
    <t>magic2 / class1 / magic1</t>
  </si>
  <si>
    <t>magic2 / class1 / magic2</t>
  </si>
  <si>
    <t>magic2 / class1 / poison1</t>
  </si>
  <si>
    <t>magic2 / class1 / stimulant1</t>
  </si>
  <si>
    <t>magic2 / class1 / block1</t>
  </si>
  <si>
    <t>magic2 / class1 / blank1</t>
  </si>
  <si>
    <t>poison1 / magic1 / magic1</t>
  </si>
  <si>
    <t>poison1 / magic1 / magic2</t>
  </si>
  <si>
    <t>poison1 / magic1 / poison1</t>
  </si>
  <si>
    <t>poison1 / magic1 / stimulant1</t>
  </si>
  <si>
    <t>poison1 / magic1 / block1</t>
  </si>
  <si>
    <t>poison1 / magic1 / blank1</t>
  </si>
  <si>
    <t>poison1 / magic2 / magic1</t>
  </si>
  <si>
    <t>poison1 / magic2 / magic2</t>
  </si>
  <si>
    <t>poison1 / magic2 / poison1</t>
  </si>
  <si>
    <t>poison1 / magic2 / stimulant1</t>
  </si>
  <si>
    <t>poison1 / magic2 / block1</t>
  </si>
  <si>
    <t>poison1 / magic2 / blank1</t>
  </si>
  <si>
    <t>poison1 / poison1 / magic1</t>
  </si>
  <si>
    <t>poison1 / poison1 / magic2</t>
  </si>
  <si>
    <t>poison1 / poison1 / stimulant1</t>
  </si>
  <si>
    <t>poison1 / stimulant1 / magic1</t>
  </si>
  <si>
    <t>poison1 / stimulant1 / magic2</t>
  </si>
  <si>
    <t>poison1 / stimulant1 / poison1</t>
  </si>
  <si>
    <t>poison1 / stimulant1 / stimulant1</t>
  </si>
  <si>
    <t>poison1 / stimulant1 / block1</t>
  </si>
  <si>
    <t>poison1 / stimulant1 / blank1</t>
  </si>
  <si>
    <t>poison1 / block1 / magic1</t>
  </si>
  <si>
    <t>poison1 / block1 / magic2</t>
  </si>
  <si>
    <t>poison1 / block1 / stimulant1</t>
  </si>
  <si>
    <t>poison1 / blank1 / magic1</t>
  </si>
  <si>
    <t>poison1 / blank1 / magic2</t>
  </si>
  <si>
    <t>poison1 / blank1 / stimulant1</t>
  </si>
  <si>
    <t>poison1 / class1 / magic1</t>
  </si>
  <si>
    <t>poison1 / class1 / magic2</t>
  </si>
  <si>
    <t>poison1 / class1 / stimulant1</t>
  </si>
  <si>
    <t>stimulant1 / magic1 / magic1</t>
  </si>
  <si>
    <t>stimulant1 / magic1 / magic2</t>
  </si>
  <si>
    <t>stimulant1 / magic1 / poison1</t>
  </si>
  <si>
    <t>stimulant1 / magic1 / stimulant1</t>
  </si>
  <si>
    <t>stimulant1 / magic1 / block1</t>
  </si>
  <si>
    <t>stimulant1 / magic1 / blank1</t>
  </si>
  <si>
    <t>stimulant1 / magic2 / magic1</t>
  </si>
  <si>
    <t>stimulant1 / magic2 / magic2</t>
  </si>
  <si>
    <t>stimulant1 / magic2 / poison1</t>
  </si>
  <si>
    <t>stimulant1 / magic2 / stimulant1</t>
  </si>
  <si>
    <t>stimulant1 / magic2 / block1</t>
  </si>
  <si>
    <t>stimulant1 / magic2 / blank1</t>
  </si>
  <si>
    <t>stimulant1 / poison1 / magic1</t>
  </si>
  <si>
    <t>stimulant1 / poison1 / magic2</t>
  </si>
  <si>
    <t>stimulant1 / poison1 / poison1</t>
  </si>
  <si>
    <t>stimulant1 / poison1 / stimulant1</t>
  </si>
  <si>
    <t>stimulant1 / poison1 / block1</t>
  </si>
  <si>
    <t>stimulant1 / poison1 / blank1</t>
  </si>
  <si>
    <t>stimulant1 / stimulant1 / magic1</t>
  </si>
  <si>
    <t>stimulant1 / stimulant1 / magic2</t>
  </si>
  <si>
    <t>stimulant1 / stimulant1 / poison1</t>
  </si>
  <si>
    <t>stimulant1 / stimulant1 / stimulant1</t>
  </si>
  <si>
    <t>stimulant1 / stimulant1 / block1</t>
  </si>
  <si>
    <t>stimulant1 / stimulant1 / blank1</t>
  </si>
  <si>
    <t>stimulant1 / block1 / magic1</t>
  </si>
  <si>
    <t>stimulant1 / block1 / magic2</t>
  </si>
  <si>
    <t>stimulant1 / block1 / poison1</t>
  </si>
  <si>
    <t>stimulant1 / block1 / stimulant1</t>
  </si>
  <si>
    <t>stimulant1 / block1 / block1</t>
  </si>
  <si>
    <t>stimulant1 / block1 / blank1</t>
  </si>
  <si>
    <t>stimulant1 / blank1 / magic1</t>
  </si>
  <si>
    <t>stimulant1 / blank1 / magic2</t>
  </si>
  <si>
    <t>stimulant1 / blank1 / poison1</t>
  </si>
  <si>
    <t>stimulant1 / blank1 / stimulant1</t>
  </si>
  <si>
    <t>stimulant1 / blank1 / block1</t>
  </si>
  <si>
    <t>stimulant1 / blank1 / blank1</t>
  </si>
  <si>
    <t>stimulant1 / class1 / magic1</t>
  </si>
  <si>
    <t>stimulant1 / class1 / magic2</t>
  </si>
  <si>
    <t>stimulant1 / class1 / poison1</t>
  </si>
  <si>
    <t>stimulant1 / class1 / stimulant1</t>
  </si>
  <si>
    <t>stimulant1 / class1 / block1</t>
  </si>
  <si>
    <t>stimulant1 / class1 / blank1</t>
  </si>
  <si>
    <t>block1 / magic1 / magic2</t>
  </si>
  <si>
    <t>block1 / magic1 / poison1</t>
  </si>
  <si>
    <t>block1 / magic1 / stimulant1</t>
  </si>
  <si>
    <t>block1 / magic2 / magic1</t>
  </si>
  <si>
    <t>block1 / magic2 / magic2</t>
  </si>
  <si>
    <t>block1 / magic2 / poison1</t>
  </si>
  <si>
    <t>block1 / magic2 / stimulant1</t>
  </si>
  <si>
    <t>block1 / magic2 / block1</t>
  </si>
  <si>
    <t>block1 / magic2 / blank1</t>
  </si>
  <si>
    <t>block1 / poison1 / magic1</t>
  </si>
  <si>
    <t>block1 / poison1 / magic2</t>
  </si>
  <si>
    <t>block1 / poison1 / stimulant1</t>
  </si>
  <si>
    <t>block1 / stimulant1 / magic1</t>
  </si>
  <si>
    <t>block1 / stimulant1 / magic2</t>
  </si>
  <si>
    <t>block1 / stimulant1 / poison1</t>
  </si>
  <si>
    <t>block1 / stimulant1 / stimulant1</t>
  </si>
  <si>
    <t>block1 / stimulant1 / block1</t>
  </si>
  <si>
    <t>block1 / stimulant1 / blank1</t>
  </si>
  <si>
    <t>block1 / block1 / magic2</t>
  </si>
  <si>
    <t>block1 / block1 / stimulant1</t>
  </si>
  <si>
    <t>block1 / blank1 / magic2</t>
  </si>
  <si>
    <t>block1 / blank1 / stimulant1</t>
  </si>
  <si>
    <t>block1 / class1 / magic2</t>
  </si>
  <si>
    <t>block1 / class1 / stimulant1</t>
  </si>
  <si>
    <t>blank1 / magic1 / magic2</t>
  </si>
  <si>
    <t>blank1 / magic1 / poison1</t>
  </si>
  <si>
    <t>blank1 / magic1 / stimulant1</t>
  </si>
  <si>
    <t>blank1 / magic2 / magic1</t>
  </si>
  <si>
    <t>blank1 / magic2 / magic2</t>
  </si>
  <si>
    <t>blank1 / magic2 / poison1</t>
  </si>
  <si>
    <t>blank1 / magic2 / stimulant1</t>
  </si>
  <si>
    <t>blank1 / magic2 / block1</t>
  </si>
  <si>
    <t>blank1 / magic2 / blank1</t>
  </si>
  <si>
    <t>blank1 / poison1 / magic1</t>
  </si>
  <si>
    <t>blank1 / poison1 / magic2</t>
  </si>
  <si>
    <t>blank1 / poison1 / stimulant1</t>
  </si>
  <si>
    <t>blank1 / stimulant1 / magic1</t>
  </si>
  <si>
    <t>blank1 / stimulant1 / magic2</t>
  </si>
  <si>
    <t>blank1 / stimulant1 / poison1</t>
  </si>
  <si>
    <t>blank1 / stimulant1 / stimulant1</t>
  </si>
  <si>
    <t>blank1 / stimulant1 / block1</t>
  </si>
  <si>
    <t>blank1 / stimulant1 / blank1</t>
  </si>
  <si>
    <t>blank1 / block1 / magic2</t>
  </si>
  <si>
    <t>blank1 / block1 / stimulant1</t>
  </si>
  <si>
    <t>blank1 / blank1 / magic2</t>
  </si>
  <si>
    <t>blank1 / blank1 / stimulant1</t>
  </si>
  <si>
    <t>blank1 / class1 / magic2</t>
  </si>
  <si>
    <t>blank1 / class1 / stimulant1</t>
  </si>
  <si>
    <t>Name</t>
  </si>
  <si>
    <t>Metric</t>
  </si>
  <si>
    <t>Calculated value</t>
  </si>
  <si>
    <t>Definition</t>
  </si>
  <si>
    <t>Expected base damage</t>
  </si>
  <si>
    <t>Per spin, before class powers, criticals, armour, gear or buffs.</t>
  </si>
  <si>
    <t>Expected base healing</t>
  </si>
  <si>
    <t>Expected base block</t>
  </si>
  <si>
    <t>Triple / class-wild probability</t>
  </si>
  <si>
    <t>Type and tier must match. Blanks excluded; middle class seal is wild.</t>
  </si>
  <si>
    <t>Maximum HP · floor 1</t>
  </si>
  <si>
    <t>Base normal / guardian / stronghold curve; rare random elite and paired modifiers excluded.</t>
  </si>
  <si>
    <t>Damage rating · floor 1</t>
  </si>
  <si>
    <t>A rating used to scale attack faces; not damage per hit. Random elite affixes excluded.</t>
  </si>
  <si>
    <t>Player actions per turn · floor 1</t>
  </si>
  <si>
    <t>Lower means more frequent enemy turns; Frenzied elites reduce this further.</t>
  </si>
  <si>
    <t>Strikes per enemy turn · floor 1</t>
  </si>
  <si>
    <t>Each strike makes a separate roll.</t>
  </si>
  <si>
    <t>Upper bound critical · floor 1</t>
  </si>
  <si>
    <t>Conservative raw damage bound for one attack, before armour, buffs, affixes or target defence. The maximum faces may not all match.</t>
  </si>
  <si>
    <t>Maximum HP · floor 2</t>
  </si>
  <si>
    <t>Damage rating · floor 2</t>
  </si>
  <si>
    <t>Player actions per turn · floor 2</t>
  </si>
  <si>
    <t>Strikes per enemy turn · floor 2</t>
  </si>
  <si>
    <t>Upper bound critical · floor 2</t>
  </si>
  <si>
    <t>Maximum HP · floor 3</t>
  </si>
  <si>
    <t>Damage rating · floor 3</t>
  </si>
  <si>
    <t>Player actions per turn · floor 3</t>
  </si>
  <si>
    <t>Strikes per enemy turn · floor 3</t>
  </si>
  <si>
    <t>Upper bound critical · floor 3</t>
  </si>
  <si>
    <t>Maximum HP · floor 4</t>
  </si>
  <si>
    <t>Damage rating · floor 4</t>
  </si>
  <si>
    <t>Player actions per turn · floor 4</t>
  </si>
  <si>
    <t>Strikes per enemy turn · floor 4</t>
  </si>
  <si>
    <t>Upper bound critical · floor 4</t>
  </si>
  <si>
    <t>Maximum HP · floor 5</t>
  </si>
  <si>
    <t>Damage rating · floor 5</t>
  </si>
  <si>
    <t>Player actions per turn · floor 5</t>
  </si>
  <si>
    <t>Strikes per enemy turn · floor 5</t>
  </si>
  <si>
    <t>Upper bound critical · floor 5</t>
  </si>
  <si>
    <t>Maximum HP · floor 6</t>
  </si>
  <si>
    <t>Damage rating · floor 6</t>
  </si>
  <si>
    <t>Player actions per turn · floor 6</t>
  </si>
  <si>
    <t>Strikes per enemy turn · floor 6</t>
  </si>
  <si>
    <t>Upper bound critical · floor 6</t>
  </si>
  <si>
    <t>Maximum HP · floor 7</t>
  </si>
  <si>
    <t>Damage rating · floor 7</t>
  </si>
  <si>
    <t>Player actions per turn · floor 7</t>
  </si>
  <si>
    <t>Strikes per enemy turn · floor 7</t>
  </si>
  <si>
    <t>Upper bound critical · floor 7</t>
  </si>
  <si>
    <t>Maximum HP · floor 8</t>
  </si>
  <si>
    <t>Damage rating · floor 8</t>
  </si>
  <si>
    <t>Player actions per turn · floor 8</t>
  </si>
  <si>
    <t>Strikes per enemy turn · floor 8</t>
  </si>
  <si>
    <t>Upper bound critical · floor 8</t>
  </si>
  <si>
    <t>Maximum HP · floor 9</t>
  </si>
  <si>
    <t>Damage rating · floor 9</t>
  </si>
  <si>
    <t>Player actions per turn · floor 9</t>
  </si>
  <si>
    <t>Strikes per enemy turn · floor 9</t>
  </si>
  <si>
    <t>Upper bound critical · floor 9</t>
  </si>
  <si>
    <t>Maximum HP · floor 10</t>
  </si>
  <si>
    <t>Damage rating · floor 10</t>
  </si>
  <si>
    <t>Player actions per turn · floor 10</t>
  </si>
  <si>
    <t>Strikes per enemy turn · floor 10</t>
  </si>
  <si>
    <t>Upper bound critical · floor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</si>
</sst>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%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777777"/>
    </font>
    <font>
      <color rgb="FF125BB0"/>
    </font>
  </fonts>
  <fills count="3">
    <fill>
      <patternFill patternType="none"/>
    </fill>
    <fill>
      <patternFill patternType="gray125"/>
    </fill>
    <fill>
      <patternFill patternType="solid">
        <fgColor rgb="FF4253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Protection="1"/>
    <xf numFmtId="0" fontId="3" fillId="0" borderId="0" xfId="0" applyFont="1" applyProtection="1">
      <protection locked="0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145" customWidth="1"/>
    <col min="2" max="2" width="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2" x14ac:dyDescent="0.25">
      <c r="A12" t="s">
        <v>11</v>
      </c>
      <c r="B12" t="s">
        <v>12</v>
      </c>
    </row>
    <row r="13" spans="1:2" x14ac:dyDescent="0.25">
      <c r="A13" t="s">
        <v>13</v>
      </c>
      <c r="B13" t="s">
        <v>14</v>
      </c>
    </row>
    <row r="14" spans="1:2" x14ac:dyDescent="0.25">
      <c r="A14" t="s">
        <v>15</v>
      </c>
      <c r="B14" t="s">
        <v>12</v>
      </c>
    </row>
    <row r="15" spans="1:2" x14ac:dyDescent="0.25">
      <c r="A15" t="s">
        <v>16</v>
      </c>
      <c r="B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27</v>
      </c>
      <c r="B2" t="s">
        <v>28</v>
      </c>
      <c r="C2" t="s">
        <v>29</v>
      </c>
      <c r="D2" s="2">
        <v>11</v>
      </c>
      <c r="E2" t="s">
        <v>30</v>
      </c>
      <c r="F2" t="s">
        <v>31</v>
      </c>
      <c r="G2">
        <v>0</v>
      </c>
      <c r="H2">
        <v>100000</v>
      </c>
      <c r="I2" t="s">
        <v>32</v>
      </c>
    </row>
    <row r="3" spans="1:9" x14ac:dyDescent="0.25">
      <c r="A3" t="s">
        <v>33</v>
      </c>
      <c r="B3" t="s">
        <v>28</v>
      </c>
      <c r="C3" t="s">
        <v>34</v>
      </c>
      <c r="D3" s="2">
        <v>9</v>
      </c>
      <c r="E3" t="s">
        <v>30</v>
      </c>
      <c r="F3" t="s">
        <v>31</v>
      </c>
      <c r="G3">
        <v>0</v>
      </c>
      <c r="H3">
        <v>100000</v>
      </c>
      <c r="I3" t="s">
        <v>32</v>
      </c>
    </row>
    <row r="4" spans="1:9" x14ac:dyDescent="0.25">
      <c r="A4" t="s">
        <v>35</v>
      </c>
      <c r="B4" t="s">
        <v>28</v>
      </c>
      <c r="C4" t="s">
        <v>36</v>
      </c>
      <c r="D4" s="2">
        <v>3</v>
      </c>
      <c r="E4" t="s">
        <v>30</v>
      </c>
      <c r="F4" t="s">
        <v>31</v>
      </c>
      <c r="G4">
        <v>0</v>
      </c>
      <c r="H4">
        <v>100000</v>
      </c>
      <c r="I4" t="s">
        <v>32</v>
      </c>
    </row>
    <row r="5" spans="1:9" x14ac:dyDescent="0.25">
      <c r="A5" t="s">
        <v>37</v>
      </c>
      <c r="B5" t="s">
        <v>28</v>
      </c>
      <c r="C5" t="s">
        <v>38</v>
      </c>
      <c r="D5" s="2">
        <v>3</v>
      </c>
      <c r="E5" t="s">
        <v>30</v>
      </c>
      <c r="F5" t="s">
        <v>31</v>
      </c>
      <c r="G5">
        <v>0</v>
      </c>
      <c r="H5">
        <v>100000</v>
      </c>
      <c r="I5" t="s">
        <v>32</v>
      </c>
    </row>
    <row r="6" spans="1:9" x14ac:dyDescent="0.25">
      <c r="A6" t="s">
        <v>39</v>
      </c>
      <c r="B6" t="s">
        <v>28</v>
      </c>
      <c r="C6" t="s">
        <v>40</v>
      </c>
      <c r="D6" s="2">
        <v>3</v>
      </c>
      <c r="E6" t="s">
        <v>30</v>
      </c>
      <c r="F6" t="s">
        <v>31</v>
      </c>
      <c r="G6">
        <v>0</v>
      </c>
      <c r="H6">
        <v>100000</v>
      </c>
      <c r="I6" t="s">
        <v>32</v>
      </c>
    </row>
  </sheetData>
  <sheetProtection sheet="1" algorithmName="SHA-512" hashValue="TvUMdLaoUfrexl1OfyatTzIh7NzTi0mx7NWvAscgLQu1VUg3y4fwXUPVYGxkN+X+QDvVTQqiplcN9kVZXtcOCQ==" saltValue="a9NHF2Sr4KKB3gIBEU4mMA==" spinCount="100000"/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41</v>
      </c>
      <c r="B2" t="s">
        <v>42</v>
      </c>
      <c r="C2" t="s">
        <v>43</v>
      </c>
      <c r="D2" s="3">
        <v>3</v>
      </c>
      <c r="E2" t="s">
        <v>30</v>
      </c>
      <c r="F2" t="s">
        <v>31</v>
      </c>
      <c r="G2">
        <v>1</v>
      </c>
      <c r="H2">
        <v>3</v>
      </c>
      <c r="I2" t="s">
        <v>31</v>
      </c>
    </row>
    <row r="3" spans="1:9" x14ac:dyDescent="0.25">
      <c r="A3" t="s">
        <v>44</v>
      </c>
      <c r="B3" t="s">
        <v>42</v>
      </c>
      <c r="C3" t="s">
        <v>45</v>
      </c>
      <c r="D3" s="3">
        <v>3</v>
      </c>
      <c r="E3" t="s">
        <v>30</v>
      </c>
      <c r="F3" t="s">
        <v>31</v>
      </c>
      <c r="G3">
        <v>1</v>
      </c>
      <c r="H3">
        <v>3</v>
      </c>
      <c r="I3" t="s">
        <v>31</v>
      </c>
    </row>
    <row r="4" spans="1:9" x14ac:dyDescent="0.25">
      <c r="A4" t="s">
        <v>46</v>
      </c>
      <c r="B4" t="s">
        <v>42</v>
      </c>
      <c r="C4" t="s">
        <v>47</v>
      </c>
      <c r="D4" s="3">
        <v>10</v>
      </c>
      <c r="E4" t="s">
        <v>30</v>
      </c>
      <c r="F4" t="s">
        <v>31</v>
      </c>
      <c r="G4">
        <v>10</v>
      </c>
      <c r="H4">
        <v>10</v>
      </c>
      <c r="I4" t="s">
        <v>31</v>
      </c>
    </row>
    <row r="5" spans="1:9" x14ac:dyDescent="0.25">
      <c r="A5" t="s">
        <v>48</v>
      </c>
      <c r="B5" t="s">
        <v>42</v>
      </c>
      <c r="C5" t="s">
        <v>49</v>
      </c>
      <c r="D5" s="3">
        <v>3</v>
      </c>
      <c r="E5" t="s">
        <v>30</v>
      </c>
      <c r="F5" t="s">
        <v>31</v>
      </c>
      <c r="G5">
        <v>0</v>
      </c>
      <c r="H5">
        <v>100000</v>
      </c>
      <c r="I5" t="s">
        <v>31</v>
      </c>
    </row>
    <row r="6" spans="1:9" x14ac:dyDescent="0.25">
      <c r="A6" t="s">
        <v>50</v>
      </c>
      <c r="B6" t="s">
        <v>42</v>
      </c>
      <c r="C6" t="s">
        <v>51</v>
      </c>
      <c r="D6" s="3">
        <v>6</v>
      </c>
      <c r="E6" t="s">
        <v>30</v>
      </c>
      <c r="F6" t="s">
        <v>31</v>
      </c>
      <c r="G6">
        <v>1</v>
      </c>
      <c r="H6">
        <v>1000</v>
      </c>
      <c r="I6" t="s">
        <v>31</v>
      </c>
    </row>
    <row r="7" spans="1:9" x14ac:dyDescent="0.25">
      <c r="A7" t="s">
        <v>52</v>
      </c>
      <c r="B7" t="s">
        <v>42</v>
      </c>
      <c r="C7" t="s">
        <v>53</v>
      </c>
      <c r="D7" s="3">
        <v>4</v>
      </c>
      <c r="E7" t="s">
        <v>30</v>
      </c>
      <c r="F7" t="s">
        <v>31</v>
      </c>
      <c r="G7">
        <v>1</v>
      </c>
      <c r="H7">
        <v>1000</v>
      </c>
      <c r="I7" t="s">
        <v>31</v>
      </c>
    </row>
    <row r="8" spans="1:9" x14ac:dyDescent="0.25">
      <c r="A8" t="s">
        <v>54</v>
      </c>
      <c r="B8" t="s">
        <v>42</v>
      </c>
      <c r="C8" t="s">
        <v>55</v>
      </c>
      <c r="D8" s="3">
        <v>12</v>
      </c>
      <c r="E8" t="s">
        <v>30</v>
      </c>
      <c r="F8" t="s">
        <v>31</v>
      </c>
      <c r="G8">
        <v>1</v>
      </c>
      <c r="H8">
        <v>1000</v>
      </c>
      <c r="I8" t="s">
        <v>31</v>
      </c>
    </row>
    <row r="9" spans="1:9" x14ac:dyDescent="0.25">
      <c r="A9" t="s">
        <v>56</v>
      </c>
      <c r="B9" t="s">
        <v>42</v>
      </c>
      <c r="C9" t="s">
        <v>57</v>
      </c>
      <c r="D9" s="3">
        <v>3</v>
      </c>
      <c r="E9" t="s">
        <v>30</v>
      </c>
      <c r="F9" t="s">
        <v>31</v>
      </c>
      <c r="G9">
        <v>1</v>
      </c>
      <c r="H9">
        <v>1000</v>
      </c>
      <c r="I9" t="s">
        <v>31</v>
      </c>
    </row>
    <row r="10" spans="1:9" x14ac:dyDescent="0.25">
      <c r="A10" t="s">
        <v>58</v>
      </c>
      <c r="B10" t="s">
        <v>42</v>
      </c>
      <c r="C10" t="s">
        <v>59</v>
      </c>
      <c r="D10" s="3">
        <v>6</v>
      </c>
      <c r="E10" t="s">
        <v>30</v>
      </c>
      <c r="F10" t="s">
        <v>31</v>
      </c>
      <c r="G10">
        <v>1</v>
      </c>
      <c r="H10">
        <v>1000</v>
      </c>
      <c r="I10" t="s">
        <v>31</v>
      </c>
    </row>
    <row r="11" spans="1:9" x14ac:dyDescent="0.25">
      <c r="A11" t="s">
        <v>60</v>
      </c>
      <c r="B11" t="s">
        <v>42</v>
      </c>
      <c r="C11" t="s">
        <v>61</v>
      </c>
      <c r="D11" s="3">
        <v>0.75</v>
      </c>
      <c r="E11" t="s">
        <v>30</v>
      </c>
      <c r="F11" t="s">
        <v>31</v>
      </c>
      <c r="G11">
        <v>0.0001</v>
      </c>
      <c r="H11">
        <v>1</v>
      </c>
      <c r="I11" t="s">
        <v>31</v>
      </c>
    </row>
    <row r="12" spans="1:9" x14ac:dyDescent="0.25">
      <c r="A12" t="s">
        <v>62</v>
      </c>
      <c r="B12" t="s">
        <v>42</v>
      </c>
      <c r="C12" t="s">
        <v>63</v>
      </c>
      <c r="D12" s="3">
        <v>0.3</v>
      </c>
      <c r="E12" t="s">
        <v>30</v>
      </c>
      <c r="F12" t="s">
        <v>31</v>
      </c>
      <c r="G12">
        <v>0.0001</v>
      </c>
      <c r="H12">
        <v>1</v>
      </c>
      <c r="I12" t="s">
        <v>31</v>
      </c>
    </row>
    <row r="13" spans="1:9" x14ac:dyDescent="0.25">
      <c r="A13" t="s">
        <v>64</v>
      </c>
      <c r="B13" t="s">
        <v>42</v>
      </c>
      <c r="C13" t="s">
        <v>65</v>
      </c>
      <c r="D13" s="3">
        <v>5</v>
      </c>
      <c r="E13" t="s">
        <v>30</v>
      </c>
      <c r="F13" t="s">
        <v>31</v>
      </c>
      <c r="G13">
        <v>0</v>
      </c>
      <c r="H13">
        <v>100000</v>
      </c>
      <c r="I13" t="s">
        <v>31</v>
      </c>
    </row>
    <row r="14" spans="1:9" x14ac:dyDescent="0.25">
      <c r="A14" t="s">
        <v>66</v>
      </c>
      <c r="B14" t="s">
        <v>42</v>
      </c>
      <c r="C14" t="s">
        <v>67</v>
      </c>
      <c r="D14" s="3">
        <v>1</v>
      </c>
      <c r="E14" t="s">
        <v>30</v>
      </c>
      <c r="F14" t="s">
        <v>31</v>
      </c>
      <c r="G14">
        <v>0</v>
      </c>
      <c r="H14">
        <v>100000</v>
      </c>
      <c r="I14" t="s">
        <v>31</v>
      </c>
    </row>
    <row r="15" spans="1:9" x14ac:dyDescent="0.25">
      <c r="A15" t="s">
        <v>68</v>
      </c>
      <c r="B15" t="s">
        <v>42</v>
      </c>
      <c r="C15" t="s">
        <v>69</v>
      </c>
      <c r="D15" s="3">
        <v>100</v>
      </c>
      <c r="E15" t="s">
        <v>30</v>
      </c>
      <c r="F15" t="s">
        <v>31</v>
      </c>
      <c r="G15">
        <v>0</v>
      </c>
      <c r="H15">
        <v>100000</v>
      </c>
      <c r="I15" t="s">
        <v>31</v>
      </c>
    </row>
    <row r="16" spans="1:9" x14ac:dyDescent="0.25">
      <c r="A16" t="s">
        <v>70</v>
      </c>
      <c r="B16" t="s">
        <v>42</v>
      </c>
      <c r="C16" t="s">
        <v>71</v>
      </c>
      <c r="D16" s="3">
        <v>20</v>
      </c>
      <c r="E16" t="s">
        <v>30</v>
      </c>
      <c r="F16" t="s">
        <v>31</v>
      </c>
      <c r="G16">
        <v>0</v>
      </c>
      <c r="H16">
        <v>100000</v>
      </c>
      <c r="I16" t="s">
        <v>31</v>
      </c>
    </row>
    <row r="17" spans="1:9" x14ac:dyDescent="0.25">
      <c r="A17" t="s">
        <v>72</v>
      </c>
      <c r="B17" t="s">
        <v>42</v>
      </c>
      <c r="C17" t="s">
        <v>73</v>
      </c>
      <c r="D17" s="3">
        <v>3</v>
      </c>
      <c r="E17" t="s">
        <v>30</v>
      </c>
      <c r="F17" t="s">
        <v>31</v>
      </c>
      <c r="G17">
        <v>1</v>
      </c>
      <c r="H17">
        <v>4</v>
      </c>
      <c r="I17" t="s">
        <v>31</v>
      </c>
    </row>
    <row r="18" spans="1:9" x14ac:dyDescent="0.25">
      <c r="A18" t="s">
        <v>74</v>
      </c>
      <c r="B18" t="s">
        <v>75</v>
      </c>
      <c r="C18" t="s">
        <v>76</v>
      </c>
      <c r="D18" s="3">
        <v>8</v>
      </c>
      <c r="E18" t="s">
        <v>30</v>
      </c>
      <c r="F18" t="s">
        <v>77</v>
      </c>
      <c r="G18">
        <v>1</v>
      </c>
      <c r="H18">
        <v>100</v>
      </c>
      <c r="I18" t="s">
        <v>78</v>
      </c>
    </row>
    <row r="19" spans="1:9" x14ac:dyDescent="0.25">
      <c r="A19" t="s">
        <v>79</v>
      </c>
      <c r="B19" t="s">
        <v>75</v>
      </c>
      <c r="C19" t="s">
        <v>76</v>
      </c>
      <c r="D19" s="2" t="s">
        <v>80</v>
      </c>
      <c r="E19" t="s">
        <v>81</v>
      </c>
      <c r="F19" t="s">
        <v>77</v>
      </c>
      <c r="G19" t="s">
        <v>31</v>
      </c>
      <c r="H19" t="s">
        <v>31</v>
      </c>
      <c r="I19" t="s">
        <v>32</v>
      </c>
    </row>
    <row r="20" spans="1:9" x14ac:dyDescent="0.25">
      <c r="A20" t="s">
        <v>82</v>
      </c>
      <c r="B20" t="s">
        <v>75</v>
      </c>
      <c r="C20" t="s">
        <v>76</v>
      </c>
      <c r="D20" s="2" t="s">
        <v>76</v>
      </c>
      <c r="E20" t="s">
        <v>81</v>
      </c>
      <c r="F20" t="s">
        <v>77</v>
      </c>
      <c r="G20" t="s">
        <v>31</v>
      </c>
      <c r="H20" t="s">
        <v>31</v>
      </c>
      <c r="I20" t="s">
        <v>32</v>
      </c>
    </row>
    <row r="21" spans="1:9" x14ac:dyDescent="0.25">
      <c r="A21" t="s">
        <v>83</v>
      </c>
      <c r="B21" t="s">
        <v>75</v>
      </c>
      <c r="C21" t="s">
        <v>76</v>
      </c>
      <c r="D21" s="2" t="s">
        <v>78</v>
      </c>
      <c r="E21" t="s">
        <v>81</v>
      </c>
      <c r="F21" t="s">
        <v>77</v>
      </c>
      <c r="G21" t="s">
        <v>31</v>
      </c>
      <c r="H21" t="s">
        <v>31</v>
      </c>
      <c r="I21" t="s">
        <v>32</v>
      </c>
    </row>
    <row r="22" spans="1:9" x14ac:dyDescent="0.25">
      <c r="A22" t="s">
        <v>84</v>
      </c>
      <c r="B22" t="s">
        <v>75</v>
      </c>
      <c r="C22" t="s">
        <v>76</v>
      </c>
      <c r="D22" s="2" t="s">
        <v>77</v>
      </c>
      <c r="E22" t="s">
        <v>81</v>
      </c>
      <c r="F22" t="s">
        <v>77</v>
      </c>
      <c r="G22" t="s">
        <v>31</v>
      </c>
      <c r="H22" t="s">
        <v>31</v>
      </c>
      <c r="I22" t="s">
        <v>32</v>
      </c>
    </row>
    <row r="23" spans="1:9" x14ac:dyDescent="0.25">
      <c r="A23" t="s">
        <v>85</v>
      </c>
      <c r="B23" t="s">
        <v>75</v>
      </c>
      <c r="C23" t="s">
        <v>76</v>
      </c>
      <c r="D23" s="2">
        <v>0</v>
      </c>
      <c r="E23" t="s">
        <v>30</v>
      </c>
      <c r="F23" t="s">
        <v>77</v>
      </c>
      <c r="G23">
        <v>1</v>
      </c>
      <c r="H23">
        <v>100</v>
      </c>
      <c r="I23" t="s">
        <v>32</v>
      </c>
    </row>
    <row r="24" spans="1:9" x14ac:dyDescent="0.25">
      <c r="A24" t="s">
        <v>86</v>
      </c>
      <c r="B24" t="s">
        <v>75</v>
      </c>
      <c r="C24" t="s">
        <v>76</v>
      </c>
      <c r="D24" s="2">
        <v>100</v>
      </c>
      <c r="E24" t="s">
        <v>30</v>
      </c>
      <c r="F24" t="s">
        <v>77</v>
      </c>
      <c r="G24">
        <v>1</v>
      </c>
      <c r="H24">
        <v>100</v>
      </c>
      <c r="I24" t="s">
        <v>32</v>
      </c>
    </row>
    <row r="25" spans="1:9" x14ac:dyDescent="0.25">
      <c r="A25" t="s">
        <v>87</v>
      </c>
      <c r="B25" t="s">
        <v>75</v>
      </c>
      <c r="C25" t="s">
        <v>76</v>
      </c>
      <c r="D25" s="2" t="b">
        <v>1</v>
      </c>
      <c r="E25" t="s">
        <v>88</v>
      </c>
      <c r="F25" t="s">
        <v>77</v>
      </c>
      <c r="G25" t="s">
        <v>31</v>
      </c>
      <c r="H25" t="s">
        <v>31</v>
      </c>
      <c r="I25" t="s">
        <v>32</v>
      </c>
    </row>
    <row r="26" spans="1:9" x14ac:dyDescent="0.25">
      <c r="A26" t="s">
        <v>89</v>
      </c>
      <c r="B26" t="s">
        <v>90</v>
      </c>
      <c r="C26" t="s">
        <v>91</v>
      </c>
      <c r="D26" s="3">
        <v>2</v>
      </c>
      <c r="E26" t="s">
        <v>30</v>
      </c>
      <c r="F26" t="s">
        <v>77</v>
      </c>
      <c r="G26">
        <v>1</v>
      </c>
      <c r="H26">
        <v>100</v>
      </c>
      <c r="I26" t="s">
        <v>92</v>
      </c>
    </row>
    <row r="27" spans="1:9" x14ac:dyDescent="0.25">
      <c r="A27" t="s">
        <v>93</v>
      </c>
      <c r="B27" t="s">
        <v>90</v>
      </c>
      <c r="C27" t="s">
        <v>91</v>
      </c>
      <c r="D27" s="2" t="s">
        <v>80</v>
      </c>
      <c r="E27" t="s">
        <v>81</v>
      </c>
      <c r="F27" t="s">
        <v>77</v>
      </c>
      <c r="G27" t="s">
        <v>31</v>
      </c>
      <c r="H27" t="s">
        <v>31</v>
      </c>
      <c r="I27" t="s">
        <v>32</v>
      </c>
    </row>
    <row r="28" spans="1:9" x14ac:dyDescent="0.25">
      <c r="A28" t="s">
        <v>94</v>
      </c>
      <c r="B28" t="s">
        <v>90</v>
      </c>
      <c r="C28" t="s">
        <v>91</v>
      </c>
      <c r="D28" s="2" t="s">
        <v>91</v>
      </c>
      <c r="E28" t="s">
        <v>81</v>
      </c>
      <c r="F28" t="s">
        <v>77</v>
      </c>
      <c r="G28" t="s">
        <v>31</v>
      </c>
      <c r="H28" t="s">
        <v>31</v>
      </c>
      <c r="I28" t="s">
        <v>32</v>
      </c>
    </row>
    <row r="29" spans="1:9" x14ac:dyDescent="0.25">
      <c r="A29" t="s">
        <v>95</v>
      </c>
      <c r="B29" t="s">
        <v>90</v>
      </c>
      <c r="C29" t="s">
        <v>91</v>
      </c>
      <c r="D29" s="2" t="s">
        <v>92</v>
      </c>
      <c r="E29" t="s">
        <v>81</v>
      </c>
      <c r="F29" t="s">
        <v>77</v>
      </c>
      <c r="G29" t="s">
        <v>31</v>
      </c>
      <c r="H29" t="s">
        <v>31</v>
      </c>
      <c r="I29" t="s">
        <v>32</v>
      </c>
    </row>
    <row r="30" spans="1:9" x14ac:dyDescent="0.25">
      <c r="A30" t="s">
        <v>96</v>
      </c>
      <c r="B30" t="s">
        <v>90</v>
      </c>
      <c r="C30" t="s">
        <v>91</v>
      </c>
      <c r="D30" s="2" t="s">
        <v>77</v>
      </c>
      <c r="E30" t="s">
        <v>81</v>
      </c>
      <c r="F30" t="s">
        <v>77</v>
      </c>
      <c r="G30" t="s">
        <v>31</v>
      </c>
      <c r="H30" t="s">
        <v>31</v>
      </c>
      <c r="I30" t="s">
        <v>32</v>
      </c>
    </row>
    <row r="31" spans="1:9" x14ac:dyDescent="0.25">
      <c r="A31" t="s">
        <v>97</v>
      </c>
      <c r="B31" t="s">
        <v>90</v>
      </c>
      <c r="C31" t="s">
        <v>91</v>
      </c>
      <c r="D31" s="2">
        <v>0</v>
      </c>
      <c r="E31" t="s">
        <v>30</v>
      </c>
      <c r="F31" t="s">
        <v>77</v>
      </c>
      <c r="G31">
        <v>1</v>
      </c>
      <c r="H31">
        <v>100</v>
      </c>
      <c r="I31" t="s">
        <v>32</v>
      </c>
    </row>
    <row r="32" spans="1:9" x14ac:dyDescent="0.25">
      <c r="A32" t="s">
        <v>98</v>
      </c>
      <c r="B32" t="s">
        <v>90</v>
      </c>
      <c r="C32" t="s">
        <v>91</v>
      </c>
      <c r="D32" s="2">
        <v>100</v>
      </c>
      <c r="E32" t="s">
        <v>30</v>
      </c>
      <c r="F32" t="s">
        <v>77</v>
      </c>
      <c r="G32">
        <v>1</v>
      </c>
      <c r="H32">
        <v>100</v>
      </c>
      <c r="I32" t="s">
        <v>32</v>
      </c>
    </row>
    <row r="33" spans="1:9" x14ac:dyDescent="0.25">
      <c r="A33" t="s">
        <v>99</v>
      </c>
      <c r="B33" t="s">
        <v>90</v>
      </c>
      <c r="C33" t="s">
        <v>91</v>
      </c>
      <c r="D33" s="2" t="b">
        <v>1</v>
      </c>
      <c r="E33" t="s">
        <v>88</v>
      </c>
      <c r="F33" t="s">
        <v>77</v>
      </c>
      <c r="G33" t="s">
        <v>31</v>
      </c>
      <c r="H33" t="s">
        <v>31</v>
      </c>
      <c r="I33" t="s">
        <v>32</v>
      </c>
    </row>
    <row r="34" spans="1:9" x14ac:dyDescent="0.25">
      <c r="A34" t="s">
        <v>100</v>
      </c>
      <c r="B34" t="s">
        <v>101</v>
      </c>
      <c r="C34" t="s">
        <v>102</v>
      </c>
      <c r="D34" s="3">
        <v>0.85</v>
      </c>
      <c r="E34" t="s">
        <v>30</v>
      </c>
      <c r="F34" t="s">
        <v>103</v>
      </c>
      <c r="G34">
        <v>0</v>
      </c>
      <c r="H34">
        <v>1</v>
      </c>
      <c r="I34" t="s">
        <v>104</v>
      </c>
    </row>
    <row r="35" spans="1:9" x14ac:dyDescent="0.25">
      <c r="A35" t="s">
        <v>105</v>
      </c>
      <c r="B35" t="s">
        <v>101</v>
      </c>
      <c r="C35" t="s">
        <v>102</v>
      </c>
      <c r="D35" s="2" t="s">
        <v>80</v>
      </c>
      <c r="E35" t="s">
        <v>81</v>
      </c>
      <c r="F35" t="s">
        <v>103</v>
      </c>
      <c r="G35" t="s">
        <v>31</v>
      </c>
      <c r="H35" t="s">
        <v>31</v>
      </c>
      <c r="I35" t="s">
        <v>32</v>
      </c>
    </row>
    <row r="36" spans="1:9" x14ac:dyDescent="0.25">
      <c r="A36" t="s">
        <v>106</v>
      </c>
      <c r="B36" t="s">
        <v>101</v>
      </c>
      <c r="C36" t="s">
        <v>102</v>
      </c>
      <c r="D36" s="2" t="s">
        <v>102</v>
      </c>
      <c r="E36" t="s">
        <v>81</v>
      </c>
      <c r="F36" t="s">
        <v>103</v>
      </c>
      <c r="G36" t="s">
        <v>31</v>
      </c>
      <c r="H36" t="s">
        <v>31</v>
      </c>
      <c r="I36" t="s">
        <v>32</v>
      </c>
    </row>
    <row r="37" spans="1:9" x14ac:dyDescent="0.25">
      <c r="A37" t="s">
        <v>107</v>
      </c>
      <c r="B37" t="s">
        <v>101</v>
      </c>
      <c r="C37" t="s">
        <v>102</v>
      </c>
      <c r="D37" s="2" t="s">
        <v>104</v>
      </c>
      <c r="E37" t="s">
        <v>81</v>
      </c>
      <c r="F37" t="s">
        <v>103</v>
      </c>
      <c r="G37" t="s">
        <v>31</v>
      </c>
      <c r="H37" t="s">
        <v>31</v>
      </c>
      <c r="I37" t="s">
        <v>32</v>
      </c>
    </row>
    <row r="38" spans="1:9" x14ac:dyDescent="0.25">
      <c r="A38" t="s">
        <v>108</v>
      </c>
      <c r="B38" t="s">
        <v>101</v>
      </c>
      <c r="C38" t="s">
        <v>102</v>
      </c>
      <c r="D38" s="2" t="s">
        <v>103</v>
      </c>
      <c r="E38" t="s">
        <v>81</v>
      </c>
      <c r="F38" t="s">
        <v>103</v>
      </c>
      <c r="G38" t="s">
        <v>31</v>
      </c>
      <c r="H38" t="s">
        <v>31</v>
      </c>
      <c r="I38" t="s">
        <v>32</v>
      </c>
    </row>
    <row r="39" spans="1:9" x14ac:dyDescent="0.25">
      <c r="A39" t="s">
        <v>109</v>
      </c>
      <c r="B39" t="s">
        <v>101</v>
      </c>
      <c r="C39" t="s">
        <v>102</v>
      </c>
      <c r="D39" s="2">
        <v>0</v>
      </c>
      <c r="E39" t="s">
        <v>30</v>
      </c>
      <c r="F39" t="s">
        <v>103</v>
      </c>
      <c r="G39">
        <v>0</v>
      </c>
      <c r="H39">
        <v>1</v>
      </c>
      <c r="I39" t="s">
        <v>32</v>
      </c>
    </row>
    <row r="40" spans="1:9" x14ac:dyDescent="0.25">
      <c r="A40" t="s">
        <v>110</v>
      </c>
      <c r="B40" t="s">
        <v>101</v>
      </c>
      <c r="C40" t="s">
        <v>102</v>
      </c>
      <c r="D40" s="2">
        <v>1</v>
      </c>
      <c r="E40" t="s">
        <v>30</v>
      </c>
      <c r="F40" t="s">
        <v>103</v>
      </c>
      <c r="G40">
        <v>0</v>
      </c>
      <c r="H40">
        <v>1</v>
      </c>
      <c r="I40" t="s">
        <v>32</v>
      </c>
    </row>
    <row r="41" spans="1:9" x14ac:dyDescent="0.25">
      <c r="A41" t="s">
        <v>111</v>
      </c>
      <c r="B41" t="s">
        <v>101</v>
      </c>
      <c r="C41" t="s">
        <v>102</v>
      </c>
      <c r="D41" s="2" t="b">
        <v>0</v>
      </c>
      <c r="E41" t="s">
        <v>88</v>
      </c>
      <c r="F41" t="s">
        <v>103</v>
      </c>
      <c r="G41" t="s">
        <v>31</v>
      </c>
      <c r="H41" t="s">
        <v>31</v>
      </c>
      <c r="I41" t="s">
        <v>32</v>
      </c>
    </row>
    <row r="42" spans="1:9" x14ac:dyDescent="0.25">
      <c r="A42" t="s">
        <v>112</v>
      </c>
      <c r="B42" t="s">
        <v>113</v>
      </c>
      <c r="C42" t="s">
        <v>114</v>
      </c>
      <c r="D42" s="3">
        <v>2</v>
      </c>
      <c r="E42" t="s">
        <v>30</v>
      </c>
      <c r="F42" t="s">
        <v>77</v>
      </c>
      <c r="G42">
        <v>1</v>
      </c>
      <c r="H42">
        <v>100</v>
      </c>
      <c r="I42" t="s">
        <v>115</v>
      </c>
    </row>
    <row r="43" spans="1:9" x14ac:dyDescent="0.25">
      <c r="A43" t="s">
        <v>116</v>
      </c>
      <c r="B43" t="s">
        <v>113</v>
      </c>
      <c r="C43" t="s">
        <v>114</v>
      </c>
      <c r="D43" s="2" t="s">
        <v>80</v>
      </c>
      <c r="E43" t="s">
        <v>81</v>
      </c>
      <c r="F43" t="s">
        <v>77</v>
      </c>
      <c r="G43" t="s">
        <v>31</v>
      </c>
      <c r="H43" t="s">
        <v>31</v>
      </c>
      <c r="I43" t="s">
        <v>32</v>
      </c>
    </row>
    <row r="44" spans="1:9" x14ac:dyDescent="0.25">
      <c r="A44" t="s">
        <v>117</v>
      </c>
      <c r="B44" t="s">
        <v>113</v>
      </c>
      <c r="C44" t="s">
        <v>114</v>
      </c>
      <c r="D44" s="2" t="s">
        <v>114</v>
      </c>
      <c r="E44" t="s">
        <v>81</v>
      </c>
      <c r="F44" t="s">
        <v>77</v>
      </c>
      <c r="G44" t="s">
        <v>31</v>
      </c>
      <c r="H44" t="s">
        <v>31</v>
      </c>
      <c r="I44" t="s">
        <v>32</v>
      </c>
    </row>
    <row r="45" spans="1:9" x14ac:dyDescent="0.25">
      <c r="A45" t="s">
        <v>118</v>
      </c>
      <c r="B45" t="s">
        <v>113</v>
      </c>
      <c r="C45" t="s">
        <v>114</v>
      </c>
      <c r="D45" s="2" t="s">
        <v>115</v>
      </c>
      <c r="E45" t="s">
        <v>81</v>
      </c>
      <c r="F45" t="s">
        <v>77</v>
      </c>
      <c r="G45" t="s">
        <v>31</v>
      </c>
      <c r="H45" t="s">
        <v>31</v>
      </c>
      <c r="I45" t="s">
        <v>32</v>
      </c>
    </row>
    <row r="46" spans="1:9" x14ac:dyDescent="0.25">
      <c r="A46" t="s">
        <v>119</v>
      </c>
      <c r="B46" t="s">
        <v>113</v>
      </c>
      <c r="C46" t="s">
        <v>114</v>
      </c>
      <c r="D46" s="2" t="s">
        <v>77</v>
      </c>
      <c r="E46" t="s">
        <v>81</v>
      </c>
      <c r="F46" t="s">
        <v>77</v>
      </c>
      <c r="G46" t="s">
        <v>31</v>
      </c>
      <c r="H46" t="s">
        <v>31</v>
      </c>
      <c r="I46" t="s">
        <v>32</v>
      </c>
    </row>
    <row r="47" spans="1:9" x14ac:dyDescent="0.25">
      <c r="A47" t="s">
        <v>120</v>
      </c>
      <c r="B47" t="s">
        <v>113</v>
      </c>
      <c r="C47" t="s">
        <v>114</v>
      </c>
      <c r="D47" s="2">
        <v>0</v>
      </c>
      <c r="E47" t="s">
        <v>30</v>
      </c>
      <c r="F47" t="s">
        <v>77</v>
      </c>
      <c r="G47">
        <v>1</v>
      </c>
      <c r="H47">
        <v>100</v>
      </c>
      <c r="I47" t="s">
        <v>32</v>
      </c>
    </row>
    <row r="48" spans="1:9" x14ac:dyDescent="0.25">
      <c r="A48" t="s">
        <v>121</v>
      </c>
      <c r="B48" t="s">
        <v>113</v>
      </c>
      <c r="C48" t="s">
        <v>114</v>
      </c>
      <c r="D48" s="2">
        <v>100</v>
      </c>
      <c r="E48" t="s">
        <v>30</v>
      </c>
      <c r="F48" t="s">
        <v>77</v>
      </c>
      <c r="G48">
        <v>1</v>
      </c>
      <c r="H48">
        <v>100</v>
      </c>
      <c r="I48" t="s">
        <v>32</v>
      </c>
    </row>
    <row r="49" spans="1:9" x14ac:dyDescent="0.25">
      <c r="A49" t="s">
        <v>122</v>
      </c>
      <c r="B49" t="s">
        <v>113</v>
      </c>
      <c r="C49" t="s">
        <v>114</v>
      </c>
      <c r="D49" s="2" t="b">
        <v>1</v>
      </c>
      <c r="E49" t="s">
        <v>88</v>
      </c>
      <c r="F49" t="s">
        <v>77</v>
      </c>
      <c r="G49" t="s">
        <v>31</v>
      </c>
      <c r="H49" t="s">
        <v>31</v>
      </c>
      <c r="I49" t="s">
        <v>32</v>
      </c>
    </row>
    <row r="50" spans="1:9" x14ac:dyDescent="0.25">
      <c r="A50" t="s">
        <v>123</v>
      </c>
      <c r="B50" t="s">
        <v>124</v>
      </c>
      <c r="C50" t="s">
        <v>125</v>
      </c>
      <c r="D50" s="3">
        <v>1.35</v>
      </c>
      <c r="E50" t="s">
        <v>30</v>
      </c>
      <c r="F50" t="s">
        <v>77</v>
      </c>
      <c r="G50">
        <v>0</v>
      </c>
      <c r="H50">
        <v>100</v>
      </c>
      <c r="I50" t="s">
        <v>126</v>
      </c>
    </row>
    <row r="51" spans="1:9" x14ac:dyDescent="0.25">
      <c r="A51" t="s">
        <v>127</v>
      </c>
      <c r="B51" t="s">
        <v>124</v>
      </c>
      <c r="C51" t="s">
        <v>125</v>
      </c>
      <c r="D51" s="2" t="s">
        <v>80</v>
      </c>
      <c r="E51" t="s">
        <v>81</v>
      </c>
      <c r="F51" t="s">
        <v>77</v>
      </c>
      <c r="G51" t="s">
        <v>31</v>
      </c>
      <c r="H51" t="s">
        <v>31</v>
      </c>
      <c r="I51" t="s">
        <v>32</v>
      </c>
    </row>
    <row r="52" spans="1:9" x14ac:dyDescent="0.25">
      <c r="A52" t="s">
        <v>128</v>
      </c>
      <c r="B52" t="s">
        <v>124</v>
      </c>
      <c r="C52" t="s">
        <v>125</v>
      </c>
      <c r="D52" s="2" t="s">
        <v>125</v>
      </c>
      <c r="E52" t="s">
        <v>81</v>
      </c>
      <c r="F52" t="s">
        <v>77</v>
      </c>
      <c r="G52" t="s">
        <v>31</v>
      </c>
      <c r="H52" t="s">
        <v>31</v>
      </c>
      <c r="I52" t="s">
        <v>32</v>
      </c>
    </row>
    <row r="53" spans="1:9" x14ac:dyDescent="0.25">
      <c r="A53" t="s">
        <v>129</v>
      </c>
      <c r="B53" t="s">
        <v>124</v>
      </c>
      <c r="C53" t="s">
        <v>125</v>
      </c>
      <c r="D53" s="2" t="s">
        <v>126</v>
      </c>
      <c r="E53" t="s">
        <v>81</v>
      </c>
      <c r="F53" t="s">
        <v>77</v>
      </c>
      <c r="G53" t="s">
        <v>31</v>
      </c>
      <c r="H53" t="s">
        <v>31</v>
      </c>
      <c r="I53" t="s">
        <v>32</v>
      </c>
    </row>
    <row r="54" spans="1:9" x14ac:dyDescent="0.25">
      <c r="A54" t="s">
        <v>130</v>
      </c>
      <c r="B54" t="s">
        <v>124</v>
      </c>
      <c r="C54" t="s">
        <v>125</v>
      </c>
      <c r="D54" s="2" t="s">
        <v>77</v>
      </c>
      <c r="E54" t="s">
        <v>81</v>
      </c>
      <c r="F54" t="s">
        <v>77</v>
      </c>
      <c r="G54" t="s">
        <v>31</v>
      </c>
      <c r="H54" t="s">
        <v>31</v>
      </c>
      <c r="I54" t="s">
        <v>32</v>
      </c>
    </row>
    <row r="55" spans="1:9" x14ac:dyDescent="0.25">
      <c r="A55" t="s">
        <v>131</v>
      </c>
      <c r="B55" t="s">
        <v>124</v>
      </c>
      <c r="C55" t="s">
        <v>125</v>
      </c>
      <c r="D55" s="2">
        <v>0</v>
      </c>
      <c r="E55" t="s">
        <v>30</v>
      </c>
      <c r="F55" t="s">
        <v>77</v>
      </c>
      <c r="G55">
        <v>0</v>
      </c>
      <c r="H55">
        <v>100</v>
      </c>
      <c r="I55" t="s">
        <v>32</v>
      </c>
    </row>
    <row r="56" spans="1:9" x14ac:dyDescent="0.25">
      <c r="A56" t="s">
        <v>132</v>
      </c>
      <c r="B56" t="s">
        <v>124</v>
      </c>
      <c r="C56" t="s">
        <v>125</v>
      </c>
      <c r="D56" s="2">
        <v>100</v>
      </c>
      <c r="E56" t="s">
        <v>30</v>
      </c>
      <c r="F56" t="s">
        <v>77</v>
      </c>
      <c r="G56">
        <v>0</v>
      </c>
      <c r="H56">
        <v>100</v>
      </c>
      <c r="I56" t="s">
        <v>32</v>
      </c>
    </row>
    <row r="57" spans="1:9" x14ac:dyDescent="0.25">
      <c r="A57" t="s">
        <v>133</v>
      </c>
      <c r="B57" t="s">
        <v>124</v>
      </c>
      <c r="C57" t="s">
        <v>125</v>
      </c>
      <c r="D57" s="2" t="b">
        <v>0</v>
      </c>
      <c r="E57" t="s">
        <v>88</v>
      </c>
      <c r="F57" t="s">
        <v>77</v>
      </c>
      <c r="G57" t="s">
        <v>31</v>
      </c>
      <c r="H57" t="s">
        <v>31</v>
      </c>
      <c r="I57" t="s">
        <v>32</v>
      </c>
    </row>
    <row r="58" spans="1:9" x14ac:dyDescent="0.25">
      <c r="A58" t="s">
        <v>134</v>
      </c>
      <c r="B58" t="s">
        <v>135</v>
      </c>
      <c r="C58" t="s">
        <v>136</v>
      </c>
      <c r="D58" s="3">
        <v>1.2</v>
      </c>
      <c r="E58" t="s">
        <v>30</v>
      </c>
      <c r="F58" t="s">
        <v>77</v>
      </c>
      <c r="G58">
        <v>0</v>
      </c>
      <c r="H58">
        <v>100</v>
      </c>
      <c r="I58" t="s">
        <v>137</v>
      </c>
    </row>
    <row r="59" spans="1:9" x14ac:dyDescent="0.25">
      <c r="A59" t="s">
        <v>138</v>
      </c>
      <c r="B59" t="s">
        <v>135</v>
      </c>
      <c r="C59" t="s">
        <v>136</v>
      </c>
      <c r="D59" s="2" t="s">
        <v>80</v>
      </c>
      <c r="E59" t="s">
        <v>81</v>
      </c>
      <c r="F59" t="s">
        <v>77</v>
      </c>
      <c r="G59" t="s">
        <v>31</v>
      </c>
      <c r="H59" t="s">
        <v>31</v>
      </c>
      <c r="I59" t="s">
        <v>32</v>
      </c>
    </row>
    <row r="60" spans="1:9" x14ac:dyDescent="0.25">
      <c r="A60" t="s">
        <v>139</v>
      </c>
      <c r="B60" t="s">
        <v>135</v>
      </c>
      <c r="C60" t="s">
        <v>136</v>
      </c>
      <c r="D60" s="2" t="s">
        <v>136</v>
      </c>
      <c r="E60" t="s">
        <v>81</v>
      </c>
      <c r="F60" t="s">
        <v>77</v>
      </c>
      <c r="G60" t="s">
        <v>31</v>
      </c>
      <c r="H60" t="s">
        <v>31</v>
      </c>
      <c r="I60" t="s">
        <v>32</v>
      </c>
    </row>
    <row r="61" spans="1:9" x14ac:dyDescent="0.25">
      <c r="A61" t="s">
        <v>140</v>
      </c>
      <c r="B61" t="s">
        <v>135</v>
      </c>
      <c r="C61" t="s">
        <v>136</v>
      </c>
      <c r="D61" s="2" t="s">
        <v>137</v>
      </c>
      <c r="E61" t="s">
        <v>81</v>
      </c>
      <c r="F61" t="s">
        <v>77</v>
      </c>
      <c r="G61" t="s">
        <v>31</v>
      </c>
      <c r="H61" t="s">
        <v>31</v>
      </c>
      <c r="I61" t="s">
        <v>32</v>
      </c>
    </row>
    <row r="62" spans="1:9" x14ac:dyDescent="0.25">
      <c r="A62" t="s">
        <v>141</v>
      </c>
      <c r="B62" t="s">
        <v>135</v>
      </c>
      <c r="C62" t="s">
        <v>136</v>
      </c>
      <c r="D62" s="2" t="s">
        <v>77</v>
      </c>
      <c r="E62" t="s">
        <v>81</v>
      </c>
      <c r="F62" t="s">
        <v>77</v>
      </c>
      <c r="G62" t="s">
        <v>31</v>
      </c>
      <c r="H62" t="s">
        <v>31</v>
      </c>
      <c r="I62" t="s">
        <v>32</v>
      </c>
    </row>
    <row r="63" spans="1:9" x14ac:dyDescent="0.25">
      <c r="A63" t="s">
        <v>142</v>
      </c>
      <c r="B63" t="s">
        <v>135</v>
      </c>
      <c r="C63" t="s">
        <v>136</v>
      </c>
      <c r="D63" s="2">
        <v>0</v>
      </c>
      <c r="E63" t="s">
        <v>30</v>
      </c>
      <c r="F63" t="s">
        <v>77</v>
      </c>
      <c r="G63">
        <v>0</v>
      </c>
      <c r="H63">
        <v>100</v>
      </c>
      <c r="I63" t="s">
        <v>32</v>
      </c>
    </row>
    <row r="64" spans="1:9" x14ac:dyDescent="0.25">
      <c r="A64" t="s">
        <v>143</v>
      </c>
      <c r="B64" t="s">
        <v>135</v>
      </c>
      <c r="C64" t="s">
        <v>136</v>
      </c>
      <c r="D64" s="2">
        <v>100</v>
      </c>
      <c r="E64" t="s">
        <v>30</v>
      </c>
      <c r="F64" t="s">
        <v>77</v>
      </c>
      <c r="G64">
        <v>0</v>
      </c>
      <c r="H64">
        <v>100</v>
      </c>
      <c r="I64" t="s">
        <v>32</v>
      </c>
    </row>
    <row r="65" spans="1:9" x14ac:dyDescent="0.25">
      <c r="A65" t="s">
        <v>144</v>
      </c>
      <c r="B65" t="s">
        <v>135</v>
      </c>
      <c r="C65" t="s">
        <v>136</v>
      </c>
      <c r="D65" s="2" t="b">
        <v>0</v>
      </c>
      <c r="E65" t="s">
        <v>88</v>
      </c>
      <c r="F65" t="s">
        <v>77</v>
      </c>
      <c r="G65" t="s">
        <v>31</v>
      </c>
      <c r="H65" t="s">
        <v>31</v>
      </c>
      <c r="I65" t="s">
        <v>32</v>
      </c>
    </row>
    <row r="66" spans="1:9" x14ac:dyDescent="0.25">
      <c r="A66" t="s">
        <v>145</v>
      </c>
      <c r="B66" t="s">
        <v>146</v>
      </c>
      <c r="C66" t="s">
        <v>147</v>
      </c>
      <c r="D66" s="3">
        <v>2</v>
      </c>
      <c r="E66" t="s">
        <v>30</v>
      </c>
      <c r="F66" t="s">
        <v>77</v>
      </c>
      <c r="G66">
        <v>1</v>
      </c>
      <c r="H66">
        <v>100</v>
      </c>
      <c r="I66" t="s">
        <v>148</v>
      </c>
    </row>
    <row r="67" spans="1:9" x14ac:dyDescent="0.25">
      <c r="A67" t="s">
        <v>149</v>
      </c>
      <c r="B67" t="s">
        <v>146</v>
      </c>
      <c r="C67" t="s">
        <v>147</v>
      </c>
      <c r="D67" s="2" t="s">
        <v>80</v>
      </c>
      <c r="E67" t="s">
        <v>81</v>
      </c>
      <c r="F67" t="s">
        <v>77</v>
      </c>
      <c r="G67" t="s">
        <v>31</v>
      </c>
      <c r="H67" t="s">
        <v>31</v>
      </c>
      <c r="I67" t="s">
        <v>32</v>
      </c>
    </row>
    <row r="68" spans="1:9" x14ac:dyDescent="0.25">
      <c r="A68" t="s">
        <v>150</v>
      </c>
      <c r="B68" t="s">
        <v>146</v>
      </c>
      <c r="C68" t="s">
        <v>147</v>
      </c>
      <c r="D68" s="2" t="s">
        <v>147</v>
      </c>
      <c r="E68" t="s">
        <v>81</v>
      </c>
      <c r="F68" t="s">
        <v>77</v>
      </c>
      <c r="G68" t="s">
        <v>31</v>
      </c>
      <c r="H68" t="s">
        <v>31</v>
      </c>
      <c r="I68" t="s">
        <v>32</v>
      </c>
    </row>
    <row r="69" spans="1:9" x14ac:dyDescent="0.25">
      <c r="A69" t="s">
        <v>151</v>
      </c>
      <c r="B69" t="s">
        <v>146</v>
      </c>
      <c r="C69" t="s">
        <v>147</v>
      </c>
      <c r="D69" s="2" t="s">
        <v>148</v>
      </c>
      <c r="E69" t="s">
        <v>81</v>
      </c>
      <c r="F69" t="s">
        <v>77</v>
      </c>
      <c r="G69" t="s">
        <v>31</v>
      </c>
      <c r="H69" t="s">
        <v>31</v>
      </c>
      <c r="I69" t="s">
        <v>32</v>
      </c>
    </row>
    <row r="70" spans="1:9" x14ac:dyDescent="0.25">
      <c r="A70" t="s">
        <v>152</v>
      </c>
      <c r="B70" t="s">
        <v>146</v>
      </c>
      <c r="C70" t="s">
        <v>147</v>
      </c>
      <c r="D70" s="2" t="s">
        <v>77</v>
      </c>
      <c r="E70" t="s">
        <v>81</v>
      </c>
      <c r="F70" t="s">
        <v>77</v>
      </c>
      <c r="G70" t="s">
        <v>31</v>
      </c>
      <c r="H70" t="s">
        <v>31</v>
      </c>
      <c r="I70" t="s">
        <v>32</v>
      </c>
    </row>
    <row r="71" spans="1:9" x14ac:dyDescent="0.25">
      <c r="A71" t="s">
        <v>153</v>
      </c>
      <c r="B71" t="s">
        <v>146</v>
      </c>
      <c r="C71" t="s">
        <v>147</v>
      </c>
      <c r="D71" s="2">
        <v>0</v>
      </c>
      <c r="E71" t="s">
        <v>30</v>
      </c>
      <c r="F71" t="s">
        <v>77</v>
      </c>
      <c r="G71">
        <v>1</v>
      </c>
      <c r="H71">
        <v>100</v>
      </c>
      <c r="I71" t="s">
        <v>32</v>
      </c>
    </row>
    <row r="72" spans="1:9" x14ac:dyDescent="0.25">
      <c r="A72" t="s">
        <v>154</v>
      </c>
      <c r="B72" t="s">
        <v>146</v>
      </c>
      <c r="C72" t="s">
        <v>147</v>
      </c>
      <c r="D72" s="2">
        <v>100</v>
      </c>
      <c r="E72" t="s">
        <v>30</v>
      </c>
      <c r="F72" t="s">
        <v>77</v>
      </c>
      <c r="G72">
        <v>1</v>
      </c>
      <c r="H72">
        <v>100</v>
      </c>
      <c r="I72" t="s">
        <v>32</v>
      </c>
    </row>
    <row r="73" spans="1:9" x14ac:dyDescent="0.25">
      <c r="A73" t="s">
        <v>155</v>
      </c>
      <c r="B73" t="s">
        <v>146</v>
      </c>
      <c r="C73" t="s">
        <v>147</v>
      </c>
      <c r="D73" s="2" t="b">
        <v>1</v>
      </c>
      <c r="E73" t="s">
        <v>88</v>
      </c>
      <c r="F73" t="s">
        <v>77</v>
      </c>
      <c r="G73" t="s">
        <v>31</v>
      </c>
      <c r="H73" t="s">
        <v>31</v>
      </c>
      <c r="I73" t="s">
        <v>32</v>
      </c>
    </row>
  </sheetData>
  <sheetProtection sheet="1" algorithmName="SHA-512" hashValue="SP9dcWm+zuMyrPZqZblFn+tYI7rBKqSmtzAZaXhcY6dSdkPM31xSq22mItcGyjipUyZEEhd7/Vg26CLpDihjOA==" saltValue="ffSDpU6Ozf523bUuWPLoqA==" spinCount="100000"/>
  <autoFilter ref="A1:I1"/>
  <dataValidations count="15">
    <dataValidation type="whole" showErrorMessage="1" errorStyle="stop" errorTitle="Invalid balance value" error="Use an integer between 1 and 1000." sqref="D10">
      <formula1>1</formula1>
      <formula2>1000</formula2>
    </dataValidation>
    <dataValidation type="decimal" showErrorMessage="1" errorStyle="stop" errorTitle="Invalid balance value" error="Use a number between 0.0001 and 1." sqref="D11:D12">
      <formula1>0.0001</formula1>
      <formula2>1</formula2>
    </dataValidation>
    <dataValidation type="whole" showErrorMessage="1" errorStyle="stop" errorTitle="Invalid balance value" error="Use an integer between 0 and 100000." sqref="D13:D16">
      <formula1>0</formula1>
      <formula2>100000</formula2>
    </dataValidation>
    <dataValidation type="whole" showErrorMessage="1" errorStyle="stop" errorTitle="Invalid balance value" error="Use an integer between 1 and 4." sqref="D17">
      <formula1>1</formula1>
      <formula2>4</formula2>
    </dataValidation>
    <dataValidation type="whole" showErrorMessage="1" errorStyle="stop" errorTitle="Invalid balance value" error="Use an integer between 1 and 100." sqref="D18">
      <formula1>1</formula1>
      <formula2>100</formula2>
    </dataValidation>
    <dataValidation type="whole" showErrorMessage="1" errorStyle="stop" errorTitle="Invalid balance value" error="Use an integer between 1 and 3." sqref="D2:D3">
      <formula1>1</formula1>
      <formula2>3</formula2>
    </dataValidation>
    <dataValidation type="whole" showErrorMessage="1" errorStyle="stop" errorTitle="Invalid balance value" error="Use an integer between 1 and 100." sqref="D26">
      <formula1>1</formula1>
      <formula2>100</formula2>
    </dataValidation>
    <dataValidation type="decimal" showErrorMessage="1" errorStyle="stop" errorTitle="Invalid balance value" error="Use a number between 0 and 1." sqref="D34">
      <formula1>0</formula1>
      <formula2>1</formula2>
    </dataValidation>
    <dataValidation type="whole" showErrorMessage="1" errorStyle="stop" errorTitle="Invalid balance value" error="Use an integer between 10 and 10." sqref="D4">
      <formula1>10</formula1>
      <formula2>10</formula2>
    </dataValidation>
    <dataValidation type="whole" showErrorMessage="1" errorStyle="stop" errorTitle="Invalid balance value" error="Use an integer between 1 and 100." sqref="D42">
      <formula1>1</formula1>
      <formula2>100</formula2>
    </dataValidation>
    <dataValidation type="whole" showErrorMessage="1" errorStyle="stop" errorTitle="Invalid balance value" error="Use an integer between 0 and 100000." sqref="D5">
      <formula1>0</formula1>
      <formula2>100000</formula2>
    </dataValidation>
    <dataValidation type="decimal" showErrorMessage="1" errorStyle="stop" errorTitle="Invalid balance value" error="Use a number between 0 and 100." sqref="D50">
      <formula1>0</formula1>
      <formula2>100</formula2>
    </dataValidation>
    <dataValidation type="decimal" showErrorMessage="1" errorStyle="stop" errorTitle="Invalid balance value" error="Use a number between 0 and 100." sqref="D58">
      <formula1>0</formula1>
      <formula2>100</formula2>
    </dataValidation>
    <dataValidation type="whole" showErrorMessage="1" errorStyle="stop" errorTitle="Invalid balance value" error="Use an integer between 1 and 1000." sqref="D6:D10">
      <formula1>1</formula1>
      <formula2>1000</formula2>
    </dataValidation>
    <dataValidation type="whole" showErrorMessage="1" errorStyle="stop" errorTitle="Invalid balance value" error="Use an integer between 1 and 100." sqref="D66">
      <formula1>1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156</v>
      </c>
      <c r="B2" t="s">
        <v>157</v>
      </c>
      <c r="C2" t="s">
        <v>158</v>
      </c>
      <c r="D2" s="2" t="s">
        <v>159</v>
      </c>
      <c r="E2" t="s">
        <v>81</v>
      </c>
      <c r="F2" t="s">
        <v>31</v>
      </c>
      <c r="G2" t="s">
        <v>31</v>
      </c>
      <c r="H2" t="s">
        <v>31</v>
      </c>
      <c r="I2" t="s">
        <v>32</v>
      </c>
    </row>
    <row r="3" spans="1:9" x14ac:dyDescent="0.25">
      <c r="A3" t="s">
        <v>160</v>
      </c>
      <c r="B3" t="s">
        <v>157</v>
      </c>
      <c r="C3" t="s">
        <v>12</v>
      </c>
      <c r="D3" s="2" t="s">
        <v>161</v>
      </c>
      <c r="E3" t="s">
        <v>81</v>
      </c>
      <c r="F3" t="s">
        <v>31</v>
      </c>
      <c r="G3" t="s">
        <v>31</v>
      </c>
      <c r="H3" t="s">
        <v>31</v>
      </c>
      <c r="I3" t="s">
        <v>32</v>
      </c>
    </row>
    <row r="4" spans="1:9" x14ac:dyDescent="0.25">
      <c r="A4" t="s">
        <v>162</v>
      </c>
      <c r="B4" t="s">
        <v>157</v>
      </c>
      <c r="C4" t="s">
        <v>163</v>
      </c>
      <c r="D4" s="2" t="s">
        <v>164</v>
      </c>
      <c r="E4" t="s">
        <v>81</v>
      </c>
      <c r="F4" t="s">
        <v>31</v>
      </c>
      <c r="G4" t="s">
        <v>31</v>
      </c>
      <c r="H4" t="s">
        <v>31</v>
      </c>
      <c r="I4" t="s">
        <v>32</v>
      </c>
    </row>
    <row r="5" spans="1:9" x14ac:dyDescent="0.25">
      <c r="A5" t="s">
        <v>165</v>
      </c>
      <c r="B5" t="s">
        <v>157</v>
      </c>
      <c r="C5" t="s">
        <v>166</v>
      </c>
      <c r="D5" s="2" t="s">
        <v>167</v>
      </c>
      <c r="E5" t="s">
        <v>81</v>
      </c>
      <c r="F5" t="s">
        <v>31</v>
      </c>
      <c r="G5" t="s">
        <v>31</v>
      </c>
      <c r="H5" t="s">
        <v>31</v>
      </c>
      <c r="I5" t="s">
        <v>32</v>
      </c>
    </row>
    <row r="6" spans="1:9" x14ac:dyDescent="0.25">
      <c r="A6" t="s">
        <v>168</v>
      </c>
      <c r="B6" t="s">
        <v>157</v>
      </c>
      <c r="C6" t="s">
        <v>169</v>
      </c>
      <c r="D6" s="2" t="s">
        <v>170</v>
      </c>
      <c r="E6" t="s">
        <v>81</v>
      </c>
      <c r="F6" t="s">
        <v>31</v>
      </c>
      <c r="G6" t="s">
        <v>31</v>
      </c>
      <c r="H6" t="s">
        <v>31</v>
      </c>
      <c r="I6" t="s">
        <v>32</v>
      </c>
    </row>
    <row r="7" spans="1:9" x14ac:dyDescent="0.25">
      <c r="A7" t="s">
        <v>171</v>
      </c>
      <c r="B7" t="s">
        <v>157</v>
      </c>
      <c r="C7" t="s">
        <v>172</v>
      </c>
      <c r="D7" s="2" t="s">
        <v>173</v>
      </c>
      <c r="E7" t="s">
        <v>81</v>
      </c>
      <c r="F7" t="s">
        <v>31</v>
      </c>
      <c r="G7" t="s">
        <v>31</v>
      </c>
      <c r="H7" t="s">
        <v>31</v>
      </c>
      <c r="I7" t="s">
        <v>32</v>
      </c>
    </row>
    <row r="8" spans="1:9" x14ac:dyDescent="0.25">
      <c r="A8" t="s">
        <v>174</v>
      </c>
      <c r="B8" t="s">
        <v>157</v>
      </c>
      <c r="C8" t="s">
        <v>175</v>
      </c>
      <c r="D8" s="2" t="s">
        <v>176</v>
      </c>
      <c r="E8" t="s">
        <v>81</v>
      </c>
      <c r="F8" t="s">
        <v>31</v>
      </c>
      <c r="G8" t="s">
        <v>31</v>
      </c>
      <c r="H8" t="s">
        <v>31</v>
      </c>
      <c r="I8" t="s">
        <v>32</v>
      </c>
    </row>
    <row r="9" spans="1:9" x14ac:dyDescent="0.25">
      <c r="A9" t="s">
        <v>177</v>
      </c>
      <c r="B9" t="s">
        <v>157</v>
      </c>
      <c r="C9" t="s">
        <v>178</v>
      </c>
      <c r="D9" s="2" t="s">
        <v>179</v>
      </c>
      <c r="E9" t="s">
        <v>81</v>
      </c>
      <c r="F9" t="s">
        <v>31</v>
      </c>
      <c r="G9" t="s">
        <v>31</v>
      </c>
      <c r="H9" t="s">
        <v>31</v>
      </c>
      <c r="I9" t="s">
        <v>32</v>
      </c>
    </row>
    <row r="10" spans="1:9" x14ac:dyDescent="0.25">
      <c r="A10" t="s">
        <v>180</v>
      </c>
      <c r="B10" t="s">
        <v>157</v>
      </c>
      <c r="C10" t="s">
        <v>181</v>
      </c>
      <c r="D10" s="2" t="s">
        <v>182</v>
      </c>
      <c r="E10" t="s">
        <v>81</v>
      </c>
      <c r="F10" t="s">
        <v>31</v>
      </c>
      <c r="G10" t="s">
        <v>31</v>
      </c>
      <c r="H10" t="s">
        <v>31</v>
      </c>
      <c r="I10" t="s">
        <v>32</v>
      </c>
    </row>
    <row r="11" spans="1:9" x14ac:dyDescent="0.25">
      <c r="A11" t="s">
        <v>183</v>
      </c>
      <c r="B11" t="s">
        <v>184</v>
      </c>
      <c r="C11" t="s">
        <v>159</v>
      </c>
      <c r="D11" s="2" t="s">
        <v>185</v>
      </c>
      <c r="E11" t="s">
        <v>81</v>
      </c>
      <c r="F11" t="s">
        <v>31</v>
      </c>
      <c r="G11" t="s">
        <v>31</v>
      </c>
      <c r="H11" t="s">
        <v>31</v>
      </c>
      <c r="I11" t="s">
        <v>32</v>
      </c>
    </row>
    <row r="12" spans="1:9" x14ac:dyDescent="0.25">
      <c r="A12" t="s">
        <v>186</v>
      </c>
      <c r="B12" t="s">
        <v>184</v>
      </c>
      <c r="C12" t="s">
        <v>161</v>
      </c>
      <c r="D12" s="2" t="s">
        <v>161</v>
      </c>
      <c r="E12" t="s">
        <v>81</v>
      </c>
      <c r="F12" t="s">
        <v>31</v>
      </c>
      <c r="G12" t="s">
        <v>31</v>
      </c>
      <c r="H12" t="s">
        <v>31</v>
      </c>
      <c r="I12" t="s">
        <v>32</v>
      </c>
    </row>
    <row r="13" spans="1:9" x14ac:dyDescent="0.25">
      <c r="A13" t="s">
        <v>187</v>
      </c>
      <c r="B13" t="s">
        <v>184</v>
      </c>
      <c r="C13" t="s">
        <v>164</v>
      </c>
      <c r="D13" s="2" t="s">
        <v>164</v>
      </c>
      <c r="E13" t="s">
        <v>81</v>
      </c>
      <c r="F13" t="s">
        <v>31</v>
      </c>
      <c r="G13" t="s">
        <v>31</v>
      </c>
      <c r="H13" t="s">
        <v>31</v>
      </c>
      <c r="I13" t="s">
        <v>32</v>
      </c>
    </row>
    <row r="14" spans="1:9" x14ac:dyDescent="0.25">
      <c r="A14" t="s">
        <v>188</v>
      </c>
      <c r="B14" t="s">
        <v>184</v>
      </c>
      <c r="C14" t="s">
        <v>167</v>
      </c>
      <c r="D14" s="2" t="s">
        <v>189</v>
      </c>
      <c r="E14" t="s">
        <v>81</v>
      </c>
      <c r="F14" t="s">
        <v>31</v>
      </c>
      <c r="G14" t="s">
        <v>31</v>
      </c>
      <c r="H14" t="s">
        <v>31</v>
      </c>
      <c r="I14" t="s">
        <v>32</v>
      </c>
    </row>
    <row r="15" spans="1:9" x14ac:dyDescent="0.25">
      <c r="A15" t="s">
        <v>190</v>
      </c>
      <c r="B15" t="s">
        <v>184</v>
      </c>
      <c r="C15" t="s">
        <v>179</v>
      </c>
      <c r="D15" s="2" t="s">
        <v>179</v>
      </c>
      <c r="E15" t="s">
        <v>81</v>
      </c>
      <c r="F15" t="s">
        <v>31</v>
      </c>
      <c r="G15" t="s">
        <v>31</v>
      </c>
      <c r="H15" t="s">
        <v>31</v>
      </c>
      <c r="I15" t="s">
        <v>32</v>
      </c>
    </row>
    <row r="16" spans="1:9" x14ac:dyDescent="0.25">
      <c r="A16" t="s">
        <v>191</v>
      </c>
      <c r="B16" t="s">
        <v>184</v>
      </c>
      <c r="C16" t="s">
        <v>192</v>
      </c>
      <c r="D16" s="2" t="s">
        <v>189</v>
      </c>
      <c r="E16" t="s">
        <v>81</v>
      </c>
      <c r="F16" t="s">
        <v>31</v>
      </c>
      <c r="G16" t="s">
        <v>31</v>
      </c>
      <c r="H16" t="s">
        <v>31</v>
      </c>
      <c r="I16" t="s">
        <v>32</v>
      </c>
    </row>
    <row r="17" spans="1:9" x14ac:dyDescent="0.25">
      <c r="A17" t="s">
        <v>193</v>
      </c>
      <c r="B17" t="s">
        <v>184</v>
      </c>
      <c r="C17" t="s">
        <v>194</v>
      </c>
      <c r="D17" s="2" t="s">
        <v>195</v>
      </c>
      <c r="E17" t="s">
        <v>81</v>
      </c>
      <c r="F17" t="s">
        <v>31</v>
      </c>
      <c r="G17" t="s">
        <v>31</v>
      </c>
      <c r="H17" t="s">
        <v>31</v>
      </c>
      <c r="I17" t="s">
        <v>32</v>
      </c>
    </row>
    <row r="18" spans="1:9" x14ac:dyDescent="0.25">
      <c r="A18" t="s">
        <v>196</v>
      </c>
      <c r="B18" t="s">
        <v>184</v>
      </c>
      <c r="C18" t="s">
        <v>170</v>
      </c>
      <c r="D18" s="2" t="s">
        <v>170</v>
      </c>
      <c r="E18" t="s">
        <v>81</v>
      </c>
      <c r="F18" t="s">
        <v>31</v>
      </c>
      <c r="G18" t="s">
        <v>31</v>
      </c>
      <c r="H18" t="s">
        <v>31</v>
      </c>
      <c r="I18" t="s">
        <v>32</v>
      </c>
    </row>
    <row r="19" spans="1:9" x14ac:dyDescent="0.25">
      <c r="A19" t="s">
        <v>197</v>
      </c>
      <c r="B19" t="s">
        <v>184</v>
      </c>
      <c r="C19" t="s">
        <v>173</v>
      </c>
      <c r="D19" s="2" t="s">
        <v>173</v>
      </c>
      <c r="E19" t="s">
        <v>81</v>
      </c>
      <c r="F19" t="s">
        <v>31</v>
      </c>
      <c r="G19" t="s">
        <v>31</v>
      </c>
      <c r="H19" t="s">
        <v>31</v>
      </c>
      <c r="I19" t="s">
        <v>32</v>
      </c>
    </row>
    <row r="20" spans="1:9" x14ac:dyDescent="0.25">
      <c r="A20" t="s">
        <v>198</v>
      </c>
      <c r="B20" t="s">
        <v>184</v>
      </c>
      <c r="C20" t="s">
        <v>176</v>
      </c>
      <c r="D20" s="2" t="s">
        <v>176</v>
      </c>
      <c r="E20" t="s">
        <v>81</v>
      </c>
      <c r="F20" t="s">
        <v>31</v>
      </c>
      <c r="G20" t="s">
        <v>31</v>
      </c>
      <c r="H20" t="s">
        <v>31</v>
      </c>
      <c r="I20" t="s">
        <v>32</v>
      </c>
    </row>
    <row r="21" spans="1:9" x14ac:dyDescent="0.25">
      <c r="A21" t="s">
        <v>199</v>
      </c>
      <c r="B21" t="s">
        <v>184</v>
      </c>
      <c r="C21" t="s">
        <v>182</v>
      </c>
      <c r="D21" s="2" t="s">
        <v>182</v>
      </c>
      <c r="E21" t="s">
        <v>81</v>
      </c>
      <c r="F21" t="s">
        <v>31</v>
      </c>
      <c r="G21" t="s">
        <v>31</v>
      </c>
      <c r="H21" t="s">
        <v>31</v>
      </c>
      <c r="I21" t="s">
        <v>32</v>
      </c>
    </row>
    <row r="22" spans="1:9" x14ac:dyDescent="0.25">
      <c r="A22" t="s">
        <v>200</v>
      </c>
      <c r="B22" t="s">
        <v>201</v>
      </c>
      <c r="C22" t="s">
        <v>164</v>
      </c>
      <c r="D22" s="3">
        <v>1</v>
      </c>
      <c r="E22" t="s">
        <v>30</v>
      </c>
      <c r="F22" t="s">
        <v>31</v>
      </c>
      <c r="G22">
        <v>0</v>
      </c>
      <c r="H22">
        <v>100000</v>
      </c>
      <c r="I22" t="s">
        <v>31</v>
      </c>
    </row>
    <row r="23" spans="1:9" x14ac:dyDescent="0.25">
      <c r="A23" t="s">
        <v>202</v>
      </c>
      <c r="B23" t="s">
        <v>201</v>
      </c>
      <c r="C23" t="s">
        <v>167</v>
      </c>
      <c r="D23" s="3">
        <v>1</v>
      </c>
      <c r="E23" t="s">
        <v>30</v>
      </c>
      <c r="F23" t="s">
        <v>31</v>
      </c>
      <c r="G23">
        <v>0</v>
      </c>
      <c r="H23">
        <v>100000</v>
      </c>
      <c r="I23" t="s">
        <v>31</v>
      </c>
    </row>
    <row r="24" spans="1:9" x14ac:dyDescent="0.25">
      <c r="A24" t="s">
        <v>203</v>
      </c>
      <c r="B24" t="s">
        <v>201</v>
      </c>
      <c r="C24" t="s">
        <v>170</v>
      </c>
      <c r="D24" s="3">
        <v>2</v>
      </c>
      <c r="E24" t="s">
        <v>30</v>
      </c>
      <c r="F24" t="s">
        <v>31</v>
      </c>
      <c r="G24">
        <v>0</v>
      </c>
      <c r="H24">
        <v>100000</v>
      </c>
      <c r="I24" t="s">
        <v>31</v>
      </c>
    </row>
    <row r="25" spans="1:9" x14ac:dyDescent="0.25">
      <c r="A25" t="s">
        <v>204</v>
      </c>
      <c r="B25" t="s">
        <v>201</v>
      </c>
      <c r="C25" t="s">
        <v>173</v>
      </c>
      <c r="D25" s="3">
        <v>1</v>
      </c>
      <c r="E25" t="s">
        <v>30</v>
      </c>
      <c r="F25" t="s">
        <v>31</v>
      </c>
      <c r="G25">
        <v>0</v>
      </c>
      <c r="H25">
        <v>100000</v>
      </c>
      <c r="I25" t="s">
        <v>31</v>
      </c>
    </row>
    <row r="26" spans="1:9" x14ac:dyDescent="0.25">
      <c r="A26" t="s">
        <v>205</v>
      </c>
      <c r="B26" t="s">
        <v>201</v>
      </c>
      <c r="C26" t="s">
        <v>176</v>
      </c>
      <c r="D26" s="3">
        <v>1</v>
      </c>
      <c r="E26" t="s">
        <v>30</v>
      </c>
      <c r="F26" t="s">
        <v>31</v>
      </c>
      <c r="G26">
        <v>0</v>
      </c>
      <c r="H26">
        <v>100000</v>
      </c>
      <c r="I26" t="s">
        <v>31</v>
      </c>
    </row>
    <row r="27" spans="1:9" x14ac:dyDescent="0.25">
      <c r="A27" t="s">
        <v>206</v>
      </c>
      <c r="B27" t="s">
        <v>201</v>
      </c>
      <c r="C27" t="s">
        <v>179</v>
      </c>
      <c r="D27" s="3">
        <v>0</v>
      </c>
      <c r="E27" t="s">
        <v>30</v>
      </c>
      <c r="F27" t="s">
        <v>31</v>
      </c>
      <c r="G27">
        <v>0</v>
      </c>
      <c r="H27">
        <v>100000</v>
      </c>
      <c r="I27" t="s">
        <v>31</v>
      </c>
    </row>
    <row r="28" spans="1:9" x14ac:dyDescent="0.25">
      <c r="A28" t="s">
        <v>207</v>
      </c>
      <c r="B28" t="s">
        <v>201</v>
      </c>
      <c r="C28" t="s">
        <v>182</v>
      </c>
      <c r="D28" s="3">
        <v>0</v>
      </c>
      <c r="E28" t="s">
        <v>30</v>
      </c>
      <c r="F28" t="s">
        <v>31</v>
      </c>
      <c r="G28">
        <v>0</v>
      </c>
      <c r="H28">
        <v>100000</v>
      </c>
      <c r="I28" t="s">
        <v>31</v>
      </c>
    </row>
    <row r="29" spans="1:9" x14ac:dyDescent="0.25">
      <c r="A29" t="s">
        <v>208</v>
      </c>
      <c r="B29" t="s">
        <v>209</v>
      </c>
      <c r="C29" t="s">
        <v>158</v>
      </c>
      <c r="D29" s="3">
        <v>0</v>
      </c>
      <c r="E29" t="s">
        <v>30</v>
      </c>
      <c r="F29" t="s">
        <v>31</v>
      </c>
      <c r="G29">
        <v>0</v>
      </c>
      <c r="H29">
        <v>100000</v>
      </c>
      <c r="I29" t="s">
        <v>31</v>
      </c>
    </row>
    <row r="30" spans="1:9" x14ac:dyDescent="0.25">
      <c r="A30" t="s">
        <v>210</v>
      </c>
      <c r="B30" t="s">
        <v>209</v>
      </c>
      <c r="C30" t="s">
        <v>12</v>
      </c>
      <c r="D30" s="3">
        <v>2</v>
      </c>
      <c r="E30" t="s">
        <v>30</v>
      </c>
      <c r="F30" t="s">
        <v>31</v>
      </c>
      <c r="G30">
        <v>0</v>
      </c>
      <c r="H30">
        <v>100000</v>
      </c>
      <c r="I30" t="s">
        <v>31</v>
      </c>
    </row>
    <row r="31" spans="1:9" x14ac:dyDescent="0.25">
      <c r="A31" t="s">
        <v>211</v>
      </c>
      <c r="B31" t="s">
        <v>209</v>
      </c>
      <c r="C31" t="s">
        <v>163</v>
      </c>
      <c r="D31" s="3">
        <v>4</v>
      </c>
      <c r="E31" t="s">
        <v>30</v>
      </c>
      <c r="F31" t="s">
        <v>31</v>
      </c>
      <c r="G31">
        <v>0</v>
      </c>
      <c r="H31">
        <v>100000</v>
      </c>
      <c r="I31" t="s">
        <v>31</v>
      </c>
    </row>
    <row r="32" spans="1:9" x14ac:dyDescent="0.25">
      <c r="A32" t="s">
        <v>212</v>
      </c>
      <c r="B32" t="s">
        <v>209</v>
      </c>
      <c r="C32" t="s">
        <v>166</v>
      </c>
      <c r="D32" s="3">
        <v>7</v>
      </c>
      <c r="E32" t="s">
        <v>30</v>
      </c>
      <c r="F32" t="s">
        <v>31</v>
      </c>
      <c r="G32">
        <v>0</v>
      </c>
      <c r="H32">
        <v>100000</v>
      </c>
      <c r="I32" t="s">
        <v>31</v>
      </c>
    </row>
    <row r="33" spans="1:9" x14ac:dyDescent="0.25">
      <c r="A33" t="s">
        <v>213</v>
      </c>
      <c r="B33" t="s">
        <v>209</v>
      </c>
      <c r="C33" t="s">
        <v>169</v>
      </c>
      <c r="D33" s="3">
        <v>11</v>
      </c>
      <c r="E33" t="s">
        <v>30</v>
      </c>
      <c r="F33" t="s">
        <v>31</v>
      </c>
      <c r="G33">
        <v>0</v>
      </c>
      <c r="H33">
        <v>100000</v>
      </c>
      <c r="I33" t="s">
        <v>31</v>
      </c>
    </row>
    <row r="34" spans="1:9" x14ac:dyDescent="0.25">
      <c r="A34" t="s">
        <v>214</v>
      </c>
      <c r="B34" t="s">
        <v>215</v>
      </c>
      <c r="C34" t="s">
        <v>12</v>
      </c>
      <c r="D34" s="3">
        <v>1</v>
      </c>
      <c r="E34" t="s">
        <v>30</v>
      </c>
      <c r="F34" t="s">
        <v>31</v>
      </c>
      <c r="G34">
        <v>0</v>
      </c>
      <c r="H34">
        <v>100000</v>
      </c>
      <c r="I34" t="s">
        <v>31</v>
      </c>
    </row>
    <row r="35" spans="1:9" x14ac:dyDescent="0.25">
      <c r="A35" t="s">
        <v>216</v>
      </c>
      <c r="B35" t="s">
        <v>215</v>
      </c>
      <c r="C35" t="s">
        <v>163</v>
      </c>
      <c r="D35" s="3">
        <v>4</v>
      </c>
      <c r="E35" t="s">
        <v>30</v>
      </c>
      <c r="F35" t="s">
        <v>31</v>
      </c>
      <c r="G35">
        <v>0</v>
      </c>
      <c r="H35">
        <v>100000</v>
      </c>
      <c r="I35" t="s">
        <v>31</v>
      </c>
    </row>
    <row r="36" spans="1:9" x14ac:dyDescent="0.25">
      <c r="A36" t="s">
        <v>217</v>
      </c>
      <c r="B36" t="s">
        <v>215</v>
      </c>
      <c r="C36" t="s">
        <v>166</v>
      </c>
      <c r="D36" s="3">
        <v>9</v>
      </c>
      <c r="E36" t="s">
        <v>30</v>
      </c>
      <c r="F36" t="s">
        <v>31</v>
      </c>
      <c r="G36">
        <v>0</v>
      </c>
      <c r="H36">
        <v>100000</v>
      </c>
      <c r="I36" t="s">
        <v>31</v>
      </c>
    </row>
    <row r="37" spans="1:9" x14ac:dyDescent="0.25">
      <c r="A37" t="s">
        <v>218</v>
      </c>
      <c r="B37" t="s">
        <v>215</v>
      </c>
      <c r="C37" t="s">
        <v>169</v>
      </c>
      <c r="D37" s="3">
        <v>16</v>
      </c>
      <c r="E37" t="s">
        <v>30</v>
      </c>
      <c r="F37" t="s">
        <v>31</v>
      </c>
      <c r="G37">
        <v>0</v>
      </c>
      <c r="H37">
        <v>100000</v>
      </c>
      <c r="I37" t="s">
        <v>31</v>
      </c>
    </row>
    <row r="38" spans="1:9" x14ac:dyDescent="0.25">
      <c r="A38" t="s">
        <v>219</v>
      </c>
      <c r="B38" t="s">
        <v>220</v>
      </c>
      <c r="C38" t="s">
        <v>158</v>
      </c>
      <c r="D38" s="3">
        <v>2</v>
      </c>
      <c r="E38" t="s">
        <v>30</v>
      </c>
      <c r="F38" t="s">
        <v>31</v>
      </c>
      <c r="G38">
        <v>0</v>
      </c>
      <c r="H38">
        <v>100000</v>
      </c>
      <c r="I38" t="s">
        <v>31</v>
      </c>
    </row>
    <row r="39" spans="1:9" x14ac:dyDescent="0.25">
      <c r="A39" t="s">
        <v>221</v>
      </c>
      <c r="B39" t="s">
        <v>220</v>
      </c>
      <c r="C39" t="s">
        <v>12</v>
      </c>
      <c r="D39" s="3">
        <v>2.5</v>
      </c>
      <c r="E39" t="s">
        <v>30</v>
      </c>
      <c r="F39" t="s">
        <v>31</v>
      </c>
      <c r="G39">
        <v>0</v>
      </c>
      <c r="H39">
        <v>100000</v>
      </c>
      <c r="I39" t="s">
        <v>31</v>
      </c>
    </row>
    <row r="40" spans="1:9" x14ac:dyDescent="0.25">
      <c r="A40" t="s">
        <v>222</v>
      </c>
      <c r="B40" t="s">
        <v>220</v>
      </c>
      <c r="C40" t="s">
        <v>163</v>
      </c>
      <c r="D40" s="3">
        <v>3</v>
      </c>
      <c r="E40" t="s">
        <v>30</v>
      </c>
      <c r="F40" t="s">
        <v>31</v>
      </c>
      <c r="G40">
        <v>0</v>
      </c>
      <c r="H40">
        <v>100000</v>
      </c>
      <c r="I40" t="s">
        <v>31</v>
      </c>
    </row>
    <row r="41" spans="1:9" x14ac:dyDescent="0.25">
      <c r="A41" t="s">
        <v>223</v>
      </c>
      <c r="B41" t="s">
        <v>220</v>
      </c>
      <c r="C41" t="s">
        <v>166</v>
      </c>
      <c r="D41" s="3">
        <v>4</v>
      </c>
      <c r="E41" t="s">
        <v>30</v>
      </c>
      <c r="F41" t="s">
        <v>31</v>
      </c>
      <c r="G41">
        <v>0</v>
      </c>
      <c r="H41">
        <v>100000</v>
      </c>
      <c r="I41" t="s">
        <v>31</v>
      </c>
    </row>
  </sheetData>
  <sheetProtection sheet="1" algorithmName="SHA-512" hashValue="9kGqpsHwO0d1e7/ahP1GWM8UMcVOE6DqiQ7DdXIHw4+JRddiFbHhgUL9/a0WpOxu4gRXJcqYB7+Y09aImJ4MyQ==" saltValue="flNMAXAJMMjsCSiNEgRedA==" spinCount="100000"/>
  <autoFilter ref="A1:I1"/>
  <dataValidations count="3">
    <dataValidation type="whole" showErrorMessage="1" errorStyle="stop" errorTitle="Invalid balance value" error="Use an integer between 0 and 100000." sqref="D22:D38">
      <formula1>0</formula1>
      <formula2>100000</formula2>
    </dataValidation>
    <dataValidation type="decimal" showErrorMessage="1" errorStyle="stop" errorTitle="Invalid balance value" error="Use a number between 0 and 100000." sqref="D39">
      <formula1>0</formula1>
      <formula2>100000</formula2>
    </dataValidation>
    <dataValidation type="whole" showErrorMessage="1" errorStyle="stop" errorTitle="Invalid balance value" error="Use an integer between 0 and 100000." sqref="D40:D41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224</v>
      </c>
      <c r="B2" t="s">
        <v>225</v>
      </c>
      <c r="C2" t="s">
        <v>226</v>
      </c>
      <c r="D2" s="2" t="s">
        <v>225</v>
      </c>
      <c r="E2" t="s">
        <v>81</v>
      </c>
      <c r="F2" t="s">
        <v>31</v>
      </c>
      <c r="G2" t="s">
        <v>31</v>
      </c>
      <c r="H2" t="s">
        <v>31</v>
      </c>
      <c r="I2" t="s">
        <v>32</v>
      </c>
    </row>
    <row r="3" spans="1:9" x14ac:dyDescent="0.25">
      <c r="A3" t="s">
        <v>227</v>
      </c>
      <c r="B3" t="s">
        <v>225</v>
      </c>
      <c r="C3" t="s">
        <v>228</v>
      </c>
      <c r="D3" s="3" t="s">
        <v>229</v>
      </c>
      <c r="E3" t="s">
        <v>81</v>
      </c>
      <c r="F3" t="s">
        <v>31</v>
      </c>
      <c r="G3" t="s">
        <v>31</v>
      </c>
      <c r="H3" t="s">
        <v>31</v>
      </c>
      <c r="I3" t="s">
        <v>31</v>
      </c>
    </row>
    <row r="4" spans="1:9" x14ac:dyDescent="0.25">
      <c r="A4" t="s">
        <v>230</v>
      </c>
      <c r="B4" t="s">
        <v>225</v>
      </c>
      <c r="C4" t="s">
        <v>231</v>
      </c>
      <c r="D4" s="3">
        <v>44</v>
      </c>
      <c r="E4" t="s">
        <v>30</v>
      </c>
      <c r="F4" t="s">
        <v>232</v>
      </c>
      <c r="G4">
        <v>1</v>
      </c>
      <c r="H4">
        <v>100000</v>
      </c>
      <c r="I4" t="s">
        <v>31</v>
      </c>
    </row>
    <row r="5" spans="1:9" x14ac:dyDescent="0.25">
      <c r="A5" t="s">
        <v>233</v>
      </c>
      <c r="B5" t="s">
        <v>225</v>
      </c>
      <c r="C5" t="s">
        <v>234</v>
      </c>
      <c r="D5" s="2" t="s">
        <v>159</v>
      </c>
      <c r="E5" t="s">
        <v>81</v>
      </c>
      <c r="F5" t="s">
        <v>31</v>
      </c>
      <c r="G5" t="s">
        <v>31</v>
      </c>
      <c r="H5" t="s">
        <v>31</v>
      </c>
      <c r="I5" t="s">
        <v>32</v>
      </c>
    </row>
    <row r="6" spans="1:9" x14ac:dyDescent="0.25">
      <c r="A6" t="s">
        <v>235</v>
      </c>
      <c r="B6" t="s">
        <v>225</v>
      </c>
      <c r="C6" t="s">
        <v>236</v>
      </c>
      <c r="D6" s="2">
        <v>1</v>
      </c>
      <c r="E6" t="s">
        <v>30</v>
      </c>
      <c r="F6" t="s">
        <v>237</v>
      </c>
      <c r="G6">
        <v>1</v>
      </c>
      <c r="H6">
        <v>4</v>
      </c>
      <c r="I6" t="s">
        <v>32</v>
      </c>
    </row>
    <row r="7" spans="1:9" x14ac:dyDescent="0.25">
      <c r="A7" t="s">
        <v>238</v>
      </c>
      <c r="B7" t="s">
        <v>225</v>
      </c>
      <c r="C7" t="s">
        <v>239</v>
      </c>
      <c r="D7" s="2" t="s">
        <v>173</v>
      </c>
      <c r="E7" t="s">
        <v>81</v>
      </c>
      <c r="F7" t="s">
        <v>31</v>
      </c>
      <c r="G7" t="s">
        <v>31</v>
      </c>
      <c r="H7" t="s">
        <v>31</v>
      </c>
      <c r="I7" t="s">
        <v>32</v>
      </c>
    </row>
    <row r="8" spans="1:9" x14ac:dyDescent="0.25">
      <c r="A8" t="s">
        <v>240</v>
      </c>
      <c r="B8" t="s">
        <v>225</v>
      </c>
      <c r="C8" t="s">
        <v>241</v>
      </c>
      <c r="D8" s="2">
        <v>1</v>
      </c>
      <c r="E8" t="s">
        <v>30</v>
      </c>
      <c r="F8" t="s">
        <v>237</v>
      </c>
      <c r="G8">
        <v>1</v>
      </c>
      <c r="H8">
        <v>4</v>
      </c>
      <c r="I8" t="s">
        <v>32</v>
      </c>
    </row>
    <row r="9" spans="1:9" x14ac:dyDescent="0.25">
      <c r="A9" t="s">
        <v>242</v>
      </c>
      <c r="B9" t="s">
        <v>225</v>
      </c>
      <c r="C9" t="s">
        <v>243</v>
      </c>
      <c r="D9" s="2" t="s">
        <v>182</v>
      </c>
      <c r="E9" t="s">
        <v>81</v>
      </c>
      <c r="F9" t="s">
        <v>31</v>
      </c>
      <c r="G9" t="s">
        <v>31</v>
      </c>
      <c r="H9" t="s">
        <v>31</v>
      </c>
      <c r="I9" t="s">
        <v>32</v>
      </c>
    </row>
    <row r="10" spans="1:9" x14ac:dyDescent="0.25">
      <c r="A10" t="s">
        <v>244</v>
      </c>
      <c r="B10" t="s">
        <v>225</v>
      </c>
      <c r="C10" t="s">
        <v>245</v>
      </c>
      <c r="D10" s="2">
        <v>1</v>
      </c>
      <c r="E10" t="s">
        <v>30</v>
      </c>
      <c r="F10" t="s">
        <v>237</v>
      </c>
      <c r="G10">
        <v>1</v>
      </c>
      <c r="H10">
        <v>4</v>
      </c>
      <c r="I10" t="s">
        <v>32</v>
      </c>
    </row>
    <row r="11" spans="1:9" x14ac:dyDescent="0.25">
      <c r="A11" t="s">
        <v>246</v>
      </c>
      <c r="B11" t="s">
        <v>247</v>
      </c>
      <c r="C11" t="s">
        <v>226</v>
      </c>
      <c r="D11" s="2" t="s">
        <v>247</v>
      </c>
      <c r="E11" t="s">
        <v>81</v>
      </c>
      <c r="F11" t="s">
        <v>31</v>
      </c>
      <c r="G11" t="s">
        <v>31</v>
      </c>
      <c r="H11" t="s">
        <v>31</v>
      </c>
      <c r="I11" t="s">
        <v>32</v>
      </c>
    </row>
    <row r="12" spans="1:9" x14ac:dyDescent="0.25">
      <c r="A12" t="s">
        <v>248</v>
      </c>
      <c r="B12" t="s">
        <v>247</v>
      </c>
      <c r="C12" t="s">
        <v>228</v>
      </c>
      <c r="D12" s="3" t="s">
        <v>249</v>
      </c>
      <c r="E12" t="s">
        <v>81</v>
      </c>
      <c r="F12" t="s">
        <v>31</v>
      </c>
      <c r="G12" t="s">
        <v>31</v>
      </c>
      <c r="H12" t="s">
        <v>31</v>
      </c>
      <c r="I12" t="s">
        <v>31</v>
      </c>
    </row>
    <row r="13" spans="1:9" x14ac:dyDescent="0.25">
      <c r="A13" t="s">
        <v>250</v>
      </c>
      <c r="B13" t="s">
        <v>247</v>
      </c>
      <c r="C13" t="s">
        <v>231</v>
      </c>
      <c r="D13" s="3">
        <v>32</v>
      </c>
      <c r="E13" t="s">
        <v>30</v>
      </c>
      <c r="F13" t="s">
        <v>232</v>
      </c>
      <c r="G13">
        <v>1</v>
      </c>
      <c r="H13">
        <v>100000</v>
      </c>
      <c r="I13" t="s">
        <v>31</v>
      </c>
    </row>
    <row r="14" spans="1:9" x14ac:dyDescent="0.25">
      <c r="A14" t="s">
        <v>251</v>
      </c>
      <c r="B14" t="s">
        <v>247</v>
      </c>
      <c r="C14" t="s">
        <v>234</v>
      </c>
      <c r="D14" s="2" t="s">
        <v>170</v>
      </c>
      <c r="E14" t="s">
        <v>81</v>
      </c>
      <c r="F14" t="s">
        <v>31</v>
      </c>
      <c r="G14" t="s">
        <v>31</v>
      </c>
      <c r="H14" t="s">
        <v>31</v>
      </c>
      <c r="I14" t="s">
        <v>32</v>
      </c>
    </row>
    <row r="15" spans="1:9" x14ac:dyDescent="0.25">
      <c r="A15" t="s">
        <v>252</v>
      </c>
      <c r="B15" t="s">
        <v>247</v>
      </c>
      <c r="C15" t="s">
        <v>236</v>
      </c>
      <c r="D15" s="2">
        <v>1</v>
      </c>
      <c r="E15" t="s">
        <v>30</v>
      </c>
      <c r="F15" t="s">
        <v>237</v>
      </c>
      <c r="G15">
        <v>1</v>
      </c>
      <c r="H15">
        <v>4</v>
      </c>
      <c r="I15" t="s">
        <v>32</v>
      </c>
    </row>
    <row r="16" spans="1:9" x14ac:dyDescent="0.25">
      <c r="A16" t="s">
        <v>253</v>
      </c>
      <c r="B16" t="s">
        <v>247</v>
      </c>
      <c r="C16" t="s">
        <v>239</v>
      </c>
      <c r="D16" s="2" t="s">
        <v>170</v>
      </c>
      <c r="E16" t="s">
        <v>81</v>
      </c>
      <c r="F16" t="s">
        <v>31</v>
      </c>
      <c r="G16" t="s">
        <v>31</v>
      </c>
      <c r="H16" t="s">
        <v>31</v>
      </c>
      <c r="I16" t="s">
        <v>32</v>
      </c>
    </row>
    <row r="17" spans="1:9" x14ac:dyDescent="0.25">
      <c r="A17" t="s">
        <v>254</v>
      </c>
      <c r="B17" t="s">
        <v>247</v>
      </c>
      <c r="C17" t="s">
        <v>241</v>
      </c>
      <c r="D17" s="2">
        <v>2</v>
      </c>
      <c r="E17" t="s">
        <v>30</v>
      </c>
      <c r="F17" t="s">
        <v>237</v>
      </c>
      <c r="G17">
        <v>1</v>
      </c>
      <c r="H17">
        <v>4</v>
      </c>
      <c r="I17" t="s">
        <v>32</v>
      </c>
    </row>
    <row r="18" spans="1:9" x14ac:dyDescent="0.25">
      <c r="A18" t="s">
        <v>255</v>
      </c>
      <c r="B18" t="s">
        <v>247</v>
      </c>
      <c r="C18" t="s">
        <v>243</v>
      </c>
      <c r="D18" s="2" t="s">
        <v>182</v>
      </c>
      <c r="E18" t="s">
        <v>81</v>
      </c>
      <c r="F18" t="s">
        <v>31</v>
      </c>
      <c r="G18" t="s">
        <v>31</v>
      </c>
      <c r="H18" t="s">
        <v>31</v>
      </c>
      <c r="I18" t="s">
        <v>32</v>
      </c>
    </row>
    <row r="19" spans="1:9" x14ac:dyDescent="0.25">
      <c r="A19" t="s">
        <v>256</v>
      </c>
      <c r="B19" t="s">
        <v>247</v>
      </c>
      <c r="C19" t="s">
        <v>245</v>
      </c>
      <c r="D19" s="2">
        <v>1</v>
      </c>
      <c r="E19" t="s">
        <v>30</v>
      </c>
      <c r="F19" t="s">
        <v>237</v>
      </c>
      <c r="G19">
        <v>1</v>
      </c>
      <c r="H19">
        <v>4</v>
      </c>
      <c r="I19" t="s">
        <v>32</v>
      </c>
    </row>
    <row r="20" spans="1:9" x14ac:dyDescent="0.25">
      <c r="A20" t="s">
        <v>257</v>
      </c>
      <c r="B20" t="s">
        <v>258</v>
      </c>
      <c r="C20" t="s">
        <v>226</v>
      </c>
      <c r="D20" s="2" t="s">
        <v>258</v>
      </c>
      <c r="E20" t="s">
        <v>81</v>
      </c>
      <c r="F20" t="s">
        <v>31</v>
      </c>
      <c r="G20" t="s">
        <v>31</v>
      </c>
      <c r="H20" t="s">
        <v>31</v>
      </c>
      <c r="I20" t="s">
        <v>32</v>
      </c>
    </row>
    <row r="21" spans="1:9" x14ac:dyDescent="0.25">
      <c r="A21" t="s">
        <v>259</v>
      </c>
      <c r="B21" t="s">
        <v>258</v>
      </c>
      <c r="C21" t="s">
        <v>228</v>
      </c>
      <c r="D21" s="3" t="s">
        <v>260</v>
      </c>
      <c r="E21" t="s">
        <v>81</v>
      </c>
      <c r="F21" t="s">
        <v>31</v>
      </c>
      <c r="G21" t="s">
        <v>31</v>
      </c>
      <c r="H21" t="s">
        <v>31</v>
      </c>
      <c r="I21" t="s">
        <v>31</v>
      </c>
    </row>
    <row r="22" spans="1:9" x14ac:dyDescent="0.25">
      <c r="A22" t="s">
        <v>261</v>
      </c>
      <c r="B22" t="s">
        <v>258</v>
      </c>
      <c r="C22" t="s">
        <v>231</v>
      </c>
      <c r="D22" s="3">
        <v>26</v>
      </c>
      <c r="E22" t="s">
        <v>30</v>
      </c>
      <c r="F22" t="s">
        <v>232</v>
      </c>
      <c r="G22">
        <v>1</v>
      </c>
      <c r="H22">
        <v>100000</v>
      </c>
      <c r="I22" t="s">
        <v>31</v>
      </c>
    </row>
    <row r="23" spans="1:9" x14ac:dyDescent="0.25">
      <c r="A23" t="s">
        <v>262</v>
      </c>
      <c r="B23" t="s">
        <v>258</v>
      </c>
      <c r="C23" t="s">
        <v>234</v>
      </c>
      <c r="D23" s="2" t="s">
        <v>159</v>
      </c>
      <c r="E23" t="s">
        <v>81</v>
      </c>
      <c r="F23" t="s">
        <v>31</v>
      </c>
      <c r="G23" t="s">
        <v>31</v>
      </c>
      <c r="H23" t="s">
        <v>31</v>
      </c>
      <c r="I23" t="s">
        <v>32</v>
      </c>
    </row>
    <row r="24" spans="1:9" x14ac:dyDescent="0.25">
      <c r="A24" t="s">
        <v>263</v>
      </c>
      <c r="B24" t="s">
        <v>258</v>
      </c>
      <c r="C24" t="s">
        <v>236</v>
      </c>
      <c r="D24" s="2">
        <v>1</v>
      </c>
      <c r="E24" t="s">
        <v>30</v>
      </c>
      <c r="F24" t="s">
        <v>237</v>
      </c>
      <c r="G24">
        <v>1</v>
      </c>
      <c r="H24">
        <v>4</v>
      </c>
      <c r="I24" t="s">
        <v>32</v>
      </c>
    </row>
    <row r="25" spans="1:9" x14ac:dyDescent="0.25">
      <c r="A25" t="s">
        <v>264</v>
      </c>
      <c r="B25" t="s">
        <v>258</v>
      </c>
      <c r="C25" t="s">
        <v>239</v>
      </c>
      <c r="D25" s="2" t="s">
        <v>159</v>
      </c>
      <c r="E25" t="s">
        <v>81</v>
      </c>
      <c r="F25" t="s">
        <v>31</v>
      </c>
      <c r="G25" t="s">
        <v>31</v>
      </c>
      <c r="H25" t="s">
        <v>31</v>
      </c>
      <c r="I25" t="s">
        <v>32</v>
      </c>
    </row>
    <row r="26" spans="1:9" x14ac:dyDescent="0.25">
      <c r="A26" t="s">
        <v>265</v>
      </c>
      <c r="B26" t="s">
        <v>258</v>
      </c>
      <c r="C26" t="s">
        <v>241</v>
      </c>
      <c r="D26" s="2">
        <v>3</v>
      </c>
      <c r="E26" t="s">
        <v>30</v>
      </c>
      <c r="F26" t="s">
        <v>237</v>
      </c>
      <c r="G26">
        <v>1</v>
      </c>
      <c r="H26">
        <v>4</v>
      </c>
      <c r="I26" t="s">
        <v>32</v>
      </c>
    </row>
    <row r="27" spans="1:9" x14ac:dyDescent="0.25">
      <c r="A27" t="s">
        <v>266</v>
      </c>
      <c r="B27" t="s">
        <v>258</v>
      </c>
      <c r="C27" t="s">
        <v>243</v>
      </c>
      <c r="D27" s="2" t="s">
        <v>182</v>
      </c>
      <c r="E27" t="s">
        <v>81</v>
      </c>
      <c r="F27" t="s">
        <v>31</v>
      </c>
      <c r="G27" t="s">
        <v>31</v>
      </c>
      <c r="H27" t="s">
        <v>31</v>
      </c>
      <c r="I27" t="s">
        <v>32</v>
      </c>
    </row>
    <row r="28" spans="1:9" x14ac:dyDescent="0.25">
      <c r="A28" t="s">
        <v>267</v>
      </c>
      <c r="B28" t="s">
        <v>258</v>
      </c>
      <c r="C28" t="s">
        <v>245</v>
      </c>
      <c r="D28" s="2">
        <v>1</v>
      </c>
      <c r="E28" t="s">
        <v>30</v>
      </c>
      <c r="F28" t="s">
        <v>237</v>
      </c>
      <c r="G28">
        <v>1</v>
      </c>
      <c r="H28">
        <v>4</v>
      </c>
      <c r="I28" t="s">
        <v>32</v>
      </c>
    </row>
    <row r="29" spans="1:9" x14ac:dyDescent="0.25">
      <c r="A29" t="s">
        <v>268</v>
      </c>
      <c r="B29" t="s">
        <v>269</v>
      </c>
      <c r="C29" t="s">
        <v>226</v>
      </c>
      <c r="D29" s="2" t="s">
        <v>269</v>
      </c>
      <c r="E29" t="s">
        <v>81</v>
      </c>
      <c r="F29" t="s">
        <v>31</v>
      </c>
      <c r="G29" t="s">
        <v>31</v>
      </c>
      <c r="H29" t="s">
        <v>31</v>
      </c>
      <c r="I29" t="s">
        <v>32</v>
      </c>
    </row>
    <row r="30" spans="1:9" x14ac:dyDescent="0.25">
      <c r="A30" t="s">
        <v>270</v>
      </c>
      <c r="B30" t="s">
        <v>269</v>
      </c>
      <c r="C30" t="s">
        <v>228</v>
      </c>
      <c r="D30" s="3" t="s">
        <v>271</v>
      </c>
      <c r="E30" t="s">
        <v>81</v>
      </c>
      <c r="F30" t="s">
        <v>31</v>
      </c>
      <c r="G30" t="s">
        <v>31</v>
      </c>
      <c r="H30" t="s">
        <v>31</v>
      </c>
      <c r="I30" t="s">
        <v>31</v>
      </c>
    </row>
    <row r="31" spans="1:9" x14ac:dyDescent="0.25">
      <c r="A31" t="s">
        <v>272</v>
      </c>
      <c r="B31" t="s">
        <v>269</v>
      </c>
      <c r="C31" t="s">
        <v>231</v>
      </c>
      <c r="D31" s="3">
        <v>28</v>
      </c>
      <c r="E31" t="s">
        <v>30</v>
      </c>
      <c r="F31" t="s">
        <v>232</v>
      </c>
      <c r="G31">
        <v>1</v>
      </c>
      <c r="H31">
        <v>100000</v>
      </c>
      <c r="I31" t="s">
        <v>31</v>
      </c>
    </row>
    <row r="32" spans="1:9" x14ac:dyDescent="0.25">
      <c r="A32" t="s">
        <v>273</v>
      </c>
      <c r="B32" t="s">
        <v>269</v>
      </c>
      <c r="C32" t="s">
        <v>234</v>
      </c>
      <c r="D32" s="2" t="s">
        <v>161</v>
      </c>
      <c r="E32" t="s">
        <v>81</v>
      </c>
      <c r="F32" t="s">
        <v>31</v>
      </c>
      <c r="G32" t="s">
        <v>31</v>
      </c>
      <c r="H32" t="s">
        <v>31</v>
      </c>
      <c r="I32" t="s">
        <v>32</v>
      </c>
    </row>
    <row r="33" spans="1:9" x14ac:dyDescent="0.25">
      <c r="A33" t="s">
        <v>274</v>
      </c>
      <c r="B33" t="s">
        <v>269</v>
      </c>
      <c r="C33" t="s">
        <v>236</v>
      </c>
      <c r="D33" s="2">
        <v>1</v>
      </c>
      <c r="E33" t="s">
        <v>30</v>
      </c>
      <c r="F33" t="s">
        <v>237</v>
      </c>
      <c r="G33">
        <v>1</v>
      </c>
      <c r="H33">
        <v>4</v>
      </c>
      <c r="I33" t="s">
        <v>32</v>
      </c>
    </row>
    <row r="34" spans="1:9" x14ac:dyDescent="0.25">
      <c r="A34" t="s">
        <v>275</v>
      </c>
      <c r="B34" t="s">
        <v>269</v>
      </c>
      <c r="C34" t="s">
        <v>239</v>
      </c>
      <c r="D34" s="2" t="s">
        <v>167</v>
      </c>
      <c r="E34" t="s">
        <v>81</v>
      </c>
      <c r="F34" t="s">
        <v>31</v>
      </c>
      <c r="G34" t="s">
        <v>31</v>
      </c>
      <c r="H34" t="s">
        <v>31</v>
      </c>
      <c r="I34" t="s">
        <v>32</v>
      </c>
    </row>
    <row r="35" spans="1:9" x14ac:dyDescent="0.25">
      <c r="A35" t="s">
        <v>276</v>
      </c>
      <c r="B35" t="s">
        <v>269</v>
      </c>
      <c r="C35" t="s">
        <v>241</v>
      </c>
      <c r="D35" s="2">
        <v>1</v>
      </c>
      <c r="E35" t="s">
        <v>30</v>
      </c>
      <c r="F35" t="s">
        <v>237</v>
      </c>
      <c r="G35">
        <v>1</v>
      </c>
      <c r="H35">
        <v>4</v>
      </c>
      <c r="I35" t="s">
        <v>32</v>
      </c>
    </row>
    <row r="36" spans="1:9" x14ac:dyDescent="0.25">
      <c r="A36" t="s">
        <v>277</v>
      </c>
      <c r="B36" t="s">
        <v>269</v>
      </c>
      <c r="C36" t="s">
        <v>243</v>
      </c>
      <c r="D36" s="2" t="s">
        <v>182</v>
      </c>
      <c r="E36" t="s">
        <v>81</v>
      </c>
      <c r="F36" t="s">
        <v>31</v>
      </c>
      <c r="G36" t="s">
        <v>31</v>
      </c>
      <c r="H36" t="s">
        <v>31</v>
      </c>
      <c r="I36" t="s">
        <v>32</v>
      </c>
    </row>
    <row r="37" spans="1:9" x14ac:dyDescent="0.25">
      <c r="A37" t="s">
        <v>278</v>
      </c>
      <c r="B37" t="s">
        <v>269</v>
      </c>
      <c r="C37" t="s">
        <v>245</v>
      </c>
      <c r="D37" s="2">
        <v>1</v>
      </c>
      <c r="E37" t="s">
        <v>30</v>
      </c>
      <c r="F37" t="s">
        <v>237</v>
      </c>
      <c r="G37">
        <v>1</v>
      </c>
      <c r="H37">
        <v>4</v>
      </c>
      <c r="I37" t="s">
        <v>32</v>
      </c>
    </row>
  </sheetData>
  <sheetProtection sheet="1" algorithmName="SHA-512" hashValue="+uZlqeulZYWADjF/2dkVbypyvOACyVjczYuUJEgrYh6sh+jx4SRzmBnwX2App6HYIgePmsVNH72KadYe7OjQWw==" saltValue="+f1MCdjCTxl5vPMjygBU1Q==" spinCount="100000"/>
  <autoFilter ref="A1:I1"/>
  <dataValidations count="4">
    <dataValidation type="whole" showErrorMessage="1" errorStyle="stop" errorTitle="Invalid balance value" error="Use an integer between 1 and 100000." sqref="D13">
      <formula1>1</formula1>
      <formula2>100000</formula2>
    </dataValidation>
    <dataValidation type="whole" showErrorMessage="1" errorStyle="stop" errorTitle="Invalid balance value" error="Use an integer between 1 and 100000." sqref="D22">
      <formula1>1</formula1>
      <formula2>100000</formula2>
    </dataValidation>
    <dataValidation type="whole" showErrorMessage="1" errorStyle="stop" errorTitle="Invalid balance value" error="Use an integer between 1 and 100000." sqref="D31">
      <formula1>1</formula1>
      <formula2>100000</formula2>
    </dataValidation>
    <dataValidation type="whole" showErrorMessage="1" errorStyle="stop" errorTitle="Invalid balance value" error="Use an integer between 1 and 100000." sqref="D4">
      <formula1>1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279</v>
      </c>
      <c r="B2" t="s">
        <v>225</v>
      </c>
      <c r="C2" t="s">
        <v>280</v>
      </c>
      <c r="D2" s="3" t="s">
        <v>159</v>
      </c>
      <c r="E2" t="s">
        <v>81</v>
      </c>
      <c r="F2" t="s">
        <v>31</v>
      </c>
      <c r="G2" t="s">
        <v>31</v>
      </c>
      <c r="H2" t="s">
        <v>31</v>
      </c>
      <c r="I2" t="s">
        <v>31</v>
      </c>
    </row>
    <row r="3" spans="1:9" x14ac:dyDescent="0.25">
      <c r="A3" t="s">
        <v>281</v>
      </c>
      <c r="B3" t="s">
        <v>225</v>
      </c>
      <c r="C3" t="s">
        <v>282</v>
      </c>
      <c r="D3" s="3">
        <v>1</v>
      </c>
      <c r="E3" t="s">
        <v>30</v>
      </c>
      <c r="F3" t="s">
        <v>237</v>
      </c>
      <c r="G3">
        <v>1</v>
      </c>
      <c r="H3">
        <v>4</v>
      </c>
      <c r="I3" t="s">
        <v>31</v>
      </c>
    </row>
    <row r="4" spans="1:9" x14ac:dyDescent="0.25">
      <c r="A4" t="s">
        <v>283</v>
      </c>
      <c r="B4" t="s">
        <v>225</v>
      </c>
      <c r="C4" t="s">
        <v>284</v>
      </c>
      <c r="D4" s="3">
        <v>9</v>
      </c>
      <c r="E4" t="s">
        <v>30</v>
      </c>
      <c r="F4" t="s">
        <v>285</v>
      </c>
      <c r="G4">
        <v>0.0001</v>
      </c>
      <c r="H4">
        <v>100000</v>
      </c>
      <c r="I4" t="s">
        <v>31</v>
      </c>
    </row>
    <row r="5" spans="1:9" x14ac:dyDescent="0.25">
      <c r="A5" t="s">
        <v>286</v>
      </c>
      <c r="B5" t="s">
        <v>225</v>
      </c>
      <c r="C5" t="s">
        <v>287</v>
      </c>
      <c r="D5" s="3" t="s">
        <v>159</v>
      </c>
      <c r="E5" t="s">
        <v>81</v>
      </c>
      <c r="F5" t="s">
        <v>31</v>
      </c>
      <c r="G5" t="s">
        <v>31</v>
      </c>
      <c r="H5" t="s">
        <v>31</v>
      </c>
      <c r="I5" t="s">
        <v>31</v>
      </c>
    </row>
    <row r="6" spans="1:9" x14ac:dyDescent="0.25">
      <c r="A6" t="s">
        <v>288</v>
      </c>
      <c r="B6" t="s">
        <v>225</v>
      </c>
      <c r="C6" t="s">
        <v>289</v>
      </c>
      <c r="D6" s="3">
        <v>2</v>
      </c>
      <c r="E6" t="s">
        <v>30</v>
      </c>
      <c r="F6" t="s">
        <v>237</v>
      </c>
      <c r="G6">
        <v>1</v>
      </c>
      <c r="H6">
        <v>4</v>
      </c>
      <c r="I6" t="s">
        <v>31</v>
      </c>
    </row>
    <row r="7" spans="1:9" x14ac:dyDescent="0.25">
      <c r="A7" t="s">
        <v>290</v>
      </c>
      <c r="B7" t="s">
        <v>225</v>
      </c>
      <c r="C7" t="s">
        <v>291</v>
      </c>
      <c r="D7" s="3">
        <v>5</v>
      </c>
      <c r="E7" t="s">
        <v>30</v>
      </c>
      <c r="F7" t="s">
        <v>285</v>
      </c>
      <c r="G7">
        <v>0.0001</v>
      </c>
      <c r="H7">
        <v>100000</v>
      </c>
      <c r="I7" t="s">
        <v>31</v>
      </c>
    </row>
    <row r="8" spans="1:9" x14ac:dyDescent="0.25">
      <c r="A8" t="s">
        <v>292</v>
      </c>
      <c r="B8" t="s">
        <v>225</v>
      </c>
      <c r="C8" t="s">
        <v>293</v>
      </c>
      <c r="D8" s="3" t="s">
        <v>173</v>
      </c>
      <c r="E8" t="s">
        <v>81</v>
      </c>
      <c r="F8" t="s">
        <v>31</v>
      </c>
      <c r="G8" t="s">
        <v>31</v>
      </c>
      <c r="H8" t="s">
        <v>31</v>
      </c>
      <c r="I8" t="s">
        <v>31</v>
      </c>
    </row>
    <row r="9" spans="1:9" x14ac:dyDescent="0.25">
      <c r="A9" t="s">
        <v>294</v>
      </c>
      <c r="B9" t="s">
        <v>225</v>
      </c>
      <c r="C9" t="s">
        <v>295</v>
      </c>
      <c r="D9" s="3">
        <v>1</v>
      </c>
      <c r="E9" t="s">
        <v>30</v>
      </c>
      <c r="F9" t="s">
        <v>237</v>
      </c>
      <c r="G9">
        <v>1</v>
      </c>
      <c r="H9">
        <v>4</v>
      </c>
      <c r="I9" t="s">
        <v>31</v>
      </c>
    </row>
    <row r="10" spans="1:9" x14ac:dyDescent="0.25">
      <c r="A10" t="s">
        <v>296</v>
      </c>
      <c r="B10" t="s">
        <v>225</v>
      </c>
      <c r="C10" t="s">
        <v>297</v>
      </c>
      <c r="D10" s="3">
        <v>7</v>
      </c>
      <c r="E10" t="s">
        <v>30</v>
      </c>
      <c r="F10" t="s">
        <v>285</v>
      </c>
      <c r="G10">
        <v>0.0001</v>
      </c>
      <c r="H10">
        <v>100000</v>
      </c>
      <c r="I10" t="s">
        <v>31</v>
      </c>
    </row>
    <row r="11" spans="1:9" x14ac:dyDescent="0.25">
      <c r="A11" t="s">
        <v>298</v>
      </c>
      <c r="B11" t="s">
        <v>225</v>
      </c>
      <c r="C11" t="s">
        <v>299</v>
      </c>
      <c r="D11" s="3" t="s">
        <v>173</v>
      </c>
      <c r="E11" t="s">
        <v>81</v>
      </c>
      <c r="F11" t="s">
        <v>31</v>
      </c>
      <c r="G11" t="s">
        <v>31</v>
      </c>
      <c r="H11" t="s">
        <v>31</v>
      </c>
      <c r="I11" t="s">
        <v>31</v>
      </c>
    </row>
    <row r="12" spans="1:9" x14ac:dyDescent="0.25">
      <c r="A12" t="s">
        <v>300</v>
      </c>
      <c r="B12" t="s">
        <v>225</v>
      </c>
      <c r="C12" t="s">
        <v>301</v>
      </c>
      <c r="D12" s="3">
        <v>2</v>
      </c>
      <c r="E12" t="s">
        <v>30</v>
      </c>
      <c r="F12" t="s">
        <v>237</v>
      </c>
      <c r="G12">
        <v>1</v>
      </c>
      <c r="H12">
        <v>4</v>
      </c>
      <c r="I12" t="s">
        <v>31</v>
      </c>
    </row>
    <row r="13" spans="1:9" x14ac:dyDescent="0.25">
      <c r="A13" t="s">
        <v>302</v>
      </c>
      <c r="B13" t="s">
        <v>225</v>
      </c>
      <c r="C13" t="s">
        <v>303</v>
      </c>
      <c r="D13" s="3">
        <v>3</v>
      </c>
      <c r="E13" t="s">
        <v>30</v>
      </c>
      <c r="F13" t="s">
        <v>285</v>
      </c>
      <c r="G13">
        <v>0.0001</v>
      </c>
      <c r="H13">
        <v>100000</v>
      </c>
      <c r="I13" t="s">
        <v>31</v>
      </c>
    </row>
    <row r="14" spans="1:9" x14ac:dyDescent="0.25">
      <c r="A14" t="s">
        <v>304</v>
      </c>
      <c r="B14" t="s">
        <v>225</v>
      </c>
      <c r="C14" t="s">
        <v>305</v>
      </c>
      <c r="D14" s="3" t="s">
        <v>170</v>
      </c>
      <c r="E14" t="s">
        <v>81</v>
      </c>
      <c r="F14" t="s">
        <v>31</v>
      </c>
      <c r="G14" t="s">
        <v>31</v>
      </c>
      <c r="H14" t="s">
        <v>31</v>
      </c>
      <c r="I14" t="s">
        <v>31</v>
      </c>
    </row>
    <row r="15" spans="1:9" x14ac:dyDescent="0.25">
      <c r="A15" t="s">
        <v>306</v>
      </c>
      <c r="B15" t="s">
        <v>225</v>
      </c>
      <c r="C15" t="s">
        <v>307</v>
      </c>
      <c r="D15" s="3">
        <v>1</v>
      </c>
      <c r="E15" t="s">
        <v>30</v>
      </c>
      <c r="F15" t="s">
        <v>237</v>
      </c>
      <c r="G15">
        <v>1</v>
      </c>
      <c r="H15">
        <v>4</v>
      </c>
      <c r="I15" t="s">
        <v>31</v>
      </c>
    </row>
    <row r="16" spans="1:9" x14ac:dyDescent="0.25">
      <c r="A16" t="s">
        <v>308</v>
      </c>
      <c r="B16" t="s">
        <v>225</v>
      </c>
      <c r="C16" t="s">
        <v>309</v>
      </c>
      <c r="D16" s="3">
        <v>1</v>
      </c>
      <c r="E16" t="s">
        <v>30</v>
      </c>
      <c r="F16" t="s">
        <v>285</v>
      </c>
      <c r="G16">
        <v>0.0001</v>
      </c>
      <c r="H16">
        <v>100000</v>
      </c>
      <c r="I16" t="s">
        <v>31</v>
      </c>
    </row>
    <row r="17" spans="1:9" x14ac:dyDescent="0.25">
      <c r="A17" t="s">
        <v>310</v>
      </c>
      <c r="B17" t="s">
        <v>225</v>
      </c>
      <c r="C17" t="s">
        <v>311</v>
      </c>
      <c r="D17" s="3" t="s">
        <v>182</v>
      </c>
      <c r="E17" t="s">
        <v>81</v>
      </c>
      <c r="F17" t="s">
        <v>31</v>
      </c>
      <c r="G17" t="s">
        <v>31</v>
      </c>
      <c r="H17" t="s">
        <v>31</v>
      </c>
      <c r="I17" t="s">
        <v>31</v>
      </c>
    </row>
    <row r="18" spans="1:9" x14ac:dyDescent="0.25">
      <c r="A18" t="s">
        <v>312</v>
      </c>
      <c r="B18" t="s">
        <v>225</v>
      </c>
      <c r="C18" t="s">
        <v>313</v>
      </c>
      <c r="D18" s="3">
        <v>1</v>
      </c>
      <c r="E18" t="s">
        <v>30</v>
      </c>
      <c r="F18" t="s">
        <v>237</v>
      </c>
      <c r="G18">
        <v>1</v>
      </c>
      <c r="H18">
        <v>4</v>
      </c>
      <c r="I18" t="s">
        <v>31</v>
      </c>
    </row>
    <row r="19" spans="1:9" x14ac:dyDescent="0.25">
      <c r="A19" t="s">
        <v>314</v>
      </c>
      <c r="B19" t="s">
        <v>225</v>
      </c>
      <c r="C19" t="s">
        <v>315</v>
      </c>
      <c r="D19" s="3">
        <v>5</v>
      </c>
      <c r="E19" t="s">
        <v>30</v>
      </c>
      <c r="F19" t="s">
        <v>285</v>
      </c>
      <c r="G19">
        <v>0.0001</v>
      </c>
      <c r="H19">
        <v>100000</v>
      </c>
      <c r="I19" t="s">
        <v>31</v>
      </c>
    </row>
    <row r="20" spans="1:9" x14ac:dyDescent="0.25">
      <c r="A20" t="s">
        <v>316</v>
      </c>
      <c r="B20" t="s">
        <v>225</v>
      </c>
      <c r="C20" t="s">
        <v>317</v>
      </c>
      <c r="D20" s="3" t="s">
        <v>159</v>
      </c>
      <c r="E20" t="s">
        <v>81</v>
      </c>
      <c r="F20" t="s">
        <v>31</v>
      </c>
      <c r="G20" t="s">
        <v>31</v>
      </c>
      <c r="H20" t="s">
        <v>31</v>
      </c>
      <c r="I20" t="s">
        <v>31</v>
      </c>
    </row>
    <row r="21" spans="1:9" x14ac:dyDescent="0.25">
      <c r="A21" t="s">
        <v>318</v>
      </c>
      <c r="B21" t="s">
        <v>225</v>
      </c>
      <c r="C21" t="s">
        <v>319</v>
      </c>
      <c r="D21" s="3">
        <v>1</v>
      </c>
      <c r="E21" t="s">
        <v>30</v>
      </c>
      <c r="F21" t="s">
        <v>237</v>
      </c>
      <c r="G21">
        <v>1</v>
      </c>
      <c r="H21">
        <v>4</v>
      </c>
      <c r="I21" t="s">
        <v>31</v>
      </c>
    </row>
    <row r="22" spans="1:9" x14ac:dyDescent="0.25">
      <c r="A22" t="s">
        <v>320</v>
      </c>
      <c r="B22" t="s">
        <v>225</v>
      </c>
      <c r="C22" t="s">
        <v>321</v>
      </c>
      <c r="D22" s="3">
        <v>9</v>
      </c>
      <c r="E22" t="s">
        <v>30</v>
      </c>
      <c r="F22" t="s">
        <v>285</v>
      </c>
      <c r="G22">
        <v>0.0001</v>
      </c>
      <c r="H22">
        <v>100000</v>
      </c>
      <c r="I22" t="s">
        <v>31</v>
      </c>
    </row>
    <row r="23" spans="1:9" x14ac:dyDescent="0.25">
      <c r="A23" t="s">
        <v>322</v>
      </c>
      <c r="B23" t="s">
        <v>225</v>
      </c>
      <c r="C23" t="s">
        <v>323</v>
      </c>
      <c r="D23" s="3" t="s">
        <v>159</v>
      </c>
      <c r="E23" t="s">
        <v>81</v>
      </c>
      <c r="F23" t="s">
        <v>31</v>
      </c>
      <c r="G23" t="s">
        <v>31</v>
      </c>
      <c r="H23" t="s">
        <v>31</v>
      </c>
      <c r="I23" t="s">
        <v>31</v>
      </c>
    </row>
    <row r="24" spans="1:9" x14ac:dyDescent="0.25">
      <c r="A24" t="s">
        <v>324</v>
      </c>
      <c r="B24" t="s">
        <v>225</v>
      </c>
      <c r="C24" t="s">
        <v>325</v>
      </c>
      <c r="D24" s="3">
        <v>2</v>
      </c>
      <c r="E24" t="s">
        <v>30</v>
      </c>
      <c r="F24" t="s">
        <v>237</v>
      </c>
      <c r="G24">
        <v>1</v>
      </c>
      <c r="H24">
        <v>4</v>
      </c>
      <c r="I24" t="s">
        <v>31</v>
      </c>
    </row>
    <row r="25" spans="1:9" x14ac:dyDescent="0.25">
      <c r="A25" t="s">
        <v>326</v>
      </c>
      <c r="B25" t="s">
        <v>225</v>
      </c>
      <c r="C25" t="s">
        <v>327</v>
      </c>
      <c r="D25" s="3">
        <v>5</v>
      </c>
      <c r="E25" t="s">
        <v>30</v>
      </c>
      <c r="F25" t="s">
        <v>285</v>
      </c>
      <c r="G25">
        <v>0.0001</v>
      </c>
      <c r="H25">
        <v>100000</v>
      </c>
      <c r="I25" t="s">
        <v>31</v>
      </c>
    </row>
    <row r="26" spans="1:9" x14ac:dyDescent="0.25">
      <c r="A26" t="s">
        <v>328</v>
      </c>
      <c r="B26" t="s">
        <v>225</v>
      </c>
      <c r="C26" t="s">
        <v>329</v>
      </c>
      <c r="D26" s="3" t="s">
        <v>173</v>
      </c>
      <c r="E26" t="s">
        <v>81</v>
      </c>
      <c r="F26" t="s">
        <v>31</v>
      </c>
      <c r="G26" t="s">
        <v>31</v>
      </c>
      <c r="H26" t="s">
        <v>31</v>
      </c>
      <c r="I26" t="s">
        <v>31</v>
      </c>
    </row>
    <row r="27" spans="1:9" x14ac:dyDescent="0.25">
      <c r="A27" t="s">
        <v>330</v>
      </c>
      <c r="B27" t="s">
        <v>225</v>
      </c>
      <c r="C27" t="s">
        <v>331</v>
      </c>
      <c r="D27" s="3">
        <v>1</v>
      </c>
      <c r="E27" t="s">
        <v>30</v>
      </c>
      <c r="F27" t="s">
        <v>237</v>
      </c>
      <c r="G27">
        <v>1</v>
      </c>
      <c r="H27">
        <v>4</v>
      </c>
      <c r="I27" t="s">
        <v>31</v>
      </c>
    </row>
    <row r="28" spans="1:9" x14ac:dyDescent="0.25">
      <c r="A28" t="s">
        <v>332</v>
      </c>
      <c r="B28" t="s">
        <v>225</v>
      </c>
      <c r="C28" t="s">
        <v>333</v>
      </c>
      <c r="D28" s="3">
        <v>7</v>
      </c>
      <c r="E28" t="s">
        <v>30</v>
      </c>
      <c r="F28" t="s">
        <v>285</v>
      </c>
      <c r="G28">
        <v>0.0001</v>
      </c>
      <c r="H28">
        <v>100000</v>
      </c>
      <c r="I28" t="s">
        <v>31</v>
      </c>
    </row>
    <row r="29" spans="1:9" x14ac:dyDescent="0.25">
      <c r="A29" t="s">
        <v>334</v>
      </c>
      <c r="B29" t="s">
        <v>225</v>
      </c>
      <c r="C29" t="s">
        <v>335</v>
      </c>
      <c r="D29" s="3" t="s">
        <v>173</v>
      </c>
      <c r="E29" t="s">
        <v>81</v>
      </c>
      <c r="F29" t="s">
        <v>31</v>
      </c>
      <c r="G29" t="s">
        <v>31</v>
      </c>
      <c r="H29" t="s">
        <v>31</v>
      </c>
      <c r="I29" t="s">
        <v>31</v>
      </c>
    </row>
    <row r="30" spans="1:9" x14ac:dyDescent="0.25">
      <c r="A30" t="s">
        <v>336</v>
      </c>
      <c r="B30" t="s">
        <v>225</v>
      </c>
      <c r="C30" t="s">
        <v>337</v>
      </c>
      <c r="D30" s="3">
        <v>2</v>
      </c>
      <c r="E30" t="s">
        <v>30</v>
      </c>
      <c r="F30" t="s">
        <v>237</v>
      </c>
      <c r="G30">
        <v>1</v>
      </c>
      <c r="H30">
        <v>4</v>
      </c>
      <c r="I30" t="s">
        <v>31</v>
      </c>
    </row>
    <row r="31" spans="1:9" x14ac:dyDescent="0.25">
      <c r="A31" t="s">
        <v>338</v>
      </c>
      <c r="B31" t="s">
        <v>225</v>
      </c>
      <c r="C31" t="s">
        <v>339</v>
      </c>
      <c r="D31" s="3">
        <v>3</v>
      </c>
      <c r="E31" t="s">
        <v>30</v>
      </c>
      <c r="F31" t="s">
        <v>285</v>
      </c>
      <c r="G31">
        <v>0.0001</v>
      </c>
      <c r="H31">
        <v>100000</v>
      </c>
      <c r="I31" t="s">
        <v>31</v>
      </c>
    </row>
    <row r="32" spans="1:9" x14ac:dyDescent="0.25">
      <c r="A32" t="s">
        <v>340</v>
      </c>
      <c r="B32" t="s">
        <v>225</v>
      </c>
      <c r="C32" t="s">
        <v>341</v>
      </c>
      <c r="D32" s="3" t="s">
        <v>170</v>
      </c>
      <c r="E32" t="s">
        <v>81</v>
      </c>
      <c r="F32" t="s">
        <v>31</v>
      </c>
      <c r="G32" t="s">
        <v>31</v>
      </c>
      <c r="H32" t="s">
        <v>31</v>
      </c>
      <c r="I32" t="s">
        <v>31</v>
      </c>
    </row>
    <row r="33" spans="1:9" x14ac:dyDescent="0.25">
      <c r="A33" t="s">
        <v>342</v>
      </c>
      <c r="B33" t="s">
        <v>225</v>
      </c>
      <c r="C33" t="s">
        <v>343</v>
      </c>
      <c r="D33" s="3">
        <v>1</v>
      </c>
      <c r="E33" t="s">
        <v>30</v>
      </c>
      <c r="F33" t="s">
        <v>237</v>
      </c>
      <c r="G33">
        <v>1</v>
      </c>
      <c r="H33">
        <v>4</v>
      </c>
      <c r="I33" t="s">
        <v>31</v>
      </c>
    </row>
    <row r="34" spans="1:9" x14ac:dyDescent="0.25">
      <c r="A34" t="s">
        <v>344</v>
      </c>
      <c r="B34" t="s">
        <v>225</v>
      </c>
      <c r="C34" t="s">
        <v>345</v>
      </c>
      <c r="D34" s="3">
        <v>1</v>
      </c>
      <c r="E34" t="s">
        <v>30</v>
      </c>
      <c r="F34" t="s">
        <v>285</v>
      </c>
      <c r="G34">
        <v>0.0001</v>
      </c>
      <c r="H34">
        <v>100000</v>
      </c>
      <c r="I34" t="s">
        <v>31</v>
      </c>
    </row>
    <row r="35" spans="1:9" x14ac:dyDescent="0.25">
      <c r="A35" t="s">
        <v>346</v>
      </c>
      <c r="B35" t="s">
        <v>225</v>
      </c>
      <c r="C35" t="s">
        <v>347</v>
      </c>
      <c r="D35" s="3" t="s">
        <v>182</v>
      </c>
      <c r="E35" t="s">
        <v>81</v>
      </c>
      <c r="F35" t="s">
        <v>31</v>
      </c>
      <c r="G35" t="s">
        <v>31</v>
      </c>
      <c r="H35" t="s">
        <v>31</v>
      </c>
      <c r="I35" t="s">
        <v>31</v>
      </c>
    </row>
    <row r="36" spans="1:9" x14ac:dyDescent="0.25">
      <c r="A36" t="s">
        <v>348</v>
      </c>
      <c r="B36" t="s">
        <v>225</v>
      </c>
      <c r="C36" t="s">
        <v>349</v>
      </c>
      <c r="D36" s="3">
        <v>1</v>
      </c>
      <c r="E36" t="s">
        <v>30</v>
      </c>
      <c r="F36" t="s">
        <v>237</v>
      </c>
      <c r="G36">
        <v>1</v>
      </c>
      <c r="H36">
        <v>4</v>
      </c>
      <c r="I36" t="s">
        <v>31</v>
      </c>
    </row>
    <row r="37" spans="1:9" x14ac:dyDescent="0.25">
      <c r="A37" t="s">
        <v>350</v>
      </c>
      <c r="B37" t="s">
        <v>225</v>
      </c>
      <c r="C37" t="s">
        <v>351</v>
      </c>
      <c r="D37" s="3">
        <v>5</v>
      </c>
      <c r="E37" t="s">
        <v>30</v>
      </c>
      <c r="F37" t="s">
        <v>285</v>
      </c>
      <c r="G37">
        <v>0.0001</v>
      </c>
      <c r="H37">
        <v>100000</v>
      </c>
      <c r="I37" t="s">
        <v>31</v>
      </c>
    </row>
    <row r="38" spans="1:9" x14ac:dyDescent="0.25">
      <c r="A38" t="s">
        <v>352</v>
      </c>
      <c r="B38" t="s">
        <v>225</v>
      </c>
      <c r="C38" t="s">
        <v>353</v>
      </c>
      <c r="D38" s="3" t="s">
        <v>179</v>
      </c>
      <c r="E38" t="s">
        <v>81</v>
      </c>
      <c r="F38" t="s">
        <v>31</v>
      </c>
      <c r="G38" t="s">
        <v>31</v>
      </c>
      <c r="H38" t="s">
        <v>31</v>
      </c>
      <c r="I38" t="s">
        <v>31</v>
      </c>
    </row>
    <row r="39" spans="1:9" x14ac:dyDescent="0.25">
      <c r="A39" t="s">
        <v>354</v>
      </c>
      <c r="B39" t="s">
        <v>225</v>
      </c>
      <c r="C39" t="s">
        <v>355</v>
      </c>
      <c r="D39" s="3">
        <v>1</v>
      </c>
      <c r="E39" t="s">
        <v>30</v>
      </c>
      <c r="F39" t="s">
        <v>237</v>
      </c>
      <c r="G39">
        <v>1</v>
      </c>
      <c r="H39">
        <v>4</v>
      </c>
      <c r="I39" t="s">
        <v>31</v>
      </c>
    </row>
    <row r="40" spans="1:9" x14ac:dyDescent="0.25">
      <c r="A40" t="s">
        <v>356</v>
      </c>
      <c r="B40" t="s">
        <v>225</v>
      </c>
      <c r="C40" t="s">
        <v>357</v>
      </c>
      <c r="D40" s="3">
        <v>3</v>
      </c>
      <c r="E40" t="s">
        <v>30</v>
      </c>
      <c r="F40" t="s">
        <v>285</v>
      </c>
      <c r="G40">
        <v>0.0001</v>
      </c>
      <c r="H40">
        <v>100000</v>
      </c>
      <c r="I40" t="s">
        <v>31</v>
      </c>
    </row>
    <row r="41" spans="1:9" x14ac:dyDescent="0.25">
      <c r="A41" t="s">
        <v>358</v>
      </c>
      <c r="B41" t="s">
        <v>225</v>
      </c>
      <c r="C41" t="s">
        <v>359</v>
      </c>
      <c r="D41" s="3" t="s">
        <v>360</v>
      </c>
      <c r="E41" t="s">
        <v>81</v>
      </c>
      <c r="F41" t="s">
        <v>31</v>
      </c>
      <c r="G41" t="s">
        <v>31</v>
      </c>
      <c r="H41" t="s">
        <v>31</v>
      </c>
      <c r="I41" t="s">
        <v>31</v>
      </c>
    </row>
    <row r="42" spans="1:9" x14ac:dyDescent="0.25">
      <c r="A42" t="s">
        <v>361</v>
      </c>
      <c r="B42" t="s">
        <v>225</v>
      </c>
      <c r="C42" t="s">
        <v>362</v>
      </c>
      <c r="D42" s="3" t="s">
        <v>159</v>
      </c>
      <c r="E42" t="s">
        <v>81</v>
      </c>
      <c r="F42" t="s">
        <v>31</v>
      </c>
      <c r="G42" t="s">
        <v>31</v>
      </c>
      <c r="H42" t="s">
        <v>31</v>
      </c>
      <c r="I42" t="s">
        <v>31</v>
      </c>
    </row>
    <row r="43" spans="1:9" x14ac:dyDescent="0.25">
      <c r="A43" t="s">
        <v>363</v>
      </c>
      <c r="B43" t="s">
        <v>225</v>
      </c>
      <c r="C43" t="s">
        <v>364</v>
      </c>
      <c r="D43" s="3">
        <v>1</v>
      </c>
      <c r="E43" t="s">
        <v>30</v>
      </c>
      <c r="F43" t="s">
        <v>237</v>
      </c>
      <c r="G43">
        <v>1</v>
      </c>
      <c r="H43">
        <v>4</v>
      </c>
      <c r="I43" t="s">
        <v>31</v>
      </c>
    </row>
    <row r="44" spans="1:9" x14ac:dyDescent="0.25">
      <c r="A44" t="s">
        <v>365</v>
      </c>
      <c r="B44" t="s">
        <v>225</v>
      </c>
      <c r="C44" t="s">
        <v>366</v>
      </c>
      <c r="D44" s="3">
        <v>9</v>
      </c>
      <c r="E44" t="s">
        <v>30</v>
      </c>
      <c r="F44" t="s">
        <v>285</v>
      </c>
      <c r="G44">
        <v>0.0001</v>
      </c>
      <c r="H44">
        <v>100000</v>
      </c>
      <c r="I44" t="s">
        <v>31</v>
      </c>
    </row>
    <row r="45" spans="1:9" x14ac:dyDescent="0.25">
      <c r="A45" t="s">
        <v>367</v>
      </c>
      <c r="B45" t="s">
        <v>225</v>
      </c>
      <c r="C45" t="s">
        <v>368</v>
      </c>
      <c r="D45" s="3" t="s">
        <v>159</v>
      </c>
      <c r="E45" t="s">
        <v>81</v>
      </c>
      <c r="F45" t="s">
        <v>31</v>
      </c>
      <c r="G45" t="s">
        <v>31</v>
      </c>
      <c r="H45" t="s">
        <v>31</v>
      </c>
      <c r="I45" t="s">
        <v>31</v>
      </c>
    </row>
    <row r="46" spans="1:9" x14ac:dyDescent="0.25">
      <c r="A46" t="s">
        <v>369</v>
      </c>
      <c r="B46" t="s">
        <v>225</v>
      </c>
      <c r="C46" t="s">
        <v>370</v>
      </c>
      <c r="D46" s="3">
        <v>2</v>
      </c>
      <c r="E46" t="s">
        <v>30</v>
      </c>
      <c r="F46" t="s">
        <v>237</v>
      </c>
      <c r="G46">
        <v>1</v>
      </c>
      <c r="H46">
        <v>4</v>
      </c>
      <c r="I46" t="s">
        <v>31</v>
      </c>
    </row>
    <row r="47" spans="1:9" x14ac:dyDescent="0.25">
      <c r="A47" t="s">
        <v>371</v>
      </c>
      <c r="B47" t="s">
        <v>225</v>
      </c>
      <c r="C47" t="s">
        <v>372</v>
      </c>
      <c r="D47" s="3">
        <v>5</v>
      </c>
      <c r="E47" t="s">
        <v>30</v>
      </c>
      <c r="F47" t="s">
        <v>285</v>
      </c>
      <c r="G47">
        <v>0.0001</v>
      </c>
      <c r="H47">
        <v>100000</v>
      </c>
      <c r="I47" t="s">
        <v>31</v>
      </c>
    </row>
    <row r="48" spans="1:9" x14ac:dyDescent="0.25">
      <c r="A48" t="s">
        <v>373</v>
      </c>
      <c r="B48" t="s">
        <v>225</v>
      </c>
      <c r="C48" t="s">
        <v>374</v>
      </c>
      <c r="D48" s="3" t="s">
        <v>173</v>
      </c>
      <c r="E48" t="s">
        <v>81</v>
      </c>
      <c r="F48" t="s">
        <v>31</v>
      </c>
      <c r="G48" t="s">
        <v>31</v>
      </c>
      <c r="H48" t="s">
        <v>31</v>
      </c>
      <c r="I48" t="s">
        <v>31</v>
      </c>
    </row>
    <row r="49" spans="1:9" x14ac:dyDescent="0.25">
      <c r="A49" t="s">
        <v>375</v>
      </c>
      <c r="B49" t="s">
        <v>225</v>
      </c>
      <c r="C49" t="s">
        <v>376</v>
      </c>
      <c r="D49" s="3">
        <v>1</v>
      </c>
      <c r="E49" t="s">
        <v>30</v>
      </c>
      <c r="F49" t="s">
        <v>237</v>
      </c>
      <c r="G49">
        <v>1</v>
      </c>
      <c r="H49">
        <v>4</v>
      </c>
      <c r="I49" t="s">
        <v>31</v>
      </c>
    </row>
    <row r="50" spans="1:9" x14ac:dyDescent="0.25">
      <c r="A50" t="s">
        <v>377</v>
      </c>
      <c r="B50" t="s">
        <v>225</v>
      </c>
      <c r="C50" t="s">
        <v>378</v>
      </c>
      <c r="D50" s="3">
        <v>7</v>
      </c>
      <c r="E50" t="s">
        <v>30</v>
      </c>
      <c r="F50" t="s">
        <v>285</v>
      </c>
      <c r="G50">
        <v>0.0001</v>
      </c>
      <c r="H50">
        <v>100000</v>
      </c>
      <c r="I50" t="s">
        <v>31</v>
      </c>
    </row>
    <row r="51" spans="1:9" x14ac:dyDescent="0.25">
      <c r="A51" t="s">
        <v>379</v>
      </c>
      <c r="B51" t="s">
        <v>225</v>
      </c>
      <c r="C51" t="s">
        <v>380</v>
      </c>
      <c r="D51" s="3" t="s">
        <v>173</v>
      </c>
      <c r="E51" t="s">
        <v>81</v>
      </c>
      <c r="F51" t="s">
        <v>31</v>
      </c>
      <c r="G51" t="s">
        <v>31</v>
      </c>
      <c r="H51" t="s">
        <v>31</v>
      </c>
      <c r="I51" t="s">
        <v>31</v>
      </c>
    </row>
    <row r="52" spans="1:9" x14ac:dyDescent="0.25">
      <c r="A52" t="s">
        <v>381</v>
      </c>
      <c r="B52" t="s">
        <v>225</v>
      </c>
      <c r="C52" t="s">
        <v>382</v>
      </c>
      <c r="D52" s="3">
        <v>2</v>
      </c>
      <c r="E52" t="s">
        <v>30</v>
      </c>
      <c r="F52" t="s">
        <v>237</v>
      </c>
      <c r="G52">
        <v>1</v>
      </c>
      <c r="H52">
        <v>4</v>
      </c>
      <c r="I52" t="s">
        <v>31</v>
      </c>
    </row>
    <row r="53" spans="1:9" x14ac:dyDescent="0.25">
      <c r="A53" t="s">
        <v>383</v>
      </c>
      <c r="B53" t="s">
        <v>225</v>
      </c>
      <c r="C53" t="s">
        <v>384</v>
      </c>
      <c r="D53" s="3">
        <v>3</v>
      </c>
      <c r="E53" t="s">
        <v>30</v>
      </c>
      <c r="F53" t="s">
        <v>285</v>
      </c>
      <c r="G53">
        <v>0.0001</v>
      </c>
      <c r="H53">
        <v>100000</v>
      </c>
      <c r="I53" t="s">
        <v>31</v>
      </c>
    </row>
    <row r="54" spans="1:9" x14ac:dyDescent="0.25">
      <c r="A54" t="s">
        <v>385</v>
      </c>
      <c r="B54" t="s">
        <v>225</v>
      </c>
      <c r="C54" t="s">
        <v>386</v>
      </c>
      <c r="D54" s="3" t="s">
        <v>170</v>
      </c>
      <c r="E54" t="s">
        <v>81</v>
      </c>
      <c r="F54" t="s">
        <v>31</v>
      </c>
      <c r="G54" t="s">
        <v>31</v>
      </c>
      <c r="H54" t="s">
        <v>31</v>
      </c>
      <c r="I54" t="s">
        <v>31</v>
      </c>
    </row>
    <row r="55" spans="1:9" x14ac:dyDescent="0.25">
      <c r="A55" t="s">
        <v>387</v>
      </c>
      <c r="B55" t="s">
        <v>225</v>
      </c>
      <c r="C55" t="s">
        <v>388</v>
      </c>
      <c r="D55" s="3">
        <v>1</v>
      </c>
      <c r="E55" t="s">
        <v>30</v>
      </c>
      <c r="F55" t="s">
        <v>237</v>
      </c>
      <c r="G55">
        <v>1</v>
      </c>
      <c r="H55">
        <v>4</v>
      </c>
      <c r="I55" t="s">
        <v>31</v>
      </c>
    </row>
    <row r="56" spans="1:9" x14ac:dyDescent="0.25">
      <c r="A56" t="s">
        <v>389</v>
      </c>
      <c r="B56" t="s">
        <v>225</v>
      </c>
      <c r="C56" t="s">
        <v>390</v>
      </c>
      <c r="D56" s="3">
        <v>1</v>
      </c>
      <c r="E56" t="s">
        <v>30</v>
      </c>
      <c r="F56" t="s">
        <v>285</v>
      </c>
      <c r="G56">
        <v>0.0001</v>
      </c>
      <c r="H56">
        <v>100000</v>
      </c>
      <c r="I56" t="s">
        <v>31</v>
      </c>
    </row>
    <row r="57" spans="1:9" x14ac:dyDescent="0.25">
      <c r="A57" t="s">
        <v>391</v>
      </c>
      <c r="B57" t="s">
        <v>225</v>
      </c>
      <c r="C57" t="s">
        <v>392</v>
      </c>
      <c r="D57" s="3" t="s">
        <v>182</v>
      </c>
      <c r="E57" t="s">
        <v>81</v>
      </c>
      <c r="F57" t="s">
        <v>31</v>
      </c>
      <c r="G57" t="s">
        <v>31</v>
      </c>
      <c r="H57" t="s">
        <v>31</v>
      </c>
      <c r="I57" t="s">
        <v>31</v>
      </c>
    </row>
    <row r="58" spans="1:9" x14ac:dyDescent="0.25">
      <c r="A58" t="s">
        <v>393</v>
      </c>
      <c r="B58" t="s">
        <v>225</v>
      </c>
      <c r="C58" t="s">
        <v>394</v>
      </c>
      <c r="D58" s="3">
        <v>1</v>
      </c>
      <c r="E58" t="s">
        <v>30</v>
      </c>
      <c r="F58" t="s">
        <v>237</v>
      </c>
      <c r="G58">
        <v>1</v>
      </c>
      <c r="H58">
        <v>4</v>
      </c>
      <c r="I58" t="s">
        <v>31</v>
      </c>
    </row>
    <row r="59" spans="1:9" x14ac:dyDescent="0.25">
      <c r="A59" t="s">
        <v>395</v>
      </c>
      <c r="B59" t="s">
        <v>225</v>
      </c>
      <c r="C59" t="s">
        <v>396</v>
      </c>
      <c r="D59" s="3">
        <v>5</v>
      </c>
      <c r="E59" t="s">
        <v>30</v>
      </c>
      <c r="F59" t="s">
        <v>285</v>
      </c>
      <c r="G59">
        <v>0.0001</v>
      </c>
      <c r="H59">
        <v>100000</v>
      </c>
      <c r="I59" t="s">
        <v>31</v>
      </c>
    </row>
    <row r="60" spans="1:9" x14ac:dyDescent="0.25">
      <c r="A60" t="s">
        <v>397</v>
      </c>
      <c r="B60" t="s">
        <v>247</v>
      </c>
      <c r="C60" t="s">
        <v>280</v>
      </c>
      <c r="D60" s="3" t="s">
        <v>170</v>
      </c>
      <c r="E60" t="s">
        <v>81</v>
      </c>
      <c r="F60" t="s">
        <v>31</v>
      </c>
      <c r="G60" t="s">
        <v>31</v>
      </c>
      <c r="H60" t="s">
        <v>31</v>
      </c>
      <c r="I60" t="s">
        <v>31</v>
      </c>
    </row>
    <row r="61" spans="1:9" x14ac:dyDescent="0.25">
      <c r="A61" t="s">
        <v>398</v>
      </c>
      <c r="B61" t="s">
        <v>247</v>
      </c>
      <c r="C61" t="s">
        <v>282</v>
      </c>
      <c r="D61" s="3">
        <v>1</v>
      </c>
      <c r="E61" t="s">
        <v>30</v>
      </c>
      <c r="F61" t="s">
        <v>237</v>
      </c>
      <c r="G61">
        <v>1</v>
      </c>
      <c r="H61">
        <v>4</v>
      </c>
      <c r="I61" t="s">
        <v>31</v>
      </c>
    </row>
    <row r="62" spans="1:9" x14ac:dyDescent="0.25">
      <c r="A62" t="s">
        <v>399</v>
      </c>
      <c r="B62" t="s">
        <v>247</v>
      </c>
      <c r="C62" t="s">
        <v>284</v>
      </c>
      <c r="D62" s="3">
        <v>14</v>
      </c>
      <c r="E62" t="s">
        <v>30</v>
      </c>
      <c r="F62" t="s">
        <v>285</v>
      </c>
      <c r="G62">
        <v>0.0001</v>
      </c>
      <c r="H62">
        <v>100000</v>
      </c>
      <c r="I62" t="s">
        <v>31</v>
      </c>
    </row>
    <row r="63" spans="1:9" x14ac:dyDescent="0.25">
      <c r="A63" t="s">
        <v>400</v>
      </c>
      <c r="B63" t="s">
        <v>247</v>
      </c>
      <c r="C63" t="s">
        <v>287</v>
      </c>
      <c r="D63" s="3" t="s">
        <v>170</v>
      </c>
      <c r="E63" t="s">
        <v>81</v>
      </c>
      <c r="F63" t="s">
        <v>31</v>
      </c>
      <c r="G63" t="s">
        <v>31</v>
      </c>
      <c r="H63" t="s">
        <v>31</v>
      </c>
      <c r="I63" t="s">
        <v>31</v>
      </c>
    </row>
    <row r="64" spans="1:9" x14ac:dyDescent="0.25">
      <c r="A64" t="s">
        <v>401</v>
      </c>
      <c r="B64" t="s">
        <v>247</v>
      </c>
      <c r="C64" t="s">
        <v>289</v>
      </c>
      <c r="D64" s="3">
        <v>2</v>
      </c>
      <c r="E64" t="s">
        <v>30</v>
      </c>
      <c r="F64" t="s">
        <v>237</v>
      </c>
      <c r="G64">
        <v>1</v>
      </c>
      <c r="H64">
        <v>4</v>
      </c>
      <c r="I64" t="s">
        <v>31</v>
      </c>
    </row>
    <row r="65" spans="1:9" x14ac:dyDescent="0.25">
      <c r="A65" t="s">
        <v>402</v>
      </c>
      <c r="B65" t="s">
        <v>247</v>
      </c>
      <c r="C65" t="s">
        <v>291</v>
      </c>
      <c r="D65" s="3">
        <v>12</v>
      </c>
      <c r="E65" t="s">
        <v>30</v>
      </c>
      <c r="F65" t="s">
        <v>285</v>
      </c>
      <c r="G65">
        <v>0.0001</v>
      </c>
      <c r="H65">
        <v>100000</v>
      </c>
      <c r="I65" t="s">
        <v>31</v>
      </c>
    </row>
    <row r="66" spans="1:9" x14ac:dyDescent="0.25">
      <c r="A66" t="s">
        <v>403</v>
      </c>
      <c r="B66" t="s">
        <v>247</v>
      </c>
      <c r="C66" t="s">
        <v>293</v>
      </c>
      <c r="D66" s="3" t="s">
        <v>173</v>
      </c>
      <c r="E66" t="s">
        <v>81</v>
      </c>
      <c r="F66" t="s">
        <v>31</v>
      </c>
      <c r="G66" t="s">
        <v>31</v>
      </c>
      <c r="H66" t="s">
        <v>31</v>
      </c>
      <c r="I66" t="s">
        <v>31</v>
      </c>
    </row>
    <row r="67" spans="1:9" x14ac:dyDescent="0.25">
      <c r="A67" t="s">
        <v>404</v>
      </c>
      <c r="B67" t="s">
        <v>247</v>
      </c>
      <c r="C67" t="s">
        <v>295</v>
      </c>
      <c r="D67" s="3">
        <v>1</v>
      </c>
      <c r="E67" t="s">
        <v>30</v>
      </c>
      <c r="F67" t="s">
        <v>237</v>
      </c>
      <c r="G67">
        <v>1</v>
      </c>
      <c r="H67">
        <v>4</v>
      </c>
      <c r="I67" t="s">
        <v>31</v>
      </c>
    </row>
    <row r="68" spans="1:9" x14ac:dyDescent="0.25">
      <c r="A68" t="s">
        <v>405</v>
      </c>
      <c r="B68" t="s">
        <v>247</v>
      </c>
      <c r="C68" t="s">
        <v>297</v>
      </c>
      <c r="D68" s="3">
        <v>2</v>
      </c>
      <c r="E68" t="s">
        <v>30</v>
      </c>
      <c r="F68" t="s">
        <v>285</v>
      </c>
      <c r="G68">
        <v>0.0001</v>
      </c>
      <c r="H68">
        <v>100000</v>
      </c>
      <c r="I68" t="s">
        <v>31</v>
      </c>
    </row>
    <row r="69" spans="1:9" x14ac:dyDescent="0.25">
      <c r="A69" t="s">
        <v>406</v>
      </c>
      <c r="B69" t="s">
        <v>247</v>
      </c>
      <c r="C69" t="s">
        <v>299</v>
      </c>
      <c r="D69" s="3" t="s">
        <v>176</v>
      </c>
      <c r="E69" t="s">
        <v>81</v>
      </c>
      <c r="F69" t="s">
        <v>31</v>
      </c>
      <c r="G69" t="s">
        <v>31</v>
      </c>
      <c r="H69" t="s">
        <v>31</v>
      </c>
      <c r="I69" t="s">
        <v>31</v>
      </c>
    </row>
    <row r="70" spans="1:9" x14ac:dyDescent="0.25">
      <c r="A70" t="s">
        <v>407</v>
      </c>
      <c r="B70" t="s">
        <v>247</v>
      </c>
      <c r="C70" t="s">
        <v>301</v>
      </c>
      <c r="D70" s="3">
        <v>1</v>
      </c>
      <c r="E70" t="s">
        <v>30</v>
      </c>
      <c r="F70" t="s">
        <v>237</v>
      </c>
      <c r="G70">
        <v>1</v>
      </c>
      <c r="H70">
        <v>4</v>
      </c>
      <c r="I70" t="s">
        <v>31</v>
      </c>
    </row>
    <row r="71" spans="1:9" x14ac:dyDescent="0.25">
      <c r="A71" t="s">
        <v>408</v>
      </c>
      <c r="B71" t="s">
        <v>247</v>
      </c>
      <c r="C71" t="s">
        <v>303</v>
      </c>
      <c r="D71" s="3">
        <v>1</v>
      </c>
      <c r="E71" t="s">
        <v>30</v>
      </c>
      <c r="F71" t="s">
        <v>285</v>
      </c>
      <c r="G71">
        <v>0.0001</v>
      </c>
      <c r="H71">
        <v>100000</v>
      </c>
      <c r="I71" t="s">
        <v>31</v>
      </c>
    </row>
    <row r="72" spans="1:9" x14ac:dyDescent="0.25">
      <c r="A72" t="s">
        <v>409</v>
      </c>
      <c r="B72" t="s">
        <v>247</v>
      </c>
      <c r="C72" t="s">
        <v>305</v>
      </c>
      <c r="D72" s="3" t="s">
        <v>161</v>
      </c>
      <c r="E72" t="s">
        <v>81</v>
      </c>
      <c r="F72" t="s">
        <v>31</v>
      </c>
      <c r="G72" t="s">
        <v>31</v>
      </c>
      <c r="H72" t="s">
        <v>31</v>
      </c>
      <c r="I72" t="s">
        <v>31</v>
      </c>
    </row>
    <row r="73" spans="1:9" x14ac:dyDescent="0.25">
      <c r="A73" t="s">
        <v>410</v>
      </c>
      <c r="B73" t="s">
        <v>247</v>
      </c>
      <c r="C73" t="s">
        <v>307</v>
      </c>
      <c r="D73" s="3">
        <v>1</v>
      </c>
      <c r="E73" t="s">
        <v>30</v>
      </c>
      <c r="F73" t="s">
        <v>237</v>
      </c>
      <c r="G73">
        <v>1</v>
      </c>
      <c r="H73">
        <v>4</v>
      </c>
      <c r="I73" t="s">
        <v>31</v>
      </c>
    </row>
    <row r="74" spans="1:9" x14ac:dyDescent="0.25">
      <c r="A74" t="s">
        <v>411</v>
      </c>
      <c r="B74" t="s">
        <v>247</v>
      </c>
      <c r="C74" t="s">
        <v>309</v>
      </c>
      <c r="D74" s="3">
        <v>1</v>
      </c>
      <c r="E74" t="s">
        <v>30</v>
      </c>
      <c r="F74" t="s">
        <v>285</v>
      </c>
      <c r="G74">
        <v>0.0001</v>
      </c>
      <c r="H74">
        <v>100000</v>
      </c>
      <c r="I74" t="s">
        <v>31</v>
      </c>
    </row>
    <row r="75" spans="1:9" x14ac:dyDescent="0.25">
      <c r="A75" t="s">
        <v>412</v>
      </c>
      <c r="B75" t="s">
        <v>247</v>
      </c>
      <c r="C75" t="s">
        <v>311</v>
      </c>
      <c r="D75" s="3" t="s">
        <v>182</v>
      </c>
      <c r="E75" t="s">
        <v>81</v>
      </c>
      <c r="F75" t="s">
        <v>31</v>
      </c>
      <c r="G75" t="s">
        <v>31</v>
      </c>
      <c r="H75" t="s">
        <v>31</v>
      </c>
      <c r="I75" t="s">
        <v>31</v>
      </c>
    </row>
    <row r="76" spans="1:9" x14ac:dyDescent="0.25">
      <c r="A76" t="s">
        <v>413</v>
      </c>
      <c r="B76" t="s">
        <v>247</v>
      </c>
      <c r="C76" t="s">
        <v>313</v>
      </c>
      <c r="D76" s="3">
        <v>1</v>
      </c>
      <c r="E76" t="s">
        <v>30</v>
      </c>
      <c r="F76" t="s">
        <v>237</v>
      </c>
      <c r="G76">
        <v>1</v>
      </c>
      <c r="H76">
        <v>4</v>
      </c>
      <c r="I76" t="s">
        <v>31</v>
      </c>
    </row>
    <row r="77" spans="1:9" x14ac:dyDescent="0.25">
      <c r="A77" t="s">
        <v>414</v>
      </c>
      <c r="B77" t="s">
        <v>247</v>
      </c>
      <c r="C77" t="s">
        <v>315</v>
      </c>
      <c r="D77" s="3">
        <v>4</v>
      </c>
      <c r="E77" t="s">
        <v>30</v>
      </c>
      <c r="F77" t="s">
        <v>285</v>
      </c>
      <c r="G77">
        <v>0.0001</v>
      </c>
      <c r="H77">
        <v>100000</v>
      </c>
      <c r="I77" t="s">
        <v>31</v>
      </c>
    </row>
    <row r="78" spans="1:9" x14ac:dyDescent="0.25">
      <c r="A78" t="s">
        <v>415</v>
      </c>
      <c r="B78" t="s">
        <v>247</v>
      </c>
      <c r="C78" t="s">
        <v>317</v>
      </c>
      <c r="D78" s="3" t="s">
        <v>170</v>
      </c>
      <c r="E78" t="s">
        <v>81</v>
      </c>
      <c r="F78" t="s">
        <v>31</v>
      </c>
      <c r="G78" t="s">
        <v>31</v>
      </c>
      <c r="H78" t="s">
        <v>31</v>
      </c>
      <c r="I78" t="s">
        <v>31</v>
      </c>
    </row>
    <row r="79" spans="1:9" x14ac:dyDescent="0.25">
      <c r="A79" t="s">
        <v>416</v>
      </c>
      <c r="B79" t="s">
        <v>247</v>
      </c>
      <c r="C79" t="s">
        <v>319</v>
      </c>
      <c r="D79" s="3">
        <v>1</v>
      </c>
      <c r="E79" t="s">
        <v>30</v>
      </c>
      <c r="F79" t="s">
        <v>237</v>
      </c>
      <c r="G79">
        <v>1</v>
      </c>
      <c r="H79">
        <v>4</v>
      </c>
      <c r="I79" t="s">
        <v>31</v>
      </c>
    </row>
    <row r="80" spans="1:9" x14ac:dyDescent="0.25">
      <c r="A80" t="s">
        <v>417</v>
      </c>
      <c r="B80" t="s">
        <v>247</v>
      </c>
      <c r="C80" t="s">
        <v>321</v>
      </c>
      <c r="D80" s="3">
        <v>14</v>
      </c>
      <c r="E80" t="s">
        <v>30</v>
      </c>
      <c r="F80" t="s">
        <v>285</v>
      </c>
      <c r="G80">
        <v>0.0001</v>
      </c>
      <c r="H80">
        <v>100000</v>
      </c>
      <c r="I80" t="s">
        <v>31</v>
      </c>
    </row>
    <row r="81" spans="1:9" x14ac:dyDescent="0.25">
      <c r="A81" t="s">
        <v>418</v>
      </c>
      <c r="B81" t="s">
        <v>247</v>
      </c>
      <c r="C81" t="s">
        <v>323</v>
      </c>
      <c r="D81" s="3" t="s">
        <v>170</v>
      </c>
      <c r="E81" t="s">
        <v>81</v>
      </c>
      <c r="F81" t="s">
        <v>31</v>
      </c>
      <c r="G81" t="s">
        <v>31</v>
      </c>
      <c r="H81" t="s">
        <v>31</v>
      </c>
      <c r="I81" t="s">
        <v>31</v>
      </c>
    </row>
    <row r="82" spans="1:9" x14ac:dyDescent="0.25">
      <c r="A82" t="s">
        <v>419</v>
      </c>
      <c r="B82" t="s">
        <v>247</v>
      </c>
      <c r="C82" t="s">
        <v>325</v>
      </c>
      <c r="D82" s="3">
        <v>2</v>
      </c>
      <c r="E82" t="s">
        <v>30</v>
      </c>
      <c r="F82" t="s">
        <v>237</v>
      </c>
      <c r="G82">
        <v>1</v>
      </c>
      <c r="H82">
        <v>4</v>
      </c>
      <c r="I82" t="s">
        <v>31</v>
      </c>
    </row>
    <row r="83" spans="1:9" x14ac:dyDescent="0.25">
      <c r="A83" t="s">
        <v>420</v>
      </c>
      <c r="B83" t="s">
        <v>247</v>
      </c>
      <c r="C83" t="s">
        <v>327</v>
      </c>
      <c r="D83" s="3">
        <v>12</v>
      </c>
      <c r="E83" t="s">
        <v>30</v>
      </c>
      <c r="F83" t="s">
        <v>285</v>
      </c>
      <c r="G83">
        <v>0.0001</v>
      </c>
      <c r="H83">
        <v>100000</v>
      </c>
      <c r="I83" t="s">
        <v>31</v>
      </c>
    </row>
    <row r="84" spans="1:9" x14ac:dyDescent="0.25">
      <c r="A84" t="s">
        <v>421</v>
      </c>
      <c r="B84" t="s">
        <v>247</v>
      </c>
      <c r="C84" t="s">
        <v>329</v>
      </c>
      <c r="D84" s="3" t="s">
        <v>173</v>
      </c>
      <c r="E84" t="s">
        <v>81</v>
      </c>
      <c r="F84" t="s">
        <v>31</v>
      </c>
      <c r="G84" t="s">
        <v>31</v>
      </c>
      <c r="H84" t="s">
        <v>31</v>
      </c>
      <c r="I84" t="s">
        <v>31</v>
      </c>
    </row>
    <row r="85" spans="1:9" x14ac:dyDescent="0.25">
      <c r="A85" t="s">
        <v>422</v>
      </c>
      <c r="B85" t="s">
        <v>247</v>
      </c>
      <c r="C85" t="s">
        <v>331</v>
      </c>
      <c r="D85" s="3">
        <v>1</v>
      </c>
      <c r="E85" t="s">
        <v>30</v>
      </c>
      <c r="F85" t="s">
        <v>237</v>
      </c>
      <c r="G85">
        <v>1</v>
      </c>
      <c r="H85">
        <v>4</v>
      </c>
      <c r="I85" t="s">
        <v>31</v>
      </c>
    </row>
    <row r="86" spans="1:9" x14ac:dyDescent="0.25">
      <c r="A86" t="s">
        <v>423</v>
      </c>
      <c r="B86" t="s">
        <v>247</v>
      </c>
      <c r="C86" t="s">
        <v>333</v>
      </c>
      <c r="D86" s="3">
        <v>2</v>
      </c>
      <c r="E86" t="s">
        <v>30</v>
      </c>
      <c r="F86" t="s">
        <v>285</v>
      </c>
      <c r="G86">
        <v>0.0001</v>
      </c>
      <c r="H86">
        <v>100000</v>
      </c>
      <c r="I86" t="s">
        <v>31</v>
      </c>
    </row>
    <row r="87" spans="1:9" x14ac:dyDescent="0.25">
      <c r="A87" t="s">
        <v>424</v>
      </c>
      <c r="B87" t="s">
        <v>247</v>
      </c>
      <c r="C87" t="s">
        <v>335</v>
      </c>
      <c r="D87" s="3" t="s">
        <v>176</v>
      </c>
      <c r="E87" t="s">
        <v>81</v>
      </c>
      <c r="F87" t="s">
        <v>31</v>
      </c>
      <c r="G87" t="s">
        <v>31</v>
      </c>
      <c r="H87" t="s">
        <v>31</v>
      </c>
      <c r="I87" t="s">
        <v>31</v>
      </c>
    </row>
    <row r="88" spans="1:9" x14ac:dyDescent="0.25">
      <c r="A88" t="s">
        <v>425</v>
      </c>
      <c r="B88" t="s">
        <v>247</v>
      </c>
      <c r="C88" t="s">
        <v>337</v>
      </c>
      <c r="D88" s="3">
        <v>1</v>
      </c>
      <c r="E88" t="s">
        <v>30</v>
      </c>
      <c r="F88" t="s">
        <v>237</v>
      </c>
      <c r="G88">
        <v>1</v>
      </c>
      <c r="H88">
        <v>4</v>
      </c>
      <c r="I88" t="s">
        <v>31</v>
      </c>
    </row>
    <row r="89" spans="1:9" x14ac:dyDescent="0.25">
      <c r="A89" t="s">
        <v>426</v>
      </c>
      <c r="B89" t="s">
        <v>247</v>
      </c>
      <c r="C89" t="s">
        <v>339</v>
      </c>
      <c r="D89" s="3">
        <v>1</v>
      </c>
      <c r="E89" t="s">
        <v>30</v>
      </c>
      <c r="F89" t="s">
        <v>285</v>
      </c>
      <c r="G89">
        <v>0.0001</v>
      </c>
      <c r="H89">
        <v>100000</v>
      </c>
      <c r="I89" t="s">
        <v>31</v>
      </c>
    </row>
    <row r="90" spans="1:9" x14ac:dyDescent="0.25">
      <c r="A90" t="s">
        <v>427</v>
      </c>
      <c r="B90" t="s">
        <v>247</v>
      </c>
      <c r="C90" t="s">
        <v>341</v>
      </c>
      <c r="D90" s="3" t="s">
        <v>161</v>
      </c>
      <c r="E90" t="s">
        <v>81</v>
      </c>
      <c r="F90" t="s">
        <v>31</v>
      </c>
      <c r="G90" t="s">
        <v>31</v>
      </c>
      <c r="H90" t="s">
        <v>31</v>
      </c>
      <c r="I90" t="s">
        <v>31</v>
      </c>
    </row>
    <row r="91" spans="1:9" x14ac:dyDescent="0.25">
      <c r="A91" t="s">
        <v>428</v>
      </c>
      <c r="B91" t="s">
        <v>247</v>
      </c>
      <c r="C91" t="s">
        <v>343</v>
      </c>
      <c r="D91" s="3">
        <v>1</v>
      </c>
      <c r="E91" t="s">
        <v>30</v>
      </c>
      <c r="F91" t="s">
        <v>237</v>
      </c>
      <c r="G91">
        <v>1</v>
      </c>
      <c r="H91">
        <v>4</v>
      </c>
      <c r="I91" t="s">
        <v>31</v>
      </c>
    </row>
    <row r="92" spans="1:9" x14ac:dyDescent="0.25">
      <c r="A92" t="s">
        <v>429</v>
      </c>
      <c r="B92" t="s">
        <v>247</v>
      </c>
      <c r="C92" t="s">
        <v>345</v>
      </c>
      <c r="D92" s="3">
        <v>1</v>
      </c>
      <c r="E92" t="s">
        <v>30</v>
      </c>
      <c r="F92" t="s">
        <v>285</v>
      </c>
      <c r="G92">
        <v>0.0001</v>
      </c>
      <c r="H92">
        <v>100000</v>
      </c>
      <c r="I92" t="s">
        <v>31</v>
      </c>
    </row>
    <row r="93" spans="1:9" x14ac:dyDescent="0.25">
      <c r="A93" t="s">
        <v>430</v>
      </c>
      <c r="B93" t="s">
        <v>247</v>
      </c>
      <c r="C93" t="s">
        <v>347</v>
      </c>
      <c r="D93" s="3" t="s">
        <v>182</v>
      </c>
      <c r="E93" t="s">
        <v>81</v>
      </c>
      <c r="F93" t="s">
        <v>31</v>
      </c>
      <c r="G93" t="s">
        <v>31</v>
      </c>
      <c r="H93" t="s">
        <v>31</v>
      </c>
      <c r="I93" t="s">
        <v>31</v>
      </c>
    </row>
    <row r="94" spans="1:9" x14ac:dyDescent="0.25">
      <c r="A94" t="s">
        <v>431</v>
      </c>
      <c r="B94" t="s">
        <v>247</v>
      </c>
      <c r="C94" t="s">
        <v>349</v>
      </c>
      <c r="D94" s="3">
        <v>1</v>
      </c>
      <c r="E94" t="s">
        <v>30</v>
      </c>
      <c r="F94" t="s">
        <v>237</v>
      </c>
      <c r="G94">
        <v>1</v>
      </c>
      <c r="H94">
        <v>4</v>
      </c>
      <c r="I94" t="s">
        <v>31</v>
      </c>
    </row>
    <row r="95" spans="1:9" x14ac:dyDescent="0.25">
      <c r="A95" t="s">
        <v>432</v>
      </c>
      <c r="B95" t="s">
        <v>247</v>
      </c>
      <c r="C95" t="s">
        <v>351</v>
      </c>
      <c r="D95" s="3">
        <v>4</v>
      </c>
      <c r="E95" t="s">
        <v>30</v>
      </c>
      <c r="F95" t="s">
        <v>285</v>
      </c>
      <c r="G95">
        <v>0.0001</v>
      </c>
      <c r="H95">
        <v>100000</v>
      </c>
      <c r="I95" t="s">
        <v>31</v>
      </c>
    </row>
    <row r="96" spans="1:9" x14ac:dyDescent="0.25">
      <c r="A96" t="s">
        <v>433</v>
      </c>
      <c r="B96" t="s">
        <v>247</v>
      </c>
      <c r="C96" t="s">
        <v>353</v>
      </c>
      <c r="D96" s="3" t="s">
        <v>179</v>
      </c>
      <c r="E96" t="s">
        <v>81</v>
      </c>
      <c r="F96" t="s">
        <v>31</v>
      </c>
      <c r="G96" t="s">
        <v>31</v>
      </c>
      <c r="H96" t="s">
        <v>31</v>
      </c>
      <c r="I96" t="s">
        <v>31</v>
      </c>
    </row>
    <row r="97" spans="1:9" x14ac:dyDescent="0.25">
      <c r="A97" t="s">
        <v>434</v>
      </c>
      <c r="B97" t="s">
        <v>247</v>
      </c>
      <c r="C97" t="s">
        <v>355</v>
      </c>
      <c r="D97" s="3">
        <v>1</v>
      </c>
      <c r="E97" t="s">
        <v>30</v>
      </c>
      <c r="F97" t="s">
        <v>237</v>
      </c>
      <c r="G97">
        <v>1</v>
      </c>
      <c r="H97">
        <v>4</v>
      </c>
      <c r="I97" t="s">
        <v>31</v>
      </c>
    </row>
    <row r="98" spans="1:9" x14ac:dyDescent="0.25">
      <c r="A98" t="s">
        <v>435</v>
      </c>
      <c r="B98" t="s">
        <v>247</v>
      </c>
      <c r="C98" t="s">
        <v>357</v>
      </c>
      <c r="D98" s="3">
        <v>3</v>
      </c>
      <c r="E98" t="s">
        <v>30</v>
      </c>
      <c r="F98" t="s">
        <v>285</v>
      </c>
      <c r="G98">
        <v>0.0001</v>
      </c>
      <c r="H98">
        <v>100000</v>
      </c>
      <c r="I98" t="s">
        <v>31</v>
      </c>
    </row>
    <row r="99" spans="1:9" x14ac:dyDescent="0.25">
      <c r="A99" t="s">
        <v>436</v>
      </c>
      <c r="B99" t="s">
        <v>247</v>
      </c>
      <c r="C99" t="s">
        <v>359</v>
      </c>
      <c r="D99" s="3" t="s">
        <v>437</v>
      </c>
      <c r="E99" t="s">
        <v>81</v>
      </c>
      <c r="F99" t="s">
        <v>31</v>
      </c>
      <c r="G99" t="s">
        <v>31</v>
      </c>
      <c r="H99" t="s">
        <v>31</v>
      </c>
      <c r="I99" t="s">
        <v>31</v>
      </c>
    </row>
    <row r="100" spans="1:9" x14ac:dyDescent="0.25">
      <c r="A100" t="s">
        <v>438</v>
      </c>
      <c r="B100" t="s">
        <v>247</v>
      </c>
      <c r="C100" t="s">
        <v>362</v>
      </c>
      <c r="D100" s="3" t="s">
        <v>170</v>
      </c>
      <c r="E100" t="s">
        <v>81</v>
      </c>
      <c r="F100" t="s">
        <v>31</v>
      </c>
      <c r="G100" t="s">
        <v>31</v>
      </c>
      <c r="H100" t="s">
        <v>31</v>
      </c>
      <c r="I100" t="s">
        <v>31</v>
      </c>
    </row>
    <row r="101" spans="1:9" x14ac:dyDescent="0.25">
      <c r="A101" t="s">
        <v>439</v>
      </c>
      <c r="B101" t="s">
        <v>247</v>
      </c>
      <c r="C101" t="s">
        <v>364</v>
      </c>
      <c r="D101" s="3">
        <v>1</v>
      </c>
      <c r="E101" t="s">
        <v>30</v>
      </c>
      <c r="F101" t="s">
        <v>237</v>
      </c>
      <c r="G101">
        <v>1</v>
      </c>
      <c r="H101">
        <v>4</v>
      </c>
      <c r="I101" t="s">
        <v>31</v>
      </c>
    </row>
    <row r="102" spans="1:9" x14ac:dyDescent="0.25">
      <c r="A102" t="s">
        <v>440</v>
      </c>
      <c r="B102" t="s">
        <v>247</v>
      </c>
      <c r="C102" t="s">
        <v>366</v>
      </c>
      <c r="D102" s="3">
        <v>14</v>
      </c>
      <c r="E102" t="s">
        <v>30</v>
      </c>
      <c r="F102" t="s">
        <v>285</v>
      </c>
      <c r="G102">
        <v>0.0001</v>
      </c>
      <c r="H102">
        <v>100000</v>
      </c>
      <c r="I102" t="s">
        <v>31</v>
      </c>
    </row>
    <row r="103" spans="1:9" x14ac:dyDescent="0.25">
      <c r="A103" t="s">
        <v>441</v>
      </c>
      <c r="B103" t="s">
        <v>247</v>
      </c>
      <c r="C103" t="s">
        <v>368</v>
      </c>
      <c r="D103" s="3" t="s">
        <v>170</v>
      </c>
      <c r="E103" t="s">
        <v>81</v>
      </c>
      <c r="F103" t="s">
        <v>31</v>
      </c>
      <c r="G103" t="s">
        <v>31</v>
      </c>
      <c r="H103" t="s">
        <v>31</v>
      </c>
      <c r="I103" t="s">
        <v>31</v>
      </c>
    </row>
    <row r="104" spans="1:9" x14ac:dyDescent="0.25">
      <c r="A104" t="s">
        <v>442</v>
      </c>
      <c r="B104" t="s">
        <v>247</v>
      </c>
      <c r="C104" t="s">
        <v>370</v>
      </c>
      <c r="D104" s="3">
        <v>2</v>
      </c>
      <c r="E104" t="s">
        <v>30</v>
      </c>
      <c r="F104" t="s">
        <v>237</v>
      </c>
      <c r="G104">
        <v>1</v>
      </c>
      <c r="H104">
        <v>4</v>
      </c>
      <c r="I104" t="s">
        <v>31</v>
      </c>
    </row>
    <row r="105" spans="1:9" x14ac:dyDescent="0.25">
      <c r="A105" t="s">
        <v>443</v>
      </c>
      <c r="B105" t="s">
        <v>247</v>
      </c>
      <c r="C105" t="s">
        <v>372</v>
      </c>
      <c r="D105" s="3">
        <v>12</v>
      </c>
      <c r="E105" t="s">
        <v>30</v>
      </c>
      <c r="F105" t="s">
        <v>285</v>
      </c>
      <c r="G105">
        <v>0.0001</v>
      </c>
      <c r="H105">
        <v>100000</v>
      </c>
      <c r="I105" t="s">
        <v>31</v>
      </c>
    </row>
    <row r="106" spans="1:9" x14ac:dyDescent="0.25">
      <c r="A106" t="s">
        <v>444</v>
      </c>
      <c r="B106" t="s">
        <v>247</v>
      </c>
      <c r="C106" t="s">
        <v>374</v>
      </c>
      <c r="D106" s="3" t="s">
        <v>173</v>
      </c>
      <c r="E106" t="s">
        <v>81</v>
      </c>
      <c r="F106" t="s">
        <v>31</v>
      </c>
      <c r="G106" t="s">
        <v>31</v>
      </c>
      <c r="H106" t="s">
        <v>31</v>
      </c>
      <c r="I106" t="s">
        <v>31</v>
      </c>
    </row>
    <row r="107" spans="1:9" x14ac:dyDescent="0.25">
      <c r="A107" t="s">
        <v>445</v>
      </c>
      <c r="B107" t="s">
        <v>247</v>
      </c>
      <c r="C107" t="s">
        <v>376</v>
      </c>
      <c r="D107" s="3">
        <v>1</v>
      </c>
      <c r="E107" t="s">
        <v>30</v>
      </c>
      <c r="F107" t="s">
        <v>237</v>
      </c>
      <c r="G107">
        <v>1</v>
      </c>
      <c r="H107">
        <v>4</v>
      </c>
      <c r="I107" t="s">
        <v>31</v>
      </c>
    </row>
    <row r="108" spans="1:9" x14ac:dyDescent="0.25">
      <c r="A108" t="s">
        <v>446</v>
      </c>
      <c r="B108" t="s">
        <v>247</v>
      </c>
      <c r="C108" t="s">
        <v>378</v>
      </c>
      <c r="D108" s="3">
        <v>2</v>
      </c>
      <c r="E108" t="s">
        <v>30</v>
      </c>
      <c r="F108" t="s">
        <v>285</v>
      </c>
      <c r="G108">
        <v>0.0001</v>
      </c>
      <c r="H108">
        <v>100000</v>
      </c>
      <c r="I108" t="s">
        <v>31</v>
      </c>
    </row>
    <row r="109" spans="1:9" x14ac:dyDescent="0.25">
      <c r="A109" t="s">
        <v>447</v>
      </c>
      <c r="B109" t="s">
        <v>247</v>
      </c>
      <c r="C109" t="s">
        <v>380</v>
      </c>
      <c r="D109" s="3" t="s">
        <v>176</v>
      </c>
      <c r="E109" t="s">
        <v>81</v>
      </c>
      <c r="F109" t="s">
        <v>31</v>
      </c>
      <c r="G109" t="s">
        <v>31</v>
      </c>
      <c r="H109" t="s">
        <v>31</v>
      </c>
      <c r="I109" t="s">
        <v>31</v>
      </c>
    </row>
    <row r="110" spans="1:9" x14ac:dyDescent="0.25">
      <c r="A110" t="s">
        <v>448</v>
      </c>
      <c r="B110" t="s">
        <v>247</v>
      </c>
      <c r="C110" t="s">
        <v>382</v>
      </c>
      <c r="D110" s="3">
        <v>1</v>
      </c>
      <c r="E110" t="s">
        <v>30</v>
      </c>
      <c r="F110" t="s">
        <v>237</v>
      </c>
      <c r="G110">
        <v>1</v>
      </c>
      <c r="H110">
        <v>4</v>
      </c>
      <c r="I110" t="s">
        <v>31</v>
      </c>
    </row>
    <row r="111" spans="1:9" x14ac:dyDescent="0.25">
      <c r="A111" t="s">
        <v>449</v>
      </c>
      <c r="B111" t="s">
        <v>247</v>
      </c>
      <c r="C111" t="s">
        <v>384</v>
      </c>
      <c r="D111" s="3">
        <v>1</v>
      </c>
      <c r="E111" t="s">
        <v>30</v>
      </c>
      <c r="F111" t="s">
        <v>285</v>
      </c>
      <c r="G111">
        <v>0.0001</v>
      </c>
      <c r="H111">
        <v>100000</v>
      </c>
      <c r="I111" t="s">
        <v>31</v>
      </c>
    </row>
    <row r="112" spans="1:9" x14ac:dyDescent="0.25">
      <c r="A112" t="s">
        <v>450</v>
      </c>
      <c r="B112" t="s">
        <v>247</v>
      </c>
      <c r="C112" t="s">
        <v>386</v>
      </c>
      <c r="D112" s="3" t="s">
        <v>161</v>
      </c>
      <c r="E112" t="s">
        <v>81</v>
      </c>
      <c r="F112" t="s">
        <v>31</v>
      </c>
      <c r="G112" t="s">
        <v>31</v>
      </c>
      <c r="H112" t="s">
        <v>31</v>
      </c>
      <c r="I112" t="s">
        <v>31</v>
      </c>
    </row>
    <row r="113" spans="1:9" x14ac:dyDescent="0.25">
      <c r="A113" t="s">
        <v>451</v>
      </c>
      <c r="B113" t="s">
        <v>247</v>
      </c>
      <c r="C113" t="s">
        <v>388</v>
      </c>
      <c r="D113" s="3">
        <v>1</v>
      </c>
      <c r="E113" t="s">
        <v>30</v>
      </c>
      <c r="F113" t="s">
        <v>237</v>
      </c>
      <c r="G113">
        <v>1</v>
      </c>
      <c r="H113">
        <v>4</v>
      </c>
      <c r="I113" t="s">
        <v>31</v>
      </c>
    </row>
    <row r="114" spans="1:9" x14ac:dyDescent="0.25">
      <c r="A114" t="s">
        <v>452</v>
      </c>
      <c r="B114" t="s">
        <v>247</v>
      </c>
      <c r="C114" t="s">
        <v>390</v>
      </c>
      <c r="D114" s="3">
        <v>1</v>
      </c>
      <c r="E114" t="s">
        <v>30</v>
      </c>
      <c r="F114" t="s">
        <v>285</v>
      </c>
      <c r="G114">
        <v>0.0001</v>
      </c>
      <c r="H114">
        <v>100000</v>
      </c>
      <c r="I114" t="s">
        <v>31</v>
      </c>
    </row>
    <row r="115" spans="1:9" x14ac:dyDescent="0.25">
      <c r="A115" t="s">
        <v>453</v>
      </c>
      <c r="B115" t="s">
        <v>247</v>
      </c>
      <c r="C115" t="s">
        <v>392</v>
      </c>
      <c r="D115" s="3" t="s">
        <v>182</v>
      </c>
      <c r="E115" t="s">
        <v>81</v>
      </c>
      <c r="F115" t="s">
        <v>31</v>
      </c>
      <c r="G115" t="s">
        <v>31</v>
      </c>
      <c r="H115" t="s">
        <v>31</v>
      </c>
      <c r="I115" t="s">
        <v>31</v>
      </c>
    </row>
    <row r="116" spans="1:9" x14ac:dyDescent="0.25">
      <c r="A116" t="s">
        <v>454</v>
      </c>
      <c r="B116" t="s">
        <v>247</v>
      </c>
      <c r="C116" t="s">
        <v>394</v>
      </c>
      <c r="D116" s="3">
        <v>1</v>
      </c>
      <c r="E116" t="s">
        <v>30</v>
      </c>
      <c r="F116" t="s">
        <v>237</v>
      </c>
      <c r="G116">
        <v>1</v>
      </c>
      <c r="H116">
        <v>4</v>
      </c>
      <c r="I116" t="s">
        <v>31</v>
      </c>
    </row>
    <row r="117" spans="1:9" x14ac:dyDescent="0.25">
      <c r="A117" t="s">
        <v>455</v>
      </c>
      <c r="B117" t="s">
        <v>247</v>
      </c>
      <c r="C117" t="s">
        <v>396</v>
      </c>
      <c r="D117" s="3">
        <v>4</v>
      </c>
      <c r="E117" t="s">
        <v>30</v>
      </c>
      <c r="F117" t="s">
        <v>285</v>
      </c>
      <c r="G117">
        <v>0.0001</v>
      </c>
      <c r="H117">
        <v>100000</v>
      </c>
      <c r="I117" t="s">
        <v>31</v>
      </c>
    </row>
    <row r="118" spans="1:9" x14ac:dyDescent="0.25">
      <c r="A118" t="s">
        <v>456</v>
      </c>
      <c r="B118" t="s">
        <v>258</v>
      </c>
      <c r="C118" t="s">
        <v>280</v>
      </c>
      <c r="D118" s="3" t="s">
        <v>159</v>
      </c>
      <c r="E118" t="s">
        <v>81</v>
      </c>
      <c r="F118" t="s">
        <v>31</v>
      </c>
      <c r="G118" t="s">
        <v>31</v>
      </c>
      <c r="H118" t="s">
        <v>31</v>
      </c>
      <c r="I118" t="s">
        <v>31</v>
      </c>
    </row>
    <row r="119" spans="1:9" x14ac:dyDescent="0.25">
      <c r="A119" t="s">
        <v>457</v>
      </c>
      <c r="B119" t="s">
        <v>258</v>
      </c>
      <c r="C119" t="s">
        <v>282</v>
      </c>
      <c r="D119" s="3">
        <v>1</v>
      </c>
      <c r="E119" t="s">
        <v>30</v>
      </c>
      <c r="F119" t="s">
        <v>237</v>
      </c>
      <c r="G119">
        <v>1</v>
      </c>
      <c r="H119">
        <v>4</v>
      </c>
      <c r="I119" t="s">
        <v>31</v>
      </c>
    </row>
    <row r="120" spans="1:9" x14ac:dyDescent="0.25">
      <c r="A120" t="s">
        <v>458</v>
      </c>
      <c r="B120" t="s">
        <v>258</v>
      </c>
      <c r="C120" t="s">
        <v>284</v>
      </c>
      <c r="D120" s="3">
        <v>11</v>
      </c>
      <c r="E120" t="s">
        <v>30</v>
      </c>
      <c r="F120" t="s">
        <v>285</v>
      </c>
      <c r="G120">
        <v>0.0001</v>
      </c>
      <c r="H120">
        <v>100000</v>
      </c>
      <c r="I120" t="s">
        <v>31</v>
      </c>
    </row>
    <row r="121" spans="1:9" x14ac:dyDescent="0.25">
      <c r="A121" t="s">
        <v>459</v>
      </c>
      <c r="B121" t="s">
        <v>258</v>
      </c>
      <c r="C121" t="s">
        <v>287</v>
      </c>
      <c r="D121" s="3" t="s">
        <v>159</v>
      </c>
      <c r="E121" t="s">
        <v>81</v>
      </c>
      <c r="F121" t="s">
        <v>31</v>
      </c>
      <c r="G121" t="s">
        <v>31</v>
      </c>
      <c r="H121" t="s">
        <v>31</v>
      </c>
      <c r="I121" t="s">
        <v>31</v>
      </c>
    </row>
    <row r="122" spans="1:9" x14ac:dyDescent="0.25">
      <c r="A122" t="s">
        <v>460</v>
      </c>
      <c r="B122" t="s">
        <v>258</v>
      </c>
      <c r="C122" t="s">
        <v>289</v>
      </c>
      <c r="D122" s="3">
        <v>2</v>
      </c>
      <c r="E122" t="s">
        <v>30</v>
      </c>
      <c r="F122" t="s">
        <v>237</v>
      </c>
      <c r="G122">
        <v>1</v>
      </c>
      <c r="H122">
        <v>4</v>
      </c>
      <c r="I122" t="s">
        <v>31</v>
      </c>
    </row>
    <row r="123" spans="1:9" x14ac:dyDescent="0.25">
      <c r="A123" t="s">
        <v>461</v>
      </c>
      <c r="B123" t="s">
        <v>258</v>
      </c>
      <c r="C123" t="s">
        <v>291</v>
      </c>
      <c r="D123" s="3">
        <v>10</v>
      </c>
      <c r="E123" t="s">
        <v>30</v>
      </c>
      <c r="F123" t="s">
        <v>285</v>
      </c>
      <c r="G123">
        <v>0.0001</v>
      </c>
      <c r="H123">
        <v>100000</v>
      </c>
      <c r="I123" t="s">
        <v>31</v>
      </c>
    </row>
    <row r="124" spans="1:9" x14ac:dyDescent="0.25">
      <c r="A124" t="s">
        <v>462</v>
      </c>
      <c r="B124" t="s">
        <v>258</v>
      </c>
      <c r="C124" t="s">
        <v>293</v>
      </c>
      <c r="D124" s="3" t="s">
        <v>159</v>
      </c>
      <c r="E124" t="s">
        <v>81</v>
      </c>
      <c r="F124" t="s">
        <v>31</v>
      </c>
      <c r="G124" t="s">
        <v>31</v>
      </c>
      <c r="H124" t="s">
        <v>31</v>
      </c>
      <c r="I124" t="s">
        <v>31</v>
      </c>
    </row>
    <row r="125" spans="1:9" x14ac:dyDescent="0.25">
      <c r="A125" t="s">
        <v>463</v>
      </c>
      <c r="B125" t="s">
        <v>258</v>
      </c>
      <c r="C125" t="s">
        <v>295</v>
      </c>
      <c r="D125" s="3">
        <v>3</v>
      </c>
      <c r="E125" t="s">
        <v>30</v>
      </c>
      <c r="F125" t="s">
        <v>237</v>
      </c>
      <c r="G125">
        <v>1</v>
      </c>
      <c r="H125">
        <v>4</v>
      </c>
      <c r="I125" t="s">
        <v>31</v>
      </c>
    </row>
    <row r="126" spans="1:9" x14ac:dyDescent="0.25">
      <c r="A126" t="s">
        <v>464</v>
      </c>
      <c r="B126" t="s">
        <v>258</v>
      </c>
      <c r="C126" t="s">
        <v>297</v>
      </c>
      <c r="D126" s="3">
        <v>3</v>
      </c>
      <c r="E126" t="s">
        <v>30</v>
      </c>
      <c r="F126" t="s">
        <v>285</v>
      </c>
      <c r="G126">
        <v>0.0001</v>
      </c>
      <c r="H126">
        <v>100000</v>
      </c>
      <c r="I126" t="s">
        <v>31</v>
      </c>
    </row>
    <row r="127" spans="1:9" x14ac:dyDescent="0.25">
      <c r="A127" t="s">
        <v>465</v>
      </c>
      <c r="B127" t="s">
        <v>258</v>
      </c>
      <c r="C127" t="s">
        <v>299</v>
      </c>
      <c r="D127" s="3" t="s">
        <v>164</v>
      </c>
      <c r="E127" t="s">
        <v>81</v>
      </c>
      <c r="F127" t="s">
        <v>31</v>
      </c>
      <c r="G127" t="s">
        <v>31</v>
      </c>
      <c r="H127" t="s">
        <v>31</v>
      </c>
      <c r="I127" t="s">
        <v>31</v>
      </c>
    </row>
    <row r="128" spans="1:9" x14ac:dyDescent="0.25">
      <c r="A128" t="s">
        <v>466</v>
      </c>
      <c r="B128" t="s">
        <v>258</v>
      </c>
      <c r="C128" t="s">
        <v>301</v>
      </c>
      <c r="D128" s="3">
        <v>1</v>
      </c>
      <c r="E128" t="s">
        <v>30</v>
      </c>
      <c r="F128" t="s">
        <v>237</v>
      </c>
      <c r="G128">
        <v>1</v>
      </c>
      <c r="H128">
        <v>4</v>
      </c>
      <c r="I128" t="s">
        <v>31</v>
      </c>
    </row>
    <row r="129" spans="1:9" x14ac:dyDescent="0.25">
      <c r="A129" t="s">
        <v>467</v>
      </c>
      <c r="B129" t="s">
        <v>258</v>
      </c>
      <c r="C129" t="s">
        <v>303</v>
      </c>
      <c r="D129" s="3">
        <v>2</v>
      </c>
      <c r="E129" t="s">
        <v>30</v>
      </c>
      <c r="F129" t="s">
        <v>285</v>
      </c>
      <c r="G129">
        <v>0.0001</v>
      </c>
      <c r="H129">
        <v>100000</v>
      </c>
      <c r="I129" t="s">
        <v>31</v>
      </c>
    </row>
    <row r="130" spans="1:9" x14ac:dyDescent="0.25">
      <c r="A130" t="s">
        <v>468</v>
      </c>
      <c r="B130" t="s">
        <v>258</v>
      </c>
      <c r="C130" t="s">
        <v>305</v>
      </c>
      <c r="D130" s="3" t="s">
        <v>173</v>
      </c>
      <c r="E130" t="s">
        <v>81</v>
      </c>
      <c r="F130" t="s">
        <v>31</v>
      </c>
      <c r="G130" t="s">
        <v>31</v>
      </c>
      <c r="H130" t="s">
        <v>31</v>
      </c>
      <c r="I130" t="s">
        <v>31</v>
      </c>
    </row>
    <row r="131" spans="1:9" x14ac:dyDescent="0.25">
      <c r="A131" t="s">
        <v>469</v>
      </c>
      <c r="B131" t="s">
        <v>258</v>
      </c>
      <c r="C131" t="s">
        <v>307</v>
      </c>
      <c r="D131" s="3">
        <v>1</v>
      </c>
      <c r="E131" t="s">
        <v>30</v>
      </c>
      <c r="F131" t="s">
        <v>237</v>
      </c>
      <c r="G131">
        <v>1</v>
      </c>
      <c r="H131">
        <v>4</v>
      </c>
      <c r="I131" t="s">
        <v>31</v>
      </c>
    </row>
    <row r="132" spans="1:9" x14ac:dyDescent="0.25">
      <c r="A132" t="s">
        <v>470</v>
      </c>
      <c r="B132" t="s">
        <v>258</v>
      </c>
      <c r="C132" t="s">
        <v>309</v>
      </c>
      <c r="D132" s="3">
        <v>1</v>
      </c>
      <c r="E132" t="s">
        <v>30</v>
      </c>
      <c r="F132" t="s">
        <v>285</v>
      </c>
      <c r="G132">
        <v>0.0001</v>
      </c>
      <c r="H132">
        <v>100000</v>
      </c>
      <c r="I132" t="s">
        <v>31</v>
      </c>
    </row>
    <row r="133" spans="1:9" x14ac:dyDescent="0.25">
      <c r="A133" t="s">
        <v>471</v>
      </c>
      <c r="B133" t="s">
        <v>258</v>
      </c>
      <c r="C133" t="s">
        <v>311</v>
      </c>
      <c r="D133" s="3" t="s">
        <v>182</v>
      </c>
      <c r="E133" t="s">
        <v>81</v>
      </c>
      <c r="F133" t="s">
        <v>31</v>
      </c>
      <c r="G133" t="s">
        <v>31</v>
      </c>
      <c r="H133" t="s">
        <v>31</v>
      </c>
      <c r="I133" t="s">
        <v>31</v>
      </c>
    </row>
    <row r="134" spans="1:9" x14ac:dyDescent="0.25">
      <c r="A134" t="s">
        <v>472</v>
      </c>
      <c r="B134" t="s">
        <v>258</v>
      </c>
      <c r="C134" t="s">
        <v>313</v>
      </c>
      <c r="D134" s="3">
        <v>1</v>
      </c>
      <c r="E134" t="s">
        <v>30</v>
      </c>
      <c r="F134" t="s">
        <v>237</v>
      </c>
      <c r="G134">
        <v>1</v>
      </c>
      <c r="H134">
        <v>4</v>
      </c>
      <c r="I134" t="s">
        <v>31</v>
      </c>
    </row>
    <row r="135" spans="1:9" x14ac:dyDescent="0.25">
      <c r="A135" t="s">
        <v>473</v>
      </c>
      <c r="B135" t="s">
        <v>258</v>
      </c>
      <c r="C135" t="s">
        <v>315</v>
      </c>
      <c r="D135" s="3">
        <v>4</v>
      </c>
      <c r="E135" t="s">
        <v>30</v>
      </c>
      <c r="F135" t="s">
        <v>285</v>
      </c>
      <c r="G135">
        <v>0.0001</v>
      </c>
      <c r="H135">
        <v>100000</v>
      </c>
      <c r="I135" t="s">
        <v>31</v>
      </c>
    </row>
    <row r="136" spans="1:9" x14ac:dyDescent="0.25">
      <c r="A136" t="s">
        <v>474</v>
      </c>
      <c r="B136" t="s">
        <v>258</v>
      </c>
      <c r="C136" t="s">
        <v>317</v>
      </c>
      <c r="D136" s="3" t="s">
        <v>159</v>
      </c>
      <c r="E136" t="s">
        <v>81</v>
      </c>
      <c r="F136" t="s">
        <v>31</v>
      </c>
      <c r="G136" t="s">
        <v>31</v>
      </c>
      <c r="H136" t="s">
        <v>31</v>
      </c>
      <c r="I136" t="s">
        <v>31</v>
      </c>
    </row>
    <row r="137" spans="1:9" x14ac:dyDescent="0.25">
      <c r="A137" t="s">
        <v>475</v>
      </c>
      <c r="B137" t="s">
        <v>258</v>
      </c>
      <c r="C137" t="s">
        <v>319</v>
      </c>
      <c r="D137" s="3">
        <v>1</v>
      </c>
      <c r="E137" t="s">
        <v>30</v>
      </c>
      <c r="F137" t="s">
        <v>237</v>
      </c>
      <c r="G137">
        <v>1</v>
      </c>
      <c r="H137">
        <v>4</v>
      </c>
      <c r="I137" t="s">
        <v>31</v>
      </c>
    </row>
    <row r="138" spans="1:9" x14ac:dyDescent="0.25">
      <c r="A138" t="s">
        <v>476</v>
      </c>
      <c r="B138" t="s">
        <v>258</v>
      </c>
      <c r="C138" t="s">
        <v>321</v>
      </c>
      <c r="D138" s="3">
        <v>11</v>
      </c>
      <c r="E138" t="s">
        <v>30</v>
      </c>
      <c r="F138" t="s">
        <v>285</v>
      </c>
      <c r="G138">
        <v>0.0001</v>
      </c>
      <c r="H138">
        <v>100000</v>
      </c>
      <c r="I138" t="s">
        <v>31</v>
      </c>
    </row>
    <row r="139" spans="1:9" x14ac:dyDescent="0.25">
      <c r="A139" t="s">
        <v>477</v>
      </c>
      <c r="B139" t="s">
        <v>258</v>
      </c>
      <c r="C139" t="s">
        <v>323</v>
      </c>
      <c r="D139" s="3" t="s">
        <v>159</v>
      </c>
      <c r="E139" t="s">
        <v>81</v>
      </c>
      <c r="F139" t="s">
        <v>31</v>
      </c>
      <c r="G139" t="s">
        <v>31</v>
      </c>
      <c r="H139" t="s">
        <v>31</v>
      </c>
      <c r="I139" t="s">
        <v>31</v>
      </c>
    </row>
    <row r="140" spans="1:9" x14ac:dyDescent="0.25">
      <c r="A140" t="s">
        <v>478</v>
      </c>
      <c r="B140" t="s">
        <v>258</v>
      </c>
      <c r="C140" t="s">
        <v>325</v>
      </c>
      <c r="D140" s="3">
        <v>2</v>
      </c>
      <c r="E140" t="s">
        <v>30</v>
      </c>
      <c r="F140" t="s">
        <v>237</v>
      </c>
      <c r="G140">
        <v>1</v>
      </c>
      <c r="H140">
        <v>4</v>
      </c>
      <c r="I140" t="s">
        <v>31</v>
      </c>
    </row>
    <row r="141" spans="1:9" x14ac:dyDescent="0.25">
      <c r="A141" t="s">
        <v>479</v>
      </c>
      <c r="B141" t="s">
        <v>258</v>
      </c>
      <c r="C141" t="s">
        <v>327</v>
      </c>
      <c r="D141" s="3">
        <v>10</v>
      </c>
      <c r="E141" t="s">
        <v>30</v>
      </c>
      <c r="F141" t="s">
        <v>285</v>
      </c>
      <c r="G141">
        <v>0.0001</v>
      </c>
      <c r="H141">
        <v>100000</v>
      </c>
      <c r="I141" t="s">
        <v>31</v>
      </c>
    </row>
    <row r="142" spans="1:9" x14ac:dyDescent="0.25">
      <c r="A142" t="s">
        <v>480</v>
      </c>
      <c r="B142" t="s">
        <v>258</v>
      </c>
      <c r="C142" t="s">
        <v>329</v>
      </c>
      <c r="D142" s="3" t="s">
        <v>159</v>
      </c>
      <c r="E142" t="s">
        <v>81</v>
      </c>
      <c r="F142" t="s">
        <v>31</v>
      </c>
      <c r="G142" t="s">
        <v>31</v>
      </c>
      <c r="H142" t="s">
        <v>31</v>
      </c>
      <c r="I142" t="s">
        <v>31</v>
      </c>
    </row>
    <row r="143" spans="1:9" x14ac:dyDescent="0.25">
      <c r="A143" t="s">
        <v>481</v>
      </c>
      <c r="B143" t="s">
        <v>258</v>
      </c>
      <c r="C143" t="s">
        <v>331</v>
      </c>
      <c r="D143" s="3">
        <v>3</v>
      </c>
      <c r="E143" t="s">
        <v>30</v>
      </c>
      <c r="F143" t="s">
        <v>237</v>
      </c>
      <c r="G143">
        <v>1</v>
      </c>
      <c r="H143">
        <v>4</v>
      </c>
      <c r="I143" t="s">
        <v>31</v>
      </c>
    </row>
    <row r="144" spans="1:9" x14ac:dyDescent="0.25">
      <c r="A144" t="s">
        <v>482</v>
      </c>
      <c r="B144" t="s">
        <v>258</v>
      </c>
      <c r="C144" t="s">
        <v>333</v>
      </c>
      <c r="D144" s="3">
        <v>3</v>
      </c>
      <c r="E144" t="s">
        <v>30</v>
      </c>
      <c r="F144" t="s">
        <v>285</v>
      </c>
      <c r="G144">
        <v>0.0001</v>
      </c>
      <c r="H144">
        <v>100000</v>
      </c>
      <c r="I144" t="s">
        <v>31</v>
      </c>
    </row>
    <row r="145" spans="1:9" x14ac:dyDescent="0.25">
      <c r="A145" t="s">
        <v>483</v>
      </c>
      <c r="B145" t="s">
        <v>258</v>
      </c>
      <c r="C145" t="s">
        <v>335</v>
      </c>
      <c r="D145" s="3" t="s">
        <v>164</v>
      </c>
      <c r="E145" t="s">
        <v>81</v>
      </c>
      <c r="F145" t="s">
        <v>31</v>
      </c>
      <c r="G145" t="s">
        <v>31</v>
      </c>
      <c r="H145" t="s">
        <v>31</v>
      </c>
      <c r="I145" t="s">
        <v>31</v>
      </c>
    </row>
    <row r="146" spans="1:9" x14ac:dyDescent="0.25">
      <c r="A146" t="s">
        <v>484</v>
      </c>
      <c r="B146" t="s">
        <v>258</v>
      </c>
      <c r="C146" t="s">
        <v>337</v>
      </c>
      <c r="D146" s="3">
        <v>1</v>
      </c>
      <c r="E146" t="s">
        <v>30</v>
      </c>
      <c r="F146" t="s">
        <v>237</v>
      </c>
      <c r="G146">
        <v>1</v>
      </c>
      <c r="H146">
        <v>4</v>
      </c>
      <c r="I146" t="s">
        <v>31</v>
      </c>
    </row>
    <row r="147" spans="1:9" x14ac:dyDescent="0.25">
      <c r="A147" t="s">
        <v>485</v>
      </c>
      <c r="B147" t="s">
        <v>258</v>
      </c>
      <c r="C147" t="s">
        <v>339</v>
      </c>
      <c r="D147" s="3">
        <v>2</v>
      </c>
      <c r="E147" t="s">
        <v>30</v>
      </c>
      <c r="F147" t="s">
        <v>285</v>
      </c>
      <c r="G147">
        <v>0.0001</v>
      </c>
      <c r="H147">
        <v>100000</v>
      </c>
      <c r="I147" t="s">
        <v>31</v>
      </c>
    </row>
    <row r="148" spans="1:9" x14ac:dyDescent="0.25">
      <c r="A148" t="s">
        <v>486</v>
      </c>
      <c r="B148" t="s">
        <v>258</v>
      </c>
      <c r="C148" t="s">
        <v>341</v>
      </c>
      <c r="D148" s="3" t="s">
        <v>173</v>
      </c>
      <c r="E148" t="s">
        <v>81</v>
      </c>
      <c r="F148" t="s">
        <v>31</v>
      </c>
      <c r="G148" t="s">
        <v>31</v>
      </c>
      <c r="H148" t="s">
        <v>31</v>
      </c>
      <c r="I148" t="s">
        <v>31</v>
      </c>
    </row>
    <row r="149" spans="1:9" x14ac:dyDescent="0.25">
      <c r="A149" t="s">
        <v>487</v>
      </c>
      <c r="B149" t="s">
        <v>258</v>
      </c>
      <c r="C149" t="s">
        <v>343</v>
      </c>
      <c r="D149" s="3">
        <v>1</v>
      </c>
      <c r="E149" t="s">
        <v>30</v>
      </c>
      <c r="F149" t="s">
        <v>237</v>
      </c>
      <c r="G149">
        <v>1</v>
      </c>
      <c r="H149">
        <v>4</v>
      </c>
      <c r="I149" t="s">
        <v>31</v>
      </c>
    </row>
    <row r="150" spans="1:9" x14ac:dyDescent="0.25">
      <c r="A150" t="s">
        <v>488</v>
      </c>
      <c r="B150" t="s">
        <v>258</v>
      </c>
      <c r="C150" t="s">
        <v>345</v>
      </c>
      <c r="D150" s="3">
        <v>1</v>
      </c>
      <c r="E150" t="s">
        <v>30</v>
      </c>
      <c r="F150" t="s">
        <v>285</v>
      </c>
      <c r="G150">
        <v>0.0001</v>
      </c>
      <c r="H150">
        <v>100000</v>
      </c>
      <c r="I150" t="s">
        <v>31</v>
      </c>
    </row>
    <row r="151" spans="1:9" x14ac:dyDescent="0.25">
      <c r="A151" t="s">
        <v>489</v>
      </c>
      <c r="B151" t="s">
        <v>258</v>
      </c>
      <c r="C151" t="s">
        <v>347</v>
      </c>
      <c r="D151" s="3" t="s">
        <v>182</v>
      </c>
      <c r="E151" t="s">
        <v>81</v>
      </c>
      <c r="F151" t="s">
        <v>31</v>
      </c>
      <c r="G151" t="s">
        <v>31</v>
      </c>
      <c r="H151" t="s">
        <v>31</v>
      </c>
      <c r="I151" t="s">
        <v>31</v>
      </c>
    </row>
    <row r="152" spans="1:9" x14ac:dyDescent="0.25">
      <c r="A152" t="s">
        <v>490</v>
      </c>
      <c r="B152" t="s">
        <v>258</v>
      </c>
      <c r="C152" t="s">
        <v>349</v>
      </c>
      <c r="D152" s="3">
        <v>1</v>
      </c>
      <c r="E152" t="s">
        <v>30</v>
      </c>
      <c r="F152" t="s">
        <v>237</v>
      </c>
      <c r="G152">
        <v>1</v>
      </c>
      <c r="H152">
        <v>4</v>
      </c>
      <c r="I152" t="s">
        <v>31</v>
      </c>
    </row>
    <row r="153" spans="1:9" x14ac:dyDescent="0.25">
      <c r="A153" t="s">
        <v>491</v>
      </c>
      <c r="B153" t="s">
        <v>258</v>
      </c>
      <c r="C153" t="s">
        <v>351</v>
      </c>
      <c r="D153" s="3">
        <v>4</v>
      </c>
      <c r="E153" t="s">
        <v>30</v>
      </c>
      <c r="F153" t="s">
        <v>285</v>
      </c>
      <c r="G153">
        <v>0.0001</v>
      </c>
      <c r="H153">
        <v>100000</v>
      </c>
      <c r="I153" t="s">
        <v>31</v>
      </c>
    </row>
    <row r="154" spans="1:9" x14ac:dyDescent="0.25">
      <c r="A154" t="s">
        <v>492</v>
      </c>
      <c r="B154" t="s">
        <v>258</v>
      </c>
      <c r="C154" t="s">
        <v>353</v>
      </c>
      <c r="D154" s="3" t="s">
        <v>179</v>
      </c>
      <c r="E154" t="s">
        <v>81</v>
      </c>
      <c r="F154" t="s">
        <v>31</v>
      </c>
      <c r="G154" t="s">
        <v>31</v>
      </c>
      <c r="H154" t="s">
        <v>31</v>
      </c>
      <c r="I154" t="s">
        <v>31</v>
      </c>
    </row>
    <row r="155" spans="1:9" x14ac:dyDescent="0.25">
      <c r="A155" t="s">
        <v>493</v>
      </c>
      <c r="B155" t="s">
        <v>258</v>
      </c>
      <c r="C155" t="s">
        <v>355</v>
      </c>
      <c r="D155" s="3">
        <v>1</v>
      </c>
      <c r="E155" t="s">
        <v>30</v>
      </c>
      <c r="F155" t="s">
        <v>237</v>
      </c>
      <c r="G155">
        <v>1</v>
      </c>
      <c r="H155">
        <v>4</v>
      </c>
      <c r="I155" t="s">
        <v>31</v>
      </c>
    </row>
    <row r="156" spans="1:9" x14ac:dyDescent="0.25">
      <c r="A156" t="s">
        <v>494</v>
      </c>
      <c r="B156" t="s">
        <v>258</v>
      </c>
      <c r="C156" t="s">
        <v>357</v>
      </c>
      <c r="D156" s="3">
        <v>3</v>
      </c>
      <c r="E156" t="s">
        <v>30</v>
      </c>
      <c r="F156" t="s">
        <v>285</v>
      </c>
      <c r="G156">
        <v>0.0001</v>
      </c>
      <c r="H156">
        <v>100000</v>
      </c>
      <c r="I156" t="s">
        <v>31</v>
      </c>
    </row>
    <row r="157" spans="1:9" x14ac:dyDescent="0.25">
      <c r="A157" t="s">
        <v>495</v>
      </c>
      <c r="B157" t="s">
        <v>258</v>
      </c>
      <c r="C157" t="s">
        <v>359</v>
      </c>
      <c r="D157" s="3" t="s">
        <v>496</v>
      </c>
      <c r="E157" t="s">
        <v>81</v>
      </c>
      <c r="F157" t="s">
        <v>31</v>
      </c>
      <c r="G157" t="s">
        <v>31</v>
      </c>
      <c r="H157" t="s">
        <v>31</v>
      </c>
      <c r="I157" t="s">
        <v>31</v>
      </c>
    </row>
    <row r="158" spans="1:9" x14ac:dyDescent="0.25">
      <c r="A158" t="s">
        <v>497</v>
      </c>
      <c r="B158" t="s">
        <v>258</v>
      </c>
      <c r="C158" t="s">
        <v>362</v>
      </c>
      <c r="D158" s="3" t="s">
        <v>159</v>
      </c>
      <c r="E158" t="s">
        <v>81</v>
      </c>
      <c r="F158" t="s">
        <v>31</v>
      </c>
      <c r="G158" t="s">
        <v>31</v>
      </c>
      <c r="H158" t="s">
        <v>31</v>
      </c>
      <c r="I158" t="s">
        <v>31</v>
      </c>
    </row>
    <row r="159" spans="1:9" x14ac:dyDescent="0.25">
      <c r="A159" t="s">
        <v>498</v>
      </c>
      <c r="B159" t="s">
        <v>258</v>
      </c>
      <c r="C159" t="s">
        <v>364</v>
      </c>
      <c r="D159" s="3">
        <v>1</v>
      </c>
      <c r="E159" t="s">
        <v>30</v>
      </c>
      <c r="F159" t="s">
        <v>237</v>
      </c>
      <c r="G159">
        <v>1</v>
      </c>
      <c r="H159">
        <v>4</v>
      </c>
      <c r="I159" t="s">
        <v>31</v>
      </c>
    </row>
    <row r="160" spans="1:9" x14ac:dyDescent="0.25">
      <c r="A160" t="s">
        <v>499</v>
      </c>
      <c r="B160" t="s">
        <v>258</v>
      </c>
      <c r="C160" t="s">
        <v>366</v>
      </c>
      <c r="D160" s="3">
        <v>11</v>
      </c>
      <c r="E160" t="s">
        <v>30</v>
      </c>
      <c r="F160" t="s">
        <v>285</v>
      </c>
      <c r="G160">
        <v>0.0001</v>
      </c>
      <c r="H160">
        <v>100000</v>
      </c>
      <c r="I160" t="s">
        <v>31</v>
      </c>
    </row>
    <row r="161" spans="1:9" x14ac:dyDescent="0.25">
      <c r="A161" t="s">
        <v>500</v>
      </c>
      <c r="B161" t="s">
        <v>258</v>
      </c>
      <c r="C161" t="s">
        <v>368</v>
      </c>
      <c r="D161" s="3" t="s">
        <v>159</v>
      </c>
      <c r="E161" t="s">
        <v>81</v>
      </c>
      <c r="F161" t="s">
        <v>31</v>
      </c>
      <c r="G161" t="s">
        <v>31</v>
      </c>
      <c r="H161" t="s">
        <v>31</v>
      </c>
      <c r="I161" t="s">
        <v>31</v>
      </c>
    </row>
    <row r="162" spans="1:9" x14ac:dyDescent="0.25">
      <c r="A162" t="s">
        <v>501</v>
      </c>
      <c r="B162" t="s">
        <v>258</v>
      </c>
      <c r="C162" t="s">
        <v>370</v>
      </c>
      <c r="D162" s="3">
        <v>2</v>
      </c>
      <c r="E162" t="s">
        <v>30</v>
      </c>
      <c r="F162" t="s">
        <v>237</v>
      </c>
      <c r="G162">
        <v>1</v>
      </c>
      <c r="H162">
        <v>4</v>
      </c>
      <c r="I162" t="s">
        <v>31</v>
      </c>
    </row>
    <row r="163" spans="1:9" x14ac:dyDescent="0.25">
      <c r="A163" t="s">
        <v>502</v>
      </c>
      <c r="B163" t="s">
        <v>258</v>
      </c>
      <c r="C163" t="s">
        <v>372</v>
      </c>
      <c r="D163" s="3">
        <v>10</v>
      </c>
      <c r="E163" t="s">
        <v>30</v>
      </c>
      <c r="F163" t="s">
        <v>285</v>
      </c>
      <c r="G163">
        <v>0.0001</v>
      </c>
      <c r="H163">
        <v>100000</v>
      </c>
      <c r="I163" t="s">
        <v>31</v>
      </c>
    </row>
    <row r="164" spans="1:9" x14ac:dyDescent="0.25">
      <c r="A164" t="s">
        <v>503</v>
      </c>
      <c r="B164" t="s">
        <v>258</v>
      </c>
      <c r="C164" t="s">
        <v>374</v>
      </c>
      <c r="D164" s="3" t="s">
        <v>159</v>
      </c>
      <c r="E164" t="s">
        <v>81</v>
      </c>
      <c r="F164" t="s">
        <v>31</v>
      </c>
      <c r="G164" t="s">
        <v>31</v>
      </c>
      <c r="H164" t="s">
        <v>31</v>
      </c>
      <c r="I164" t="s">
        <v>31</v>
      </c>
    </row>
    <row r="165" spans="1:9" x14ac:dyDescent="0.25">
      <c r="A165" t="s">
        <v>504</v>
      </c>
      <c r="B165" t="s">
        <v>258</v>
      </c>
      <c r="C165" t="s">
        <v>376</v>
      </c>
      <c r="D165" s="3">
        <v>3</v>
      </c>
      <c r="E165" t="s">
        <v>30</v>
      </c>
      <c r="F165" t="s">
        <v>237</v>
      </c>
      <c r="G165">
        <v>1</v>
      </c>
      <c r="H165">
        <v>4</v>
      </c>
      <c r="I165" t="s">
        <v>31</v>
      </c>
    </row>
    <row r="166" spans="1:9" x14ac:dyDescent="0.25">
      <c r="A166" t="s">
        <v>505</v>
      </c>
      <c r="B166" t="s">
        <v>258</v>
      </c>
      <c r="C166" t="s">
        <v>378</v>
      </c>
      <c r="D166" s="3">
        <v>3</v>
      </c>
      <c r="E166" t="s">
        <v>30</v>
      </c>
      <c r="F166" t="s">
        <v>285</v>
      </c>
      <c r="G166">
        <v>0.0001</v>
      </c>
      <c r="H166">
        <v>100000</v>
      </c>
      <c r="I166" t="s">
        <v>31</v>
      </c>
    </row>
    <row r="167" spans="1:9" x14ac:dyDescent="0.25">
      <c r="A167" t="s">
        <v>506</v>
      </c>
      <c r="B167" t="s">
        <v>258</v>
      </c>
      <c r="C167" t="s">
        <v>380</v>
      </c>
      <c r="D167" s="3" t="s">
        <v>164</v>
      </c>
      <c r="E167" t="s">
        <v>81</v>
      </c>
      <c r="F167" t="s">
        <v>31</v>
      </c>
      <c r="G167" t="s">
        <v>31</v>
      </c>
      <c r="H167" t="s">
        <v>31</v>
      </c>
      <c r="I167" t="s">
        <v>31</v>
      </c>
    </row>
    <row r="168" spans="1:9" x14ac:dyDescent="0.25">
      <c r="A168" t="s">
        <v>507</v>
      </c>
      <c r="B168" t="s">
        <v>258</v>
      </c>
      <c r="C168" t="s">
        <v>382</v>
      </c>
      <c r="D168" s="3">
        <v>1</v>
      </c>
      <c r="E168" t="s">
        <v>30</v>
      </c>
      <c r="F168" t="s">
        <v>237</v>
      </c>
      <c r="G168">
        <v>1</v>
      </c>
      <c r="H168">
        <v>4</v>
      </c>
      <c r="I168" t="s">
        <v>31</v>
      </c>
    </row>
    <row r="169" spans="1:9" x14ac:dyDescent="0.25">
      <c r="A169" t="s">
        <v>508</v>
      </c>
      <c r="B169" t="s">
        <v>258</v>
      </c>
      <c r="C169" t="s">
        <v>384</v>
      </c>
      <c r="D169" s="3">
        <v>2</v>
      </c>
      <c r="E169" t="s">
        <v>30</v>
      </c>
      <c r="F169" t="s">
        <v>285</v>
      </c>
      <c r="G169">
        <v>0.0001</v>
      </c>
      <c r="H169">
        <v>100000</v>
      </c>
      <c r="I169" t="s">
        <v>31</v>
      </c>
    </row>
    <row r="170" spans="1:9" x14ac:dyDescent="0.25">
      <c r="A170" t="s">
        <v>509</v>
      </c>
      <c r="B170" t="s">
        <v>258</v>
      </c>
      <c r="C170" t="s">
        <v>386</v>
      </c>
      <c r="D170" s="3" t="s">
        <v>173</v>
      </c>
      <c r="E170" t="s">
        <v>81</v>
      </c>
      <c r="F170" t="s">
        <v>31</v>
      </c>
      <c r="G170" t="s">
        <v>31</v>
      </c>
      <c r="H170" t="s">
        <v>31</v>
      </c>
      <c r="I170" t="s">
        <v>31</v>
      </c>
    </row>
    <row r="171" spans="1:9" x14ac:dyDescent="0.25">
      <c r="A171" t="s">
        <v>510</v>
      </c>
      <c r="B171" t="s">
        <v>258</v>
      </c>
      <c r="C171" t="s">
        <v>388</v>
      </c>
      <c r="D171" s="3">
        <v>1</v>
      </c>
      <c r="E171" t="s">
        <v>30</v>
      </c>
      <c r="F171" t="s">
        <v>237</v>
      </c>
      <c r="G171">
        <v>1</v>
      </c>
      <c r="H171">
        <v>4</v>
      </c>
      <c r="I171" t="s">
        <v>31</v>
      </c>
    </row>
    <row r="172" spans="1:9" x14ac:dyDescent="0.25">
      <c r="A172" t="s">
        <v>511</v>
      </c>
      <c r="B172" t="s">
        <v>258</v>
      </c>
      <c r="C172" t="s">
        <v>390</v>
      </c>
      <c r="D172" s="3">
        <v>1</v>
      </c>
      <c r="E172" t="s">
        <v>30</v>
      </c>
      <c r="F172" t="s">
        <v>285</v>
      </c>
      <c r="G172">
        <v>0.0001</v>
      </c>
      <c r="H172">
        <v>100000</v>
      </c>
      <c r="I172" t="s">
        <v>31</v>
      </c>
    </row>
    <row r="173" spans="1:9" x14ac:dyDescent="0.25">
      <c r="A173" t="s">
        <v>512</v>
      </c>
      <c r="B173" t="s">
        <v>258</v>
      </c>
      <c r="C173" t="s">
        <v>392</v>
      </c>
      <c r="D173" s="3" t="s">
        <v>182</v>
      </c>
      <c r="E173" t="s">
        <v>81</v>
      </c>
      <c r="F173" t="s">
        <v>31</v>
      </c>
      <c r="G173" t="s">
        <v>31</v>
      </c>
      <c r="H173" t="s">
        <v>31</v>
      </c>
      <c r="I173" t="s">
        <v>31</v>
      </c>
    </row>
    <row r="174" spans="1:9" x14ac:dyDescent="0.25">
      <c r="A174" t="s">
        <v>513</v>
      </c>
      <c r="B174" t="s">
        <v>258</v>
      </c>
      <c r="C174" t="s">
        <v>394</v>
      </c>
      <c r="D174" s="3">
        <v>1</v>
      </c>
      <c r="E174" t="s">
        <v>30</v>
      </c>
      <c r="F174" t="s">
        <v>237</v>
      </c>
      <c r="G174">
        <v>1</v>
      </c>
      <c r="H174">
        <v>4</v>
      </c>
      <c r="I174" t="s">
        <v>31</v>
      </c>
    </row>
    <row r="175" spans="1:9" x14ac:dyDescent="0.25">
      <c r="A175" t="s">
        <v>514</v>
      </c>
      <c r="B175" t="s">
        <v>258</v>
      </c>
      <c r="C175" t="s">
        <v>396</v>
      </c>
      <c r="D175" s="3">
        <v>4</v>
      </c>
      <c r="E175" t="s">
        <v>30</v>
      </c>
      <c r="F175" t="s">
        <v>285</v>
      </c>
      <c r="G175">
        <v>0.0001</v>
      </c>
      <c r="H175">
        <v>100000</v>
      </c>
      <c r="I175" t="s">
        <v>31</v>
      </c>
    </row>
    <row r="176" spans="1:9" x14ac:dyDescent="0.25">
      <c r="A176" t="s">
        <v>515</v>
      </c>
      <c r="B176" t="s">
        <v>269</v>
      </c>
      <c r="C176" t="s">
        <v>280</v>
      </c>
      <c r="D176" s="3" t="s">
        <v>161</v>
      </c>
      <c r="E176" t="s">
        <v>81</v>
      </c>
      <c r="F176" t="s">
        <v>31</v>
      </c>
      <c r="G176" t="s">
        <v>31</v>
      </c>
      <c r="H176" t="s">
        <v>31</v>
      </c>
      <c r="I176" t="s">
        <v>31</v>
      </c>
    </row>
    <row r="177" spans="1:9" x14ac:dyDescent="0.25">
      <c r="A177" t="s">
        <v>516</v>
      </c>
      <c r="B177" t="s">
        <v>269</v>
      </c>
      <c r="C177" t="s">
        <v>282</v>
      </c>
      <c r="D177" s="3">
        <v>1</v>
      </c>
      <c r="E177" t="s">
        <v>30</v>
      </c>
      <c r="F177" t="s">
        <v>237</v>
      </c>
      <c r="G177">
        <v>1</v>
      </c>
      <c r="H177">
        <v>4</v>
      </c>
      <c r="I177" t="s">
        <v>31</v>
      </c>
    </row>
    <row r="178" spans="1:9" x14ac:dyDescent="0.25">
      <c r="A178" t="s">
        <v>517</v>
      </c>
      <c r="B178" t="s">
        <v>269</v>
      </c>
      <c r="C178" t="s">
        <v>284</v>
      </c>
      <c r="D178" s="3">
        <v>11</v>
      </c>
      <c r="E178" t="s">
        <v>30</v>
      </c>
      <c r="F178" t="s">
        <v>285</v>
      </c>
      <c r="G178">
        <v>0.0001</v>
      </c>
      <c r="H178">
        <v>100000</v>
      </c>
      <c r="I178" t="s">
        <v>31</v>
      </c>
    </row>
    <row r="179" spans="1:9" x14ac:dyDescent="0.25">
      <c r="A179" t="s">
        <v>518</v>
      </c>
      <c r="B179" t="s">
        <v>269</v>
      </c>
      <c r="C179" t="s">
        <v>287</v>
      </c>
      <c r="D179" s="3" t="s">
        <v>161</v>
      </c>
      <c r="E179" t="s">
        <v>81</v>
      </c>
      <c r="F179" t="s">
        <v>31</v>
      </c>
      <c r="G179" t="s">
        <v>31</v>
      </c>
      <c r="H179" t="s">
        <v>31</v>
      </c>
      <c r="I179" t="s">
        <v>31</v>
      </c>
    </row>
    <row r="180" spans="1:9" x14ac:dyDescent="0.25">
      <c r="A180" t="s">
        <v>519</v>
      </c>
      <c r="B180" t="s">
        <v>269</v>
      </c>
      <c r="C180" t="s">
        <v>289</v>
      </c>
      <c r="D180" s="3">
        <v>2</v>
      </c>
      <c r="E180" t="s">
        <v>30</v>
      </c>
      <c r="F180" t="s">
        <v>237</v>
      </c>
      <c r="G180">
        <v>1</v>
      </c>
      <c r="H180">
        <v>4</v>
      </c>
      <c r="I180" t="s">
        <v>31</v>
      </c>
    </row>
    <row r="181" spans="1:9" x14ac:dyDescent="0.25">
      <c r="A181" t="s">
        <v>520</v>
      </c>
      <c r="B181" t="s">
        <v>269</v>
      </c>
      <c r="C181" t="s">
        <v>291</v>
      </c>
      <c r="D181" s="3">
        <v>7</v>
      </c>
      <c r="E181" t="s">
        <v>30</v>
      </c>
      <c r="F181" t="s">
        <v>285</v>
      </c>
      <c r="G181">
        <v>0.0001</v>
      </c>
      <c r="H181">
        <v>100000</v>
      </c>
      <c r="I181" t="s">
        <v>31</v>
      </c>
    </row>
    <row r="182" spans="1:9" x14ac:dyDescent="0.25">
      <c r="A182" t="s">
        <v>521</v>
      </c>
      <c r="B182" t="s">
        <v>269</v>
      </c>
      <c r="C182" t="s">
        <v>293</v>
      </c>
      <c r="D182" s="3" t="s">
        <v>164</v>
      </c>
      <c r="E182" t="s">
        <v>81</v>
      </c>
      <c r="F182" t="s">
        <v>31</v>
      </c>
      <c r="G182" t="s">
        <v>31</v>
      </c>
      <c r="H182" t="s">
        <v>31</v>
      </c>
      <c r="I182" t="s">
        <v>31</v>
      </c>
    </row>
    <row r="183" spans="1:9" x14ac:dyDescent="0.25">
      <c r="A183" t="s">
        <v>522</v>
      </c>
      <c r="B183" t="s">
        <v>269</v>
      </c>
      <c r="C183" t="s">
        <v>295</v>
      </c>
      <c r="D183" s="3">
        <v>1</v>
      </c>
      <c r="E183" t="s">
        <v>30</v>
      </c>
      <c r="F183" t="s">
        <v>237</v>
      </c>
      <c r="G183">
        <v>1</v>
      </c>
      <c r="H183">
        <v>4</v>
      </c>
      <c r="I183" t="s">
        <v>31</v>
      </c>
    </row>
    <row r="184" spans="1:9" x14ac:dyDescent="0.25">
      <c r="A184" t="s">
        <v>523</v>
      </c>
      <c r="B184" t="s">
        <v>269</v>
      </c>
      <c r="C184" t="s">
        <v>297</v>
      </c>
      <c r="D184" s="3">
        <v>3</v>
      </c>
      <c r="E184" t="s">
        <v>30</v>
      </c>
      <c r="F184" t="s">
        <v>285</v>
      </c>
      <c r="G184">
        <v>0.0001</v>
      </c>
      <c r="H184">
        <v>100000</v>
      </c>
      <c r="I184" t="s">
        <v>31</v>
      </c>
    </row>
    <row r="185" spans="1:9" x14ac:dyDescent="0.25">
      <c r="A185" t="s">
        <v>524</v>
      </c>
      <c r="B185" t="s">
        <v>269</v>
      </c>
      <c r="C185" t="s">
        <v>299</v>
      </c>
      <c r="D185" s="3" t="s">
        <v>167</v>
      </c>
      <c r="E185" t="s">
        <v>81</v>
      </c>
      <c r="F185" t="s">
        <v>31</v>
      </c>
      <c r="G185" t="s">
        <v>31</v>
      </c>
      <c r="H185" t="s">
        <v>31</v>
      </c>
      <c r="I185" t="s">
        <v>31</v>
      </c>
    </row>
    <row r="186" spans="1:9" x14ac:dyDescent="0.25">
      <c r="A186" t="s">
        <v>525</v>
      </c>
      <c r="B186" t="s">
        <v>269</v>
      </c>
      <c r="C186" t="s">
        <v>301</v>
      </c>
      <c r="D186" s="3">
        <v>1</v>
      </c>
      <c r="E186" t="s">
        <v>30</v>
      </c>
      <c r="F186" t="s">
        <v>237</v>
      </c>
      <c r="G186">
        <v>1</v>
      </c>
      <c r="H186">
        <v>4</v>
      </c>
      <c r="I186" t="s">
        <v>31</v>
      </c>
    </row>
    <row r="187" spans="1:9" x14ac:dyDescent="0.25">
      <c r="A187" t="s">
        <v>526</v>
      </c>
      <c r="B187" t="s">
        <v>269</v>
      </c>
      <c r="C187" t="s">
        <v>303</v>
      </c>
      <c r="D187" s="3">
        <v>3</v>
      </c>
      <c r="E187" t="s">
        <v>30</v>
      </c>
      <c r="F187" t="s">
        <v>285</v>
      </c>
      <c r="G187">
        <v>0.0001</v>
      </c>
      <c r="H187">
        <v>100000</v>
      </c>
      <c r="I187" t="s">
        <v>31</v>
      </c>
    </row>
    <row r="188" spans="1:9" x14ac:dyDescent="0.25">
      <c r="A188" t="s">
        <v>527</v>
      </c>
      <c r="B188" t="s">
        <v>269</v>
      </c>
      <c r="C188" t="s">
        <v>305</v>
      </c>
      <c r="D188" s="3" t="s">
        <v>173</v>
      </c>
      <c r="E188" t="s">
        <v>81</v>
      </c>
      <c r="F188" t="s">
        <v>31</v>
      </c>
      <c r="G188" t="s">
        <v>31</v>
      </c>
      <c r="H188" t="s">
        <v>31</v>
      </c>
      <c r="I188" t="s">
        <v>31</v>
      </c>
    </row>
    <row r="189" spans="1:9" x14ac:dyDescent="0.25">
      <c r="A189" t="s">
        <v>528</v>
      </c>
      <c r="B189" t="s">
        <v>269</v>
      </c>
      <c r="C189" t="s">
        <v>307</v>
      </c>
      <c r="D189" s="3">
        <v>1</v>
      </c>
      <c r="E189" t="s">
        <v>30</v>
      </c>
      <c r="F189" t="s">
        <v>237</v>
      </c>
      <c r="G189">
        <v>1</v>
      </c>
      <c r="H189">
        <v>4</v>
      </c>
      <c r="I189" t="s">
        <v>31</v>
      </c>
    </row>
    <row r="190" spans="1:9" x14ac:dyDescent="0.25">
      <c r="A190" t="s">
        <v>529</v>
      </c>
      <c r="B190" t="s">
        <v>269</v>
      </c>
      <c r="C190" t="s">
        <v>309</v>
      </c>
      <c r="D190" s="3">
        <v>2</v>
      </c>
      <c r="E190" t="s">
        <v>30</v>
      </c>
      <c r="F190" t="s">
        <v>285</v>
      </c>
      <c r="G190">
        <v>0.0001</v>
      </c>
      <c r="H190">
        <v>100000</v>
      </c>
      <c r="I190" t="s">
        <v>31</v>
      </c>
    </row>
    <row r="191" spans="1:9" x14ac:dyDescent="0.25">
      <c r="A191" t="s">
        <v>530</v>
      </c>
      <c r="B191" t="s">
        <v>269</v>
      </c>
      <c r="C191" t="s">
        <v>311</v>
      </c>
      <c r="D191" s="3" t="s">
        <v>182</v>
      </c>
      <c r="E191" t="s">
        <v>81</v>
      </c>
      <c r="F191" t="s">
        <v>31</v>
      </c>
      <c r="G191" t="s">
        <v>31</v>
      </c>
      <c r="H191" t="s">
        <v>31</v>
      </c>
      <c r="I191" t="s">
        <v>31</v>
      </c>
    </row>
    <row r="192" spans="1:9" x14ac:dyDescent="0.25">
      <c r="A192" t="s">
        <v>531</v>
      </c>
      <c r="B192" t="s">
        <v>269</v>
      </c>
      <c r="C192" t="s">
        <v>313</v>
      </c>
      <c r="D192" s="3">
        <v>1</v>
      </c>
      <c r="E192" t="s">
        <v>30</v>
      </c>
      <c r="F192" t="s">
        <v>237</v>
      </c>
      <c r="G192">
        <v>1</v>
      </c>
      <c r="H192">
        <v>4</v>
      </c>
      <c r="I192" t="s">
        <v>31</v>
      </c>
    </row>
    <row r="193" spans="1:9" x14ac:dyDescent="0.25">
      <c r="A193" t="s">
        <v>532</v>
      </c>
      <c r="B193" t="s">
        <v>269</v>
      </c>
      <c r="C193" t="s">
        <v>315</v>
      </c>
      <c r="D193" s="3">
        <v>5</v>
      </c>
      <c r="E193" t="s">
        <v>30</v>
      </c>
      <c r="F193" t="s">
        <v>285</v>
      </c>
      <c r="G193">
        <v>0.0001</v>
      </c>
      <c r="H193">
        <v>100000</v>
      </c>
      <c r="I193" t="s">
        <v>31</v>
      </c>
    </row>
    <row r="194" spans="1:9" x14ac:dyDescent="0.25">
      <c r="A194" t="s">
        <v>533</v>
      </c>
      <c r="B194" t="s">
        <v>269</v>
      </c>
      <c r="C194" t="s">
        <v>317</v>
      </c>
      <c r="D194" s="3" t="s">
        <v>161</v>
      </c>
      <c r="E194" t="s">
        <v>81</v>
      </c>
      <c r="F194" t="s">
        <v>31</v>
      </c>
      <c r="G194" t="s">
        <v>31</v>
      </c>
      <c r="H194" t="s">
        <v>31</v>
      </c>
      <c r="I194" t="s">
        <v>31</v>
      </c>
    </row>
    <row r="195" spans="1:9" x14ac:dyDescent="0.25">
      <c r="A195" t="s">
        <v>534</v>
      </c>
      <c r="B195" t="s">
        <v>269</v>
      </c>
      <c r="C195" t="s">
        <v>319</v>
      </c>
      <c r="D195" s="3">
        <v>1</v>
      </c>
      <c r="E195" t="s">
        <v>30</v>
      </c>
      <c r="F195" t="s">
        <v>237</v>
      </c>
      <c r="G195">
        <v>1</v>
      </c>
      <c r="H195">
        <v>4</v>
      </c>
      <c r="I195" t="s">
        <v>31</v>
      </c>
    </row>
    <row r="196" spans="1:9" x14ac:dyDescent="0.25">
      <c r="A196" t="s">
        <v>535</v>
      </c>
      <c r="B196" t="s">
        <v>269</v>
      </c>
      <c r="C196" t="s">
        <v>321</v>
      </c>
      <c r="D196" s="3">
        <v>11</v>
      </c>
      <c r="E196" t="s">
        <v>30</v>
      </c>
      <c r="F196" t="s">
        <v>285</v>
      </c>
      <c r="G196">
        <v>0.0001</v>
      </c>
      <c r="H196">
        <v>100000</v>
      </c>
      <c r="I196" t="s">
        <v>31</v>
      </c>
    </row>
    <row r="197" spans="1:9" x14ac:dyDescent="0.25">
      <c r="A197" t="s">
        <v>536</v>
      </c>
      <c r="B197" t="s">
        <v>269</v>
      </c>
      <c r="C197" t="s">
        <v>323</v>
      </c>
      <c r="D197" s="3" t="s">
        <v>161</v>
      </c>
      <c r="E197" t="s">
        <v>81</v>
      </c>
      <c r="F197" t="s">
        <v>31</v>
      </c>
      <c r="G197" t="s">
        <v>31</v>
      </c>
      <c r="H197" t="s">
        <v>31</v>
      </c>
      <c r="I197" t="s">
        <v>31</v>
      </c>
    </row>
    <row r="198" spans="1:9" x14ac:dyDescent="0.25">
      <c r="A198" t="s">
        <v>537</v>
      </c>
      <c r="B198" t="s">
        <v>269</v>
      </c>
      <c r="C198" t="s">
        <v>325</v>
      </c>
      <c r="D198" s="3">
        <v>2</v>
      </c>
      <c r="E198" t="s">
        <v>30</v>
      </c>
      <c r="F198" t="s">
        <v>237</v>
      </c>
      <c r="G198">
        <v>1</v>
      </c>
      <c r="H198">
        <v>4</v>
      </c>
      <c r="I198" t="s">
        <v>31</v>
      </c>
    </row>
    <row r="199" spans="1:9" x14ac:dyDescent="0.25">
      <c r="A199" t="s">
        <v>538</v>
      </c>
      <c r="B199" t="s">
        <v>269</v>
      </c>
      <c r="C199" t="s">
        <v>327</v>
      </c>
      <c r="D199" s="3">
        <v>7</v>
      </c>
      <c r="E199" t="s">
        <v>30</v>
      </c>
      <c r="F199" t="s">
        <v>285</v>
      </c>
      <c r="G199">
        <v>0.0001</v>
      </c>
      <c r="H199">
        <v>100000</v>
      </c>
      <c r="I199" t="s">
        <v>31</v>
      </c>
    </row>
    <row r="200" spans="1:9" x14ac:dyDescent="0.25">
      <c r="A200" t="s">
        <v>539</v>
      </c>
      <c r="B200" t="s">
        <v>269</v>
      </c>
      <c r="C200" t="s">
        <v>329</v>
      </c>
      <c r="D200" s="3" t="s">
        <v>164</v>
      </c>
      <c r="E200" t="s">
        <v>81</v>
      </c>
      <c r="F200" t="s">
        <v>31</v>
      </c>
      <c r="G200" t="s">
        <v>31</v>
      </c>
      <c r="H200" t="s">
        <v>31</v>
      </c>
      <c r="I200" t="s">
        <v>31</v>
      </c>
    </row>
    <row r="201" spans="1:9" x14ac:dyDescent="0.25">
      <c r="A201" t="s">
        <v>540</v>
      </c>
      <c r="B201" t="s">
        <v>269</v>
      </c>
      <c r="C201" t="s">
        <v>331</v>
      </c>
      <c r="D201" s="3">
        <v>1</v>
      </c>
      <c r="E201" t="s">
        <v>30</v>
      </c>
      <c r="F201" t="s">
        <v>237</v>
      </c>
      <c r="G201">
        <v>1</v>
      </c>
      <c r="H201">
        <v>4</v>
      </c>
      <c r="I201" t="s">
        <v>31</v>
      </c>
    </row>
    <row r="202" spans="1:9" x14ac:dyDescent="0.25">
      <c r="A202" t="s">
        <v>541</v>
      </c>
      <c r="B202" t="s">
        <v>269</v>
      </c>
      <c r="C202" t="s">
        <v>333</v>
      </c>
      <c r="D202" s="3">
        <v>3</v>
      </c>
      <c r="E202" t="s">
        <v>30</v>
      </c>
      <c r="F202" t="s">
        <v>285</v>
      </c>
      <c r="G202">
        <v>0.0001</v>
      </c>
      <c r="H202">
        <v>100000</v>
      </c>
      <c r="I202" t="s">
        <v>31</v>
      </c>
    </row>
    <row r="203" spans="1:9" x14ac:dyDescent="0.25">
      <c r="A203" t="s">
        <v>542</v>
      </c>
      <c r="B203" t="s">
        <v>269</v>
      </c>
      <c r="C203" t="s">
        <v>335</v>
      </c>
      <c r="D203" s="3" t="s">
        <v>167</v>
      </c>
      <c r="E203" t="s">
        <v>81</v>
      </c>
      <c r="F203" t="s">
        <v>31</v>
      </c>
      <c r="G203" t="s">
        <v>31</v>
      </c>
      <c r="H203" t="s">
        <v>31</v>
      </c>
      <c r="I203" t="s">
        <v>31</v>
      </c>
    </row>
    <row r="204" spans="1:9" x14ac:dyDescent="0.25">
      <c r="A204" t="s">
        <v>543</v>
      </c>
      <c r="B204" t="s">
        <v>269</v>
      </c>
      <c r="C204" t="s">
        <v>337</v>
      </c>
      <c r="D204" s="3">
        <v>1</v>
      </c>
      <c r="E204" t="s">
        <v>30</v>
      </c>
      <c r="F204" t="s">
        <v>237</v>
      </c>
      <c r="G204">
        <v>1</v>
      </c>
      <c r="H204">
        <v>4</v>
      </c>
      <c r="I204" t="s">
        <v>31</v>
      </c>
    </row>
    <row r="205" spans="1:9" x14ac:dyDescent="0.25">
      <c r="A205" t="s">
        <v>544</v>
      </c>
      <c r="B205" t="s">
        <v>269</v>
      </c>
      <c r="C205" t="s">
        <v>339</v>
      </c>
      <c r="D205" s="3">
        <v>3</v>
      </c>
      <c r="E205" t="s">
        <v>30</v>
      </c>
      <c r="F205" t="s">
        <v>285</v>
      </c>
      <c r="G205">
        <v>0.0001</v>
      </c>
      <c r="H205">
        <v>100000</v>
      </c>
      <c r="I205" t="s">
        <v>31</v>
      </c>
    </row>
    <row r="206" spans="1:9" x14ac:dyDescent="0.25">
      <c r="A206" t="s">
        <v>545</v>
      </c>
      <c r="B206" t="s">
        <v>269</v>
      </c>
      <c r="C206" t="s">
        <v>341</v>
      </c>
      <c r="D206" s="3" t="s">
        <v>173</v>
      </c>
      <c r="E206" t="s">
        <v>81</v>
      </c>
      <c r="F206" t="s">
        <v>31</v>
      </c>
      <c r="G206" t="s">
        <v>31</v>
      </c>
      <c r="H206" t="s">
        <v>31</v>
      </c>
      <c r="I206" t="s">
        <v>31</v>
      </c>
    </row>
    <row r="207" spans="1:9" x14ac:dyDescent="0.25">
      <c r="A207" t="s">
        <v>546</v>
      </c>
      <c r="B207" t="s">
        <v>269</v>
      </c>
      <c r="C207" t="s">
        <v>343</v>
      </c>
      <c r="D207" s="3">
        <v>1</v>
      </c>
      <c r="E207" t="s">
        <v>30</v>
      </c>
      <c r="F207" t="s">
        <v>237</v>
      </c>
      <c r="G207">
        <v>1</v>
      </c>
      <c r="H207">
        <v>4</v>
      </c>
      <c r="I207" t="s">
        <v>31</v>
      </c>
    </row>
    <row r="208" spans="1:9" x14ac:dyDescent="0.25">
      <c r="A208" t="s">
        <v>547</v>
      </c>
      <c r="B208" t="s">
        <v>269</v>
      </c>
      <c r="C208" t="s">
        <v>345</v>
      </c>
      <c r="D208" s="3">
        <v>2</v>
      </c>
      <c r="E208" t="s">
        <v>30</v>
      </c>
      <c r="F208" t="s">
        <v>285</v>
      </c>
      <c r="G208">
        <v>0.0001</v>
      </c>
      <c r="H208">
        <v>100000</v>
      </c>
      <c r="I208" t="s">
        <v>31</v>
      </c>
    </row>
    <row r="209" spans="1:9" x14ac:dyDescent="0.25">
      <c r="A209" t="s">
        <v>548</v>
      </c>
      <c r="B209" t="s">
        <v>269</v>
      </c>
      <c r="C209" t="s">
        <v>347</v>
      </c>
      <c r="D209" s="3" t="s">
        <v>182</v>
      </c>
      <c r="E209" t="s">
        <v>81</v>
      </c>
      <c r="F209" t="s">
        <v>31</v>
      </c>
      <c r="G209" t="s">
        <v>31</v>
      </c>
      <c r="H209" t="s">
        <v>31</v>
      </c>
      <c r="I209" t="s">
        <v>31</v>
      </c>
    </row>
    <row r="210" spans="1:9" x14ac:dyDescent="0.25">
      <c r="A210" t="s">
        <v>549</v>
      </c>
      <c r="B210" t="s">
        <v>269</v>
      </c>
      <c r="C210" t="s">
        <v>349</v>
      </c>
      <c r="D210" s="3">
        <v>1</v>
      </c>
      <c r="E210" t="s">
        <v>30</v>
      </c>
      <c r="F210" t="s">
        <v>237</v>
      </c>
      <c r="G210">
        <v>1</v>
      </c>
      <c r="H210">
        <v>4</v>
      </c>
      <c r="I210" t="s">
        <v>31</v>
      </c>
    </row>
    <row r="211" spans="1:9" x14ac:dyDescent="0.25">
      <c r="A211" t="s">
        <v>550</v>
      </c>
      <c r="B211" t="s">
        <v>269</v>
      </c>
      <c r="C211" t="s">
        <v>351</v>
      </c>
      <c r="D211" s="3">
        <v>5</v>
      </c>
      <c r="E211" t="s">
        <v>30</v>
      </c>
      <c r="F211" t="s">
        <v>285</v>
      </c>
      <c r="G211">
        <v>0.0001</v>
      </c>
      <c r="H211">
        <v>100000</v>
      </c>
      <c r="I211" t="s">
        <v>31</v>
      </c>
    </row>
    <row r="212" spans="1:9" x14ac:dyDescent="0.25">
      <c r="A212" t="s">
        <v>551</v>
      </c>
      <c r="B212" t="s">
        <v>269</v>
      </c>
      <c r="C212" t="s">
        <v>353</v>
      </c>
      <c r="D212" s="3" t="s">
        <v>179</v>
      </c>
      <c r="E212" t="s">
        <v>81</v>
      </c>
      <c r="F212" t="s">
        <v>31</v>
      </c>
      <c r="G212" t="s">
        <v>31</v>
      </c>
      <c r="H212" t="s">
        <v>31</v>
      </c>
      <c r="I212" t="s">
        <v>31</v>
      </c>
    </row>
    <row r="213" spans="1:9" x14ac:dyDescent="0.25">
      <c r="A213" t="s">
        <v>552</v>
      </c>
      <c r="B213" t="s">
        <v>269</v>
      </c>
      <c r="C213" t="s">
        <v>355</v>
      </c>
      <c r="D213" s="3">
        <v>1</v>
      </c>
      <c r="E213" t="s">
        <v>30</v>
      </c>
      <c r="F213" t="s">
        <v>237</v>
      </c>
      <c r="G213">
        <v>1</v>
      </c>
      <c r="H213">
        <v>4</v>
      </c>
      <c r="I213" t="s">
        <v>31</v>
      </c>
    </row>
    <row r="214" spans="1:9" x14ac:dyDescent="0.25">
      <c r="A214" t="s">
        <v>553</v>
      </c>
      <c r="B214" t="s">
        <v>269</v>
      </c>
      <c r="C214" t="s">
        <v>357</v>
      </c>
      <c r="D214" s="3">
        <v>3</v>
      </c>
      <c r="E214" t="s">
        <v>30</v>
      </c>
      <c r="F214" t="s">
        <v>285</v>
      </c>
      <c r="G214">
        <v>0.0001</v>
      </c>
      <c r="H214">
        <v>100000</v>
      </c>
      <c r="I214" t="s">
        <v>31</v>
      </c>
    </row>
    <row r="215" spans="1:9" x14ac:dyDescent="0.25">
      <c r="A215" t="s">
        <v>554</v>
      </c>
      <c r="B215" t="s">
        <v>269</v>
      </c>
      <c r="C215" t="s">
        <v>359</v>
      </c>
      <c r="D215" s="3" t="s">
        <v>555</v>
      </c>
      <c r="E215" t="s">
        <v>81</v>
      </c>
      <c r="F215" t="s">
        <v>31</v>
      </c>
      <c r="G215" t="s">
        <v>31</v>
      </c>
      <c r="H215" t="s">
        <v>31</v>
      </c>
      <c r="I215" t="s">
        <v>31</v>
      </c>
    </row>
    <row r="216" spans="1:9" x14ac:dyDescent="0.25">
      <c r="A216" t="s">
        <v>556</v>
      </c>
      <c r="B216" t="s">
        <v>269</v>
      </c>
      <c r="C216" t="s">
        <v>362</v>
      </c>
      <c r="D216" s="3" t="s">
        <v>161</v>
      </c>
      <c r="E216" t="s">
        <v>81</v>
      </c>
      <c r="F216" t="s">
        <v>31</v>
      </c>
      <c r="G216" t="s">
        <v>31</v>
      </c>
      <c r="H216" t="s">
        <v>31</v>
      </c>
      <c r="I216" t="s">
        <v>31</v>
      </c>
    </row>
    <row r="217" spans="1:9" x14ac:dyDescent="0.25">
      <c r="A217" t="s">
        <v>557</v>
      </c>
      <c r="B217" t="s">
        <v>269</v>
      </c>
      <c r="C217" t="s">
        <v>364</v>
      </c>
      <c r="D217" s="3">
        <v>1</v>
      </c>
      <c r="E217" t="s">
        <v>30</v>
      </c>
      <c r="F217" t="s">
        <v>237</v>
      </c>
      <c r="G217">
        <v>1</v>
      </c>
      <c r="H217">
        <v>4</v>
      </c>
      <c r="I217" t="s">
        <v>31</v>
      </c>
    </row>
    <row r="218" spans="1:9" x14ac:dyDescent="0.25">
      <c r="A218" t="s">
        <v>558</v>
      </c>
      <c r="B218" t="s">
        <v>269</v>
      </c>
      <c r="C218" t="s">
        <v>366</v>
      </c>
      <c r="D218" s="3">
        <v>11</v>
      </c>
      <c r="E218" t="s">
        <v>30</v>
      </c>
      <c r="F218" t="s">
        <v>285</v>
      </c>
      <c r="G218">
        <v>0.0001</v>
      </c>
      <c r="H218">
        <v>100000</v>
      </c>
      <c r="I218" t="s">
        <v>31</v>
      </c>
    </row>
    <row r="219" spans="1:9" x14ac:dyDescent="0.25">
      <c r="A219" t="s">
        <v>559</v>
      </c>
      <c r="B219" t="s">
        <v>269</v>
      </c>
      <c r="C219" t="s">
        <v>368</v>
      </c>
      <c r="D219" s="3" t="s">
        <v>161</v>
      </c>
      <c r="E219" t="s">
        <v>81</v>
      </c>
      <c r="F219" t="s">
        <v>31</v>
      </c>
      <c r="G219" t="s">
        <v>31</v>
      </c>
      <c r="H219" t="s">
        <v>31</v>
      </c>
      <c r="I219" t="s">
        <v>31</v>
      </c>
    </row>
    <row r="220" spans="1:9" x14ac:dyDescent="0.25">
      <c r="A220" t="s">
        <v>560</v>
      </c>
      <c r="B220" t="s">
        <v>269</v>
      </c>
      <c r="C220" t="s">
        <v>370</v>
      </c>
      <c r="D220" s="3">
        <v>2</v>
      </c>
      <c r="E220" t="s">
        <v>30</v>
      </c>
      <c r="F220" t="s">
        <v>237</v>
      </c>
      <c r="G220">
        <v>1</v>
      </c>
      <c r="H220">
        <v>4</v>
      </c>
      <c r="I220" t="s">
        <v>31</v>
      </c>
    </row>
    <row r="221" spans="1:9" x14ac:dyDescent="0.25">
      <c r="A221" t="s">
        <v>561</v>
      </c>
      <c r="B221" t="s">
        <v>269</v>
      </c>
      <c r="C221" t="s">
        <v>372</v>
      </c>
      <c r="D221" s="3">
        <v>7</v>
      </c>
      <c r="E221" t="s">
        <v>30</v>
      </c>
      <c r="F221" t="s">
        <v>285</v>
      </c>
      <c r="G221">
        <v>0.0001</v>
      </c>
      <c r="H221">
        <v>100000</v>
      </c>
      <c r="I221" t="s">
        <v>31</v>
      </c>
    </row>
    <row r="222" spans="1:9" x14ac:dyDescent="0.25">
      <c r="A222" t="s">
        <v>562</v>
      </c>
      <c r="B222" t="s">
        <v>269</v>
      </c>
      <c r="C222" t="s">
        <v>374</v>
      </c>
      <c r="D222" s="3" t="s">
        <v>164</v>
      </c>
      <c r="E222" t="s">
        <v>81</v>
      </c>
      <c r="F222" t="s">
        <v>31</v>
      </c>
      <c r="G222" t="s">
        <v>31</v>
      </c>
      <c r="H222" t="s">
        <v>31</v>
      </c>
      <c r="I222" t="s">
        <v>31</v>
      </c>
    </row>
    <row r="223" spans="1:9" x14ac:dyDescent="0.25">
      <c r="A223" t="s">
        <v>563</v>
      </c>
      <c r="B223" t="s">
        <v>269</v>
      </c>
      <c r="C223" t="s">
        <v>376</v>
      </c>
      <c r="D223" s="3">
        <v>1</v>
      </c>
      <c r="E223" t="s">
        <v>30</v>
      </c>
      <c r="F223" t="s">
        <v>237</v>
      </c>
      <c r="G223">
        <v>1</v>
      </c>
      <c r="H223">
        <v>4</v>
      </c>
      <c r="I223" t="s">
        <v>31</v>
      </c>
    </row>
    <row r="224" spans="1:9" x14ac:dyDescent="0.25">
      <c r="A224" t="s">
        <v>564</v>
      </c>
      <c r="B224" t="s">
        <v>269</v>
      </c>
      <c r="C224" t="s">
        <v>378</v>
      </c>
      <c r="D224" s="3">
        <v>3</v>
      </c>
      <c r="E224" t="s">
        <v>30</v>
      </c>
      <c r="F224" t="s">
        <v>285</v>
      </c>
      <c r="G224">
        <v>0.0001</v>
      </c>
      <c r="H224">
        <v>100000</v>
      </c>
      <c r="I224" t="s">
        <v>31</v>
      </c>
    </row>
    <row r="225" spans="1:9" x14ac:dyDescent="0.25">
      <c r="A225" t="s">
        <v>565</v>
      </c>
      <c r="B225" t="s">
        <v>269</v>
      </c>
      <c r="C225" t="s">
        <v>380</v>
      </c>
      <c r="D225" s="3" t="s">
        <v>167</v>
      </c>
      <c r="E225" t="s">
        <v>81</v>
      </c>
      <c r="F225" t="s">
        <v>31</v>
      </c>
      <c r="G225" t="s">
        <v>31</v>
      </c>
      <c r="H225" t="s">
        <v>31</v>
      </c>
      <c r="I225" t="s">
        <v>31</v>
      </c>
    </row>
    <row r="226" spans="1:9" x14ac:dyDescent="0.25">
      <c r="A226" t="s">
        <v>566</v>
      </c>
      <c r="B226" t="s">
        <v>269</v>
      </c>
      <c r="C226" t="s">
        <v>382</v>
      </c>
      <c r="D226" s="3">
        <v>1</v>
      </c>
      <c r="E226" t="s">
        <v>30</v>
      </c>
      <c r="F226" t="s">
        <v>237</v>
      </c>
      <c r="G226">
        <v>1</v>
      </c>
      <c r="H226">
        <v>4</v>
      </c>
      <c r="I226" t="s">
        <v>31</v>
      </c>
    </row>
    <row r="227" spans="1:9" x14ac:dyDescent="0.25">
      <c r="A227" t="s">
        <v>567</v>
      </c>
      <c r="B227" t="s">
        <v>269</v>
      </c>
      <c r="C227" t="s">
        <v>384</v>
      </c>
      <c r="D227" s="3">
        <v>3</v>
      </c>
      <c r="E227" t="s">
        <v>30</v>
      </c>
      <c r="F227" t="s">
        <v>285</v>
      </c>
      <c r="G227">
        <v>0.0001</v>
      </c>
      <c r="H227">
        <v>100000</v>
      </c>
      <c r="I227" t="s">
        <v>31</v>
      </c>
    </row>
    <row r="228" spans="1:9" x14ac:dyDescent="0.25">
      <c r="A228" t="s">
        <v>568</v>
      </c>
      <c r="B228" t="s">
        <v>269</v>
      </c>
      <c r="C228" t="s">
        <v>386</v>
      </c>
      <c r="D228" s="3" t="s">
        <v>173</v>
      </c>
      <c r="E228" t="s">
        <v>81</v>
      </c>
      <c r="F228" t="s">
        <v>31</v>
      </c>
      <c r="G228" t="s">
        <v>31</v>
      </c>
      <c r="H228" t="s">
        <v>31</v>
      </c>
      <c r="I228" t="s">
        <v>31</v>
      </c>
    </row>
    <row r="229" spans="1:9" x14ac:dyDescent="0.25">
      <c r="A229" t="s">
        <v>569</v>
      </c>
      <c r="B229" t="s">
        <v>269</v>
      </c>
      <c r="C229" t="s">
        <v>388</v>
      </c>
      <c r="D229" s="3">
        <v>1</v>
      </c>
      <c r="E229" t="s">
        <v>30</v>
      </c>
      <c r="F229" t="s">
        <v>237</v>
      </c>
      <c r="G229">
        <v>1</v>
      </c>
      <c r="H229">
        <v>4</v>
      </c>
      <c r="I229" t="s">
        <v>31</v>
      </c>
    </row>
    <row r="230" spans="1:9" x14ac:dyDescent="0.25">
      <c r="A230" t="s">
        <v>570</v>
      </c>
      <c r="B230" t="s">
        <v>269</v>
      </c>
      <c r="C230" t="s">
        <v>390</v>
      </c>
      <c r="D230" s="3">
        <v>2</v>
      </c>
      <c r="E230" t="s">
        <v>30</v>
      </c>
      <c r="F230" t="s">
        <v>285</v>
      </c>
      <c r="G230">
        <v>0.0001</v>
      </c>
      <c r="H230">
        <v>100000</v>
      </c>
      <c r="I230" t="s">
        <v>31</v>
      </c>
    </row>
    <row r="231" spans="1:9" x14ac:dyDescent="0.25">
      <c r="A231" t="s">
        <v>571</v>
      </c>
      <c r="B231" t="s">
        <v>269</v>
      </c>
      <c r="C231" t="s">
        <v>392</v>
      </c>
      <c r="D231" s="3" t="s">
        <v>182</v>
      </c>
      <c r="E231" t="s">
        <v>81</v>
      </c>
      <c r="F231" t="s">
        <v>31</v>
      </c>
      <c r="G231" t="s">
        <v>31</v>
      </c>
      <c r="H231" t="s">
        <v>31</v>
      </c>
      <c r="I231" t="s">
        <v>31</v>
      </c>
    </row>
    <row r="232" spans="1:9" x14ac:dyDescent="0.25">
      <c r="A232" t="s">
        <v>572</v>
      </c>
      <c r="B232" t="s">
        <v>269</v>
      </c>
      <c r="C232" t="s">
        <v>394</v>
      </c>
      <c r="D232" s="3">
        <v>1</v>
      </c>
      <c r="E232" t="s">
        <v>30</v>
      </c>
      <c r="F232" t="s">
        <v>237</v>
      </c>
      <c r="G232">
        <v>1</v>
      </c>
      <c r="H232">
        <v>4</v>
      </c>
      <c r="I232" t="s">
        <v>31</v>
      </c>
    </row>
    <row r="233" spans="1:9" x14ac:dyDescent="0.25">
      <c r="A233" t="s">
        <v>573</v>
      </c>
      <c r="B233" t="s">
        <v>269</v>
      </c>
      <c r="C233" t="s">
        <v>396</v>
      </c>
      <c r="D233" s="3">
        <v>5</v>
      </c>
      <c r="E233" t="s">
        <v>30</v>
      </c>
      <c r="F233" t="s">
        <v>285</v>
      </c>
      <c r="G233">
        <v>0.0001</v>
      </c>
      <c r="H233">
        <v>100000</v>
      </c>
      <c r="I233" t="s">
        <v>31</v>
      </c>
    </row>
    <row r="234" spans="1:9" x14ac:dyDescent="0.25">
      <c r="A234" t="s">
        <v>574</v>
      </c>
      <c r="B234" t="s">
        <v>575</v>
      </c>
      <c r="C234" t="s">
        <v>576</v>
      </c>
      <c r="D234" s="3" t="s">
        <v>159</v>
      </c>
      <c r="E234" t="s">
        <v>81</v>
      </c>
      <c r="F234" t="s">
        <v>31</v>
      </c>
      <c r="G234" t="s">
        <v>31</v>
      </c>
      <c r="H234" t="s">
        <v>31</v>
      </c>
      <c r="I234" t="s">
        <v>31</v>
      </c>
    </row>
    <row r="235" spans="1:9" x14ac:dyDescent="0.25">
      <c r="A235" t="s">
        <v>577</v>
      </c>
      <c r="B235" t="s">
        <v>575</v>
      </c>
      <c r="C235" t="s">
        <v>578</v>
      </c>
      <c r="D235" s="3">
        <v>1</v>
      </c>
      <c r="E235" t="s">
        <v>30</v>
      </c>
      <c r="F235" t="s">
        <v>237</v>
      </c>
      <c r="G235">
        <v>1</v>
      </c>
      <c r="H235">
        <v>4</v>
      </c>
      <c r="I235" t="s">
        <v>31</v>
      </c>
    </row>
    <row r="236" spans="1:9" x14ac:dyDescent="0.25">
      <c r="A236" t="s">
        <v>579</v>
      </c>
      <c r="B236" t="s">
        <v>575</v>
      </c>
      <c r="C236" t="s">
        <v>580</v>
      </c>
      <c r="D236" s="3">
        <v>8</v>
      </c>
      <c r="E236" t="s">
        <v>30</v>
      </c>
      <c r="F236" t="s">
        <v>285</v>
      </c>
      <c r="G236">
        <v>0.0001</v>
      </c>
      <c r="H236">
        <v>100000</v>
      </c>
      <c r="I236" t="s">
        <v>31</v>
      </c>
    </row>
    <row r="237" spans="1:9" x14ac:dyDescent="0.25">
      <c r="A237" t="s">
        <v>581</v>
      </c>
      <c r="B237" t="s">
        <v>575</v>
      </c>
      <c r="C237" t="s">
        <v>582</v>
      </c>
      <c r="D237" s="3" t="s">
        <v>159</v>
      </c>
      <c r="E237" t="s">
        <v>81</v>
      </c>
      <c r="F237" t="s">
        <v>31</v>
      </c>
      <c r="G237" t="s">
        <v>31</v>
      </c>
      <c r="H237" t="s">
        <v>31</v>
      </c>
      <c r="I237" t="s">
        <v>31</v>
      </c>
    </row>
    <row r="238" spans="1:9" x14ac:dyDescent="0.25">
      <c r="A238" t="s">
        <v>583</v>
      </c>
      <c r="B238" t="s">
        <v>575</v>
      </c>
      <c r="C238" t="s">
        <v>584</v>
      </c>
      <c r="D238" s="3">
        <v>2</v>
      </c>
      <c r="E238" t="s">
        <v>30</v>
      </c>
      <c r="F238" t="s">
        <v>237</v>
      </c>
      <c r="G238">
        <v>1</v>
      </c>
      <c r="H238">
        <v>4</v>
      </c>
      <c r="I238" t="s">
        <v>31</v>
      </c>
    </row>
    <row r="239" spans="1:9" x14ac:dyDescent="0.25">
      <c r="A239" t="s">
        <v>585</v>
      </c>
      <c r="B239" t="s">
        <v>575</v>
      </c>
      <c r="C239" t="s">
        <v>586</v>
      </c>
      <c r="D239" s="3">
        <v>3</v>
      </c>
      <c r="E239" t="s">
        <v>30</v>
      </c>
      <c r="F239" t="s">
        <v>285</v>
      </c>
      <c r="G239">
        <v>0.0001</v>
      </c>
      <c r="H239">
        <v>100000</v>
      </c>
      <c r="I239" t="s">
        <v>31</v>
      </c>
    </row>
    <row r="240" spans="1:9" x14ac:dyDescent="0.25">
      <c r="A240" t="s">
        <v>587</v>
      </c>
      <c r="B240" t="s">
        <v>575</v>
      </c>
      <c r="C240" t="s">
        <v>588</v>
      </c>
      <c r="D240" s="3" t="s">
        <v>159</v>
      </c>
      <c r="E240" t="s">
        <v>81</v>
      </c>
      <c r="F240" t="s">
        <v>31</v>
      </c>
      <c r="G240" t="s">
        <v>31</v>
      </c>
      <c r="H240" t="s">
        <v>31</v>
      </c>
      <c r="I240" t="s">
        <v>31</v>
      </c>
    </row>
    <row r="241" spans="1:9" x14ac:dyDescent="0.25">
      <c r="A241" t="s">
        <v>589</v>
      </c>
      <c r="B241" t="s">
        <v>575</v>
      </c>
      <c r="C241" t="s">
        <v>590</v>
      </c>
      <c r="D241" s="3">
        <v>3</v>
      </c>
      <c r="E241" t="s">
        <v>30</v>
      </c>
      <c r="F241" t="s">
        <v>237</v>
      </c>
      <c r="G241">
        <v>1</v>
      </c>
      <c r="H241">
        <v>4</v>
      </c>
      <c r="I241" t="s">
        <v>31</v>
      </c>
    </row>
    <row r="242" spans="1:9" x14ac:dyDescent="0.25">
      <c r="A242" t="s">
        <v>591</v>
      </c>
      <c r="B242" t="s">
        <v>575</v>
      </c>
      <c r="C242" t="s">
        <v>592</v>
      </c>
      <c r="D242" s="3">
        <v>1</v>
      </c>
      <c r="E242" t="s">
        <v>30</v>
      </c>
      <c r="F242" t="s">
        <v>285</v>
      </c>
      <c r="G242">
        <v>0.0001</v>
      </c>
      <c r="H242">
        <v>100000</v>
      </c>
      <c r="I242" t="s">
        <v>31</v>
      </c>
    </row>
    <row r="243" spans="1:9" x14ac:dyDescent="0.25">
      <c r="A243" t="s">
        <v>593</v>
      </c>
      <c r="B243" t="s">
        <v>594</v>
      </c>
      <c r="C243" t="s">
        <v>226</v>
      </c>
      <c r="D243" s="2" t="s">
        <v>594</v>
      </c>
      <c r="E243" t="s">
        <v>81</v>
      </c>
      <c r="F243" t="s">
        <v>31</v>
      </c>
      <c r="G243" t="s">
        <v>31</v>
      </c>
      <c r="H243" t="s">
        <v>31</v>
      </c>
      <c r="I243" t="s">
        <v>32</v>
      </c>
    </row>
    <row r="244" spans="1:9" x14ac:dyDescent="0.25">
      <c r="A244" t="s">
        <v>595</v>
      </c>
      <c r="B244" t="s">
        <v>594</v>
      </c>
      <c r="C244" t="s">
        <v>596</v>
      </c>
      <c r="D244" s="3" t="s">
        <v>597</v>
      </c>
      <c r="E244" t="s">
        <v>81</v>
      </c>
      <c r="F244" t="s">
        <v>31</v>
      </c>
      <c r="G244" t="s">
        <v>31</v>
      </c>
      <c r="H244" t="s">
        <v>31</v>
      </c>
      <c r="I244" t="s">
        <v>31</v>
      </c>
    </row>
    <row r="245" spans="1:9" x14ac:dyDescent="0.25">
      <c r="A245" t="s">
        <v>598</v>
      </c>
      <c r="B245" t="s">
        <v>594</v>
      </c>
      <c r="C245" t="s">
        <v>599</v>
      </c>
      <c r="D245" s="3">
        <v>1</v>
      </c>
      <c r="E245" t="s">
        <v>30</v>
      </c>
      <c r="F245" t="s">
        <v>237</v>
      </c>
      <c r="G245">
        <v>1</v>
      </c>
      <c r="H245">
        <v>4</v>
      </c>
      <c r="I245" t="s">
        <v>31</v>
      </c>
    </row>
    <row r="246" spans="1:9" x14ac:dyDescent="0.25">
      <c r="A246" t="s">
        <v>600</v>
      </c>
      <c r="B246" t="s">
        <v>594</v>
      </c>
      <c r="C246" t="s">
        <v>601</v>
      </c>
      <c r="D246" s="3">
        <v>1</v>
      </c>
      <c r="E246" t="s">
        <v>30</v>
      </c>
      <c r="F246" t="s">
        <v>285</v>
      </c>
      <c r="G246">
        <v>0.0001</v>
      </c>
      <c r="H246">
        <v>100000</v>
      </c>
      <c r="I246" t="s">
        <v>31</v>
      </c>
    </row>
    <row r="247" spans="1:9" x14ac:dyDescent="0.25">
      <c r="A247" t="s">
        <v>602</v>
      </c>
      <c r="B247" t="s">
        <v>594</v>
      </c>
      <c r="C247" t="s">
        <v>603</v>
      </c>
      <c r="D247" s="3" t="s">
        <v>597</v>
      </c>
      <c r="E247" t="s">
        <v>81</v>
      </c>
      <c r="F247" t="s">
        <v>31</v>
      </c>
      <c r="G247" t="s">
        <v>31</v>
      </c>
      <c r="H247" t="s">
        <v>31</v>
      </c>
      <c r="I247" t="s">
        <v>31</v>
      </c>
    </row>
    <row r="248" spans="1:9" x14ac:dyDescent="0.25">
      <c r="A248" t="s">
        <v>604</v>
      </c>
      <c r="B248" t="s">
        <v>594</v>
      </c>
      <c r="C248" t="s">
        <v>605</v>
      </c>
      <c r="D248" s="3">
        <v>1</v>
      </c>
      <c r="E248" t="s">
        <v>30</v>
      </c>
      <c r="F248" t="s">
        <v>237</v>
      </c>
      <c r="G248">
        <v>1</v>
      </c>
      <c r="H248">
        <v>4</v>
      </c>
      <c r="I248" t="s">
        <v>31</v>
      </c>
    </row>
    <row r="249" spans="1:9" x14ac:dyDescent="0.25">
      <c r="A249" t="s">
        <v>606</v>
      </c>
      <c r="B249" t="s">
        <v>594</v>
      </c>
      <c r="C249" t="s">
        <v>607</v>
      </c>
      <c r="D249" s="3">
        <v>1</v>
      </c>
      <c r="E249" t="s">
        <v>30</v>
      </c>
      <c r="F249" t="s">
        <v>285</v>
      </c>
      <c r="G249">
        <v>0.0001</v>
      </c>
      <c r="H249">
        <v>100000</v>
      </c>
      <c r="I249" t="s">
        <v>31</v>
      </c>
    </row>
    <row r="250" spans="1:9" x14ac:dyDescent="0.25">
      <c r="A250" t="s">
        <v>608</v>
      </c>
      <c r="B250" t="s">
        <v>594</v>
      </c>
      <c r="C250" t="s">
        <v>609</v>
      </c>
      <c r="D250" s="3" t="s">
        <v>597</v>
      </c>
      <c r="E250" t="s">
        <v>81</v>
      </c>
      <c r="F250" t="s">
        <v>31</v>
      </c>
      <c r="G250" t="s">
        <v>31</v>
      </c>
      <c r="H250" t="s">
        <v>31</v>
      </c>
      <c r="I250" t="s">
        <v>31</v>
      </c>
    </row>
    <row r="251" spans="1:9" x14ac:dyDescent="0.25">
      <c r="A251" t="s">
        <v>610</v>
      </c>
      <c r="B251" t="s">
        <v>594</v>
      </c>
      <c r="C251" t="s">
        <v>611</v>
      </c>
      <c r="D251" s="3">
        <v>1</v>
      </c>
      <c r="E251" t="s">
        <v>30</v>
      </c>
      <c r="F251" t="s">
        <v>237</v>
      </c>
      <c r="G251">
        <v>1</v>
      </c>
      <c r="H251">
        <v>4</v>
      </c>
      <c r="I251" t="s">
        <v>31</v>
      </c>
    </row>
    <row r="252" spans="1:9" x14ac:dyDescent="0.25">
      <c r="A252" t="s">
        <v>612</v>
      </c>
      <c r="B252" t="s">
        <v>594</v>
      </c>
      <c r="C252" t="s">
        <v>613</v>
      </c>
      <c r="D252" s="3">
        <v>1</v>
      </c>
      <c r="E252" t="s">
        <v>30</v>
      </c>
      <c r="F252" t="s">
        <v>285</v>
      </c>
      <c r="G252">
        <v>0.0001</v>
      </c>
      <c r="H252">
        <v>100000</v>
      </c>
      <c r="I252" t="s">
        <v>31</v>
      </c>
    </row>
    <row r="253" spans="1:9" x14ac:dyDescent="0.25">
      <c r="A253" t="s">
        <v>614</v>
      </c>
      <c r="B253" t="s">
        <v>594</v>
      </c>
      <c r="C253" t="s">
        <v>615</v>
      </c>
      <c r="D253" s="3" t="s">
        <v>616</v>
      </c>
      <c r="E253" t="s">
        <v>81</v>
      </c>
      <c r="F253" t="s">
        <v>31</v>
      </c>
      <c r="G253" t="s">
        <v>31</v>
      </c>
      <c r="H253" t="s">
        <v>31</v>
      </c>
      <c r="I253" t="s">
        <v>31</v>
      </c>
    </row>
    <row r="254" spans="1:9" x14ac:dyDescent="0.25">
      <c r="A254" t="s">
        <v>617</v>
      </c>
      <c r="B254" t="s">
        <v>594</v>
      </c>
      <c r="C254" t="s">
        <v>618</v>
      </c>
      <c r="D254" s="3">
        <v>1</v>
      </c>
      <c r="E254" t="s">
        <v>30</v>
      </c>
      <c r="F254" t="s">
        <v>237</v>
      </c>
      <c r="G254">
        <v>1</v>
      </c>
      <c r="H254">
        <v>4</v>
      </c>
      <c r="I254" t="s">
        <v>31</v>
      </c>
    </row>
    <row r="255" spans="1:9" x14ac:dyDescent="0.25">
      <c r="A255" t="s">
        <v>619</v>
      </c>
      <c r="B255" t="s">
        <v>594</v>
      </c>
      <c r="C255" t="s">
        <v>620</v>
      </c>
      <c r="D255" s="3">
        <v>1</v>
      </c>
      <c r="E255" t="s">
        <v>30</v>
      </c>
      <c r="F255" t="s">
        <v>285</v>
      </c>
      <c r="G255">
        <v>0.0001</v>
      </c>
      <c r="H255">
        <v>100000</v>
      </c>
      <c r="I255" t="s">
        <v>31</v>
      </c>
    </row>
    <row r="256" spans="1:9" x14ac:dyDescent="0.25">
      <c r="A256" t="s">
        <v>621</v>
      </c>
      <c r="B256" t="s">
        <v>594</v>
      </c>
      <c r="C256" t="s">
        <v>622</v>
      </c>
      <c r="D256" s="3" t="s">
        <v>616</v>
      </c>
      <c r="E256" t="s">
        <v>81</v>
      </c>
      <c r="F256" t="s">
        <v>31</v>
      </c>
      <c r="G256" t="s">
        <v>31</v>
      </c>
      <c r="H256" t="s">
        <v>31</v>
      </c>
      <c r="I256" t="s">
        <v>31</v>
      </c>
    </row>
    <row r="257" spans="1:9" x14ac:dyDescent="0.25">
      <c r="A257" t="s">
        <v>623</v>
      </c>
      <c r="B257" t="s">
        <v>594</v>
      </c>
      <c r="C257" t="s">
        <v>624</v>
      </c>
      <c r="D257" s="3">
        <v>2</v>
      </c>
      <c r="E257" t="s">
        <v>30</v>
      </c>
      <c r="F257" t="s">
        <v>237</v>
      </c>
      <c r="G257">
        <v>1</v>
      </c>
      <c r="H257">
        <v>4</v>
      </c>
      <c r="I257" t="s">
        <v>31</v>
      </c>
    </row>
    <row r="258" spans="1:9" x14ac:dyDescent="0.25">
      <c r="A258" t="s">
        <v>625</v>
      </c>
      <c r="B258" t="s">
        <v>594</v>
      </c>
      <c r="C258" t="s">
        <v>626</v>
      </c>
      <c r="D258" s="3">
        <v>1</v>
      </c>
      <c r="E258" t="s">
        <v>30</v>
      </c>
      <c r="F258" t="s">
        <v>285</v>
      </c>
      <c r="G258">
        <v>0.0001</v>
      </c>
      <c r="H258">
        <v>100000</v>
      </c>
      <c r="I258" t="s">
        <v>31</v>
      </c>
    </row>
    <row r="259" spans="1:9" x14ac:dyDescent="0.25">
      <c r="A259" t="s">
        <v>627</v>
      </c>
      <c r="B259" t="s">
        <v>594</v>
      </c>
      <c r="C259" t="s">
        <v>628</v>
      </c>
      <c r="D259" s="3" t="s">
        <v>173</v>
      </c>
      <c r="E259" t="s">
        <v>81</v>
      </c>
      <c r="F259" t="s">
        <v>31</v>
      </c>
      <c r="G259" t="s">
        <v>31</v>
      </c>
      <c r="H259" t="s">
        <v>31</v>
      </c>
      <c r="I259" t="s">
        <v>31</v>
      </c>
    </row>
    <row r="260" spans="1:9" x14ac:dyDescent="0.25">
      <c r="A260" t="s">
        <v>629</v>
      </c>
      <c r="B260" t="s">
        <v>594</v>
      </c>
      <c r="C260" t="s">
        <v>630</v>
      </c>
      <c r="D260" s="3">
        <v>1</v>
      </c>
      <c r="E260" t="s">
        <v>30</v>
      </c>
      <c r="F260" t="s">
        <v>237</v>
      </c>
      <c r="G260">
        <v>1</v>
      </c>
      <c r="H260">
        <v>4</v>
      </c>
      <c r="I260" t="s">
        <v>31</v>
      </c>
    </row>
    <row r="261" spans="1:9" x14ac:dyDescent="0.25">
      <c r="A261" t="s">
        <v>631</v>
      </c>
      <c r="B261" t="s">
        <v>594</v>
      </c>
      <c r="C261" t="s">
        <v>632</v>
      </c>
      <c r="D261" s="3">
        <v>1</v>
      </c>
      <c r="E261" t="s">
        <v>30</v>
      </c>
      <c r="F261" t="s">
        <v>285</v>
      </c>
      <c r="G261">
        <v>0.0001</v>
      </c>
      <c r="H261">
        <v>100000</v>
      </c>
      <c r="I261" t="s">
        <v>31</v>
      </c>
    </row>
    <row r="262" spans="1:9" x14ac:dyDescent="0.25">
      <c r="A262" t="s">
        <v>633</v>
      </c>
      <c r="B262" t="s">
        <v>634</v>
      </c>
      <c r="C262" t="s">
        <v>226</v>
      </c>
      <c r="D262" s="2" t="s">
        <v>634</v>
      </c>
      <c r="E262" t="s">
        <v>81</v>
      </c>
      <c r="F262" t="s">
        <v>31</v>
      </c>
      <c r="G262" t="s">
        <v>31</v>
      </c>
      <c r="H262" t="s">
        <v>31</v>
      </c>
      <c r="I262" t="s">
        <v>32</v>
      </c>
    </row>
    <row r="263" spans="1:9" x14ac:dyDescent="0.25">
      <c r="A263" t="s">
        <v>635</v>
      </c>
      <c r="B263" t="s">
        <v>634</v>
      </c>
      <c r="C263" t="s">
        <v>596</v>
      </c>
      <c r="D263" s="3" t="s">
        <v>159</v>
      </c>
      <c r="E263" t="s">
        <v>81</v>
      </c>
      <c r="F263" t="s">
        <v>31</v>
      </c>
      <c r="G263" t="s">
        <v>31</v>
      </c>
      <c r="H263" t="s">
        <v>31</v>
      </c>
      <c r="I263" t="s">
        <v>31</v>
      </c>
    </row>
    <row r="264" spans="1:9" x14ac:dyDescent="0.25">
      <c r="A264" t="s">
        <v>636</v>
      </c>
      <c r="B264" t="s">
        <v>634</v>
      </c>
      <c r="C264" t="s">
        <v>599</v>
      </c>
      <c r="D264" s="3">
        <v>1</v>
      </c>
      <c r="E264" t="s">
        <v>30</v>
      </c>
      <c r="F264" t="s">
        <v>237</v>
      </c>
      <c r="G264">
        <v>1</v>
      </c>
      <c r="H264">
        <v>4</v>
      </c>
      <c r="I264" t="s">
        <v>31</v>
      </c>
    </row>
    <row r="265" spans="1:9" x14ac:dyDescent="0.25">
      <c r="A265" t="s">
        <v>637</v>
      </c>
      <c r="B265" t="s">
        <v>634</v>
      </c>
      <c r="C265" t="s">
        <v>601</v>
      </c>
      <c r="D265" s="3">
        <v>8</v>
      </c>
      <c r="E265" t="s">
        <v>30</v>
      </c>
      <c r="F265" t="s">
        <v>285</v>
      </c>
      <c r="G265">
        <v>0.0001</v>
      </c>
      <c r="H265">
        <v>100000</v>
      </c>
      <c r="I265" t="s">
        <v>31</v>
      </c>
    </row>
    <row r="266" spans="1:9" x14ac:dyDescent="0.25">
      <c r="A266" t="s">
        <v>638</v>
      </c>
      <c r="B266" t="s">
        <v>634</v>
      </c>
      <c r="C266" t="s">
        <v>603</v>
      </c>
      <c r="D266" s="3" t="s">
        <v>159</v>
      </c>
      <c r="E266" t="s">
        <v>81</v>
      </c>
      <c r="F266" t="s">
        <v>31</v>
      </c>
      <c r="G266" t="s">
        <v>31</v>
      </c>
      <c r="H266" t="s">
        <v>31</v>
      </c>
      <c r="I266" t="s">
        <v>31</v>
      </c>
    </row>
    <row r="267" spans="1:9" x14ac:dyDescent="0.25">
      <c r="A267" t="s">
        <v>639</v>
      </c>
      <c r="B267" t="s">
        <v>634</v>
      </c>
      <c r="C267" t="s">
        <v>605</v>
      </c>
      <c r="D267" s="3">
        <v>2</v>
      </c>
      <c r="E267" t="s">
        <v>30</v>
      </c>
      <c r="F267" t="s">
        <v>237</v>
      </c>
      <c r="G267">
        <v>1</v>
      </c>
      <c r="H267">
        <v>4</v>
      </c>
      <c r="I267" t="s">
        <v>31</v>
      </c>
    </row>
    <row r="268" spans="1:9" x14ac:dyDescent="0.25">
      <c r="A268" t="s">
        <v>640</v>
      </c>
      <c r="B268" t="s">
        <v>634</v>
      </c>
      <c r="C268" t="s">
        <v>607</v>
      </c>
      <c r="D268" s="3">
        <v>5</v>
      </c>
      <c r="E268" t="s">
        <v>30</v>
      </c>
      <c r="F268" t="s">
        <v>285</v>
      </c>
      <c r="G268">
        <v>0.0001</v>
      </c>
      <c r="H268">
        <v>100000</v>
      </c>
      <c r="I268" t="s">
        <v>31</v>
      </c>
    </row>
    <row r="269" spans="1:9" x14ac:dyDescent="0.25">
      <c r="A269" t="s">
        <v>641</v>
      </c>
      <c r="B269" t="s">
        <v>634</v>
      </c>
      <c r="C269" t="s">
        <v>609</v>
      </c>
      <c r="D269" s="3" t="s">
        <v>164</v>
      </c>
      <c r="E269" t="s">
        <v>81</v>
      </c>
      <c r="F269" t="s">
        <v>31</v>
      </c>
      <c r="G269" t="s">
        <v>31</v>
      </c>
      <c r="H269" t="s">
        <v>31</v>
      </c>
      <c r="I269" t="s">
        <v>31</v>
      </c>
    </row>
    <row r="270" spans="1:9" x14ac:dyDescent="0.25">
      <c r="A270" t="s">
        <v>642</v>
      </c>
      <c r="B270" t="s">
        <v>634</v>
      </c>
      <c r="C270" t="s">
        <v>611</v>
      </c>
      <c r="D270" s="3">
        <v>1</v>
      </c>
      <c r="E270" t="s">
        <v>30</v>
      </c>
      <c r="F270" t="s">
        <v>237</v>
      </c>
      <c r="G270">
        <v>1</v>
      </c>
      <c r="H270">
        <v>4</v>
      </c>
      <c r="I270" t="s">
        <v>31</v>
      </c>
    </row>
    <row r="271" spans="1:9" x14ac:dyDescent="0.25">
      <c r="A271" t="s">
        <v>643</v>
      </c>
      <c r="B271" t="s">
        <v>634</v>
      </c>
      <c r="C271" t="s">
        <v>613</v>
      </c>
      <c r="D271" s="3">
        <v>6</v>
      </c>
      <c r="E271" t="s">
        <v>30</v>
      </c>
      <c r="F271" t="s">
        <v>285</v>
      </c>
      <c r="G271">
        <v>0.0001</v>
      </c>
      <c r="H271">
        <v>100000</v>
      </c>
      <c r="I271" t="s">
        <v>31</v>
      </c>
    </row>
    <row r="272" spans="1:9" x14ac:dyDescent="0.25">
      <c r="A272" t="s">
        <v>644</v>
      </c>
      <c r="B272" t="s">
        <v>634</v>
      </c>
      <c r="C272" t="s">
        <v>615</v>
      </c>
      <c r="D272" s="3" t="s">
        <v>164</v>
      </c>
      <c r="E272" t="s">
        <v>81</v>
      </c>
      <c r="F272" t="s">
        <v>31</v>
      </c>
      <c r="G272" t="s">
        <v>31</v>
      </c>
      <c r="H272" t="s">
        <v>31</v>
      </c>
      <c r="I272" t="s">
        <v>31</v>
      </c>
    </row>
    <row r="273" spans="1:9" x14ac:dyDescent="0.25">
      <c r="A273" t="s">
        <v>645</v>
      </c>
      <c r="B273" t="s">
        <v>634</v>
      </c>
      <c r="C273" t="s">
        <v>618</v>
      </c>
      <c r="D273" s="3">
        <v>2</v>
      </c>
      <c r="E273" t="s">
        <v>30</v>
      </c>
      <c r="F273" t="s">
        <v>237</v>
      </c>
      <c r="G273">
        <v>1</v>
      </c>
      <c r="H273">
        <v>4</v>
      </c>
      <c r="I273" t="s">
        <v>31</v>
      </c>
    </row>
    <row r="274" spans="1:9" x14ac:dyDescent="0.25">
      <c r="A274" t="s">
        <v>646</v>
      </c>
      <c r="B274" t="s">
        <v>634</v>
      </c>
      <c r="C274" t="s">
        <v>620</v>
      </c>
      <c r="D274" s="3">
        <v>2</v>
      </c>
      <c r="E274" t="s">
        <v>30</v>
      </c>
      <c r="F274" t="s">
        <v>285</v>
      </c>
      <c r="G274">
        <v>0.0001</v>
      </c>
      <c r="H274">
        <v>100000</v>
      </c>
      <c r="I274" t="s">
        <v>31</v>
      </c>
    </row>
    <row r="275" spans="1:9" x14ac:dyDescent="0.25">
      <c r="A275" t="s">
        <v>647</v>
      </c>
      <c r="B275" t="s">
        <v>634</v>
      </c>
      <c r="C275" t="s">
        <v>622</v>
      </c>
      <c r="D275" s="3" t="s">
        <v>182</v>
      </c>
      <c r="E275" t="s">
        <v>81</v>
      </c>
      <c r="F275" t="s">
        <v>31</v>
      </c>
      <c r="G275" t="s">
        <v>31</v>
      </c>
      <c r="H275" t="s">
        <v>31</v>
      </c>
      <c r="I275" t="s">
        <v>31</v>
      </c>
    </row>
    <row r="276" spans="1:9" x14ac:dyDescent="0.25">
      <c r="A276" t="s">
        <v>648</v>
      </c>
      <c r="B276" t="s">
        <v>634</v>
      </c>
      <c r="C276" t="s">
        <v>624</v>
      </c>
      <c r="D276" s="3">
        <v>1</v>
      </c>
      <c r="E276" t="s">
        <v>30</v>
      </c>
      <c r="F276" t="s">
        <v>237</v>
      </c>
      <c r="G276">
        <v>1</v>
      </c>
      <c r="H276">
        <v>4</v>
      </c>
      <c r="I276" t="s">
        <v>31</v>
      </c>
    </row>
    <row r="277" spans="1:9" x14ac:dyDescent="0.25">
      <c r="A277" t="s">
        <v>649</v>
      </c>
      <c r="B277" t="s">
        <v>634</v>
      </c>
      <c r="C277" t="s">
        <v>626</v>
      </c>
      <c r="D277" s="3">
        <v>2</v>
      </c>
      <c r="E277" t="s">
        <v>30</v>
      </c>
      <c r="F277" t="s">
        <v>285</v>
      </c>
      <c r="G277">
        <v>0.0001</v>
      </c>
      <c r="H277">
        <v>100000</v>
      </c>
      <c r="I277" t="s">
        <v>31</v>
      </c>
    </row>
    <row r="278" spans="1:9" x14ac:dyDescent="0.25">
      <c r="A278" t="s">
        <v>650</v>
      </c>
      <c r="B278" t="s">
        <v>651</v>
      </c>
      <c r="C278" t="s">
        <v>226</v>
      </c>
      <c r="D278" s="2" t="s">
        <v>651</v>
      </c>
      <c r="E278" t="s">
        <v>81</v>
      </c>
      <c r="F278" t="s">
        <v>31</v>
      </c>
      <c r="G278" t="s">
        <v>31</v>
      </c>
      <c r="H278" t="s">
        <v>31</v>
      </c>
      <c r="I278" t="s">
        <v>32</v>
      </c>
    </row>
    <row r="279" spans="1:9" x14ac:dyDescent="0.25">
      <c r="A279" t="s">
        <v>652</v>
      </c>
      <c r="B279" t="s">
        <v>651</v>
      </c>
      <c r="C279" t="s">
        <v>596</v>
      </c>
      <c r="D279" s="3" t="s">
        <v>653</v>
      </c>
      <c r="E279" t="s">
        <v>81</v>
      </c>
      <c r="F279" t="s">
        <v>31</v>
      </c>
      <c r="G279" t="s">
        <v>31</v>
      </c>
      <c r="H279" t="s">
        <v>31</v>
      </c>
      <c r="I279" t="s">
        <v>31</v>
      </c>
    </row>
    <row r="280" spans="1:9" x14ac:dyDescent="0.25">
      <c r="A280" t="s">
        <v>654</v>
      </c>
      <c r="B280" t="s">
        <v>651</v>
      </c>
      <c r="C280" t="s">
        <v>599</v>
      </c>
      <c r="D280" s="3">
        <v>1</v>
      </c>
      <c r="E280" t="s">
        <v>30</v>
      </c>
      <c r="F280" t="s">
        <v>237</v>
      </c>
      <c r="G280">
        <v>1</v>
      </c>
      <c r="H280">
        <v>4</v>
      </c>
      <c r="I280" t="s">
        <v>31</v>
      </c>
    </row>
    <row r="281" spans="1:9" x14ac:dyDescent="0.25">
      <c r="A281" t="s">
        <v>655</v>
      </c>
      <c r="B281" t="s">
        <v>651</v>
      </c>
      <c r="C281" t="s">
        <v>601</v>
      </c>
      <c r="D281" s="3">
        <v>1</v>
      </c>
      <c r="E281" t="s">
        <v>30</v>
      </c>
      <c r="F281" t="s">
        <v>285</v>
      </c>
      <c r="G281">
        <v>0.0001</v>
      </c>
      <c r="H281">
        <v>100000</v>
      </c>
      <c r="I281" t="s">
        <v>31</v>
      </c>
    </row>
    <row r="282" spans="1:9" x14ac:dyDescent="0.25">
      <c r="A282" t="s">
        <v>656</v>
      </c>
      <c r="B282" t="s">
        <v>651</v>
      </c>
      <c r="C282" t="s">
        <v>603</v>
      </c>
      <c r="D282" s="3" t="s">
        <v>653</v>
      </c>
      <c r="E282" t="s">
        <v>81</v>
      </c>
      <c r="F282" t="s">
        <v>31</v>
      </c>
      <c r="G282" t="s">
        <v>31</v>
      </c>
      <c r="H282" t="s">
        <v>31</v>
      </c>
      <c r="I282" t="s">
        <v>31</v>
      </c>
    </row>
    <row r="283" spans="1:9" x14ac:dyDescent="0.25">
      <c r="A283" t="s">
        <v>657</v>
      </c>
      <c r="B283" t="s">
        <v>651</v>
      </c>
      <c r="C283" t="s">
        <v>605</v>
      </c>
      <c r="D283" s="3">
        <v>2</v>
      </c>
      <c r="E283" t="s">
        <v>30</v>
      </c>
      <c r="F283" t="s">
        <v>237</v>
      </c>
      <c r="G283">
        <v>1</v>
      </c>
      <c r="H283">
        <v>4</v>
      </c>
      <c r="I283" t="s">
        <v>31</v>
      </c>
    </row>
    <row r="284" spans="1:9" x14ac:dyDescent="0.25">
      <c r="A284" t="s">
        <v>658</v>
      </c>
      <c r="B284" t="s">
        <v>651</v>
      </c>
      <c r="C284" t="s">
        <v>607</v>
      </c>
      <c r="D284" s="3">
        <v>1</v>
      </c>
      <c r="E284" t="s">
        <v>30</v>
      </c>
      <c r="F284" t="s">
        <v>285</v>
      </c>
      <c r="G284">
        <v>0.0001</v>
      </c>
      <c r="H284">
        <v>100000</v>
      </c>
      <c r="I284" t="s">
        <v>31</v>
      </c>
    </row>
    <row r="285" spans="1:9" x14ac:dyDescent="0.25">
      <c r="A285" t="s">
        <v>659</v>
      </c>
      <c r="B285" t="s">
        <v>651</v>
      </c>
      <c r="C285" t="s">
        <v>609</v>
      </c>
      <c r="D285" s="3" t="s">
        <v>653</v>
      </c>
      <c r="E285" t="s">
        <v>81</v>
      </c>
      <c r="F285" t="s">
        <v>31</v>
      </c>
      <c r="G285" t="s">
        <v>31</v>
      </c>
      <c r="H285" t="s">
        <v>31</v>
      </c>
      <c r="I285" t="s">
        <v>31</v>
      </c>
    </row>
    <row r="286" spans="1:9" x14ac:dyDescent="0.25">
      <c r="A286" t="s">
        <v>660</v>
      </c>
      <c r="B286" t="s">
        <v>651</v>
      </c>
      <c r="C286" t="s">
        <v>611</v>
      </c>
      <c r="D286" s="3">
        <v>3</v>
      </c>
      <c r="E286" t="s">
        <v>30</v>
      </c>
      <c r="F286" t="s">
        <v>237</v>
      </c>
      <c r="G286">
        <v>1</v>
      </c>
      <c r="H286">
        <v>4</v>
      </c>
      <c r="I286" t="s">
        <v>31</v>
      </c>
    </row>
    <row r="287" spans="1:9" x14ac:dyDescent="0.25">
      <c r="A287" t="s">
        <v>661</v>
      </c>
      <c r="B287" t="s">
        <v>651</v>
      </c>
      <c r="C287" t="s">
        <v>613</v>
      </c>
      <c r="D287" s="3">
        <v>1</v>
      </c>
      <c r="E287" t="s">
        <v>30</v>
      </c>
      <c r="F287" t="s">
        <v>285</v>
      </c>
      <c r="G287">
        <v>0.0001</v>
      </c>
      <c r="H287">
        <v>100000</v>
      </c>
      <c r="I287" t="s">
        <v>31</v>
      </c>
    </row>
    <row r="288" spans="1:9" x14ac:dyDescent="0.25">
      <c r="A288" t="s">
        <v>662</v>
      </c>
      <c r="B288" t="s">
        <v>651</v>
      </c>
      <c r="C288" t="s">
        <v>615</v>
      </c>
      <c r="D288" s="3" t="s">
        <v>616</v>
      </c>
      <c r="E288" t="s">
        <v>81</v>
      </c>
      <c r="F288" t="s">
        <v>31</v>
      </c>
      <c r="G288" t="s">
        <v>31</v>
      </c>
      <c r="H288" t="s">
        <v>31</v>
      </c>
      <c r="I288" t="s">
        <v>31</v>
      </c>
    </row>
    <row r="289" spans="1:9" x14ac:dyDescent="0.25">
      <c r="A289" t="s">
        <v>663</v>
      </c>
      <c r="B289" t="s">
        <v>651</v>
      </c>
      <c r="C289" t="s">
        <v>618</v>
      </c>
      <c r="D289" s="3">
        <v>1</v>
      </c>
      <c r="E289" t="s">
        <v>30</v>
      </c>
      <c r="F289" t="s">
        <v>237</v>
      </c>
      <c r="G289">
        <v>1</v>
      </c>
      <c r="H289">
        <v>4</v>
      </c>
      <c r="I289" t="s">
        <v>31</v>
      </c>
    </row>
    <row r="290" spans="1:9" x14ac:dyDescent="0.25">
      <c r="A290" t="s">
        <v>664</v>
      </c>
      <c r="B290" t="s">
        <v>651</v>
      </c>
      <c r="C290" t="s">
        <v>620</v>
      </c>
      <c r="D290" s="3">
        <v>1</v>
      </c>
      <c r="E290" t="s">
        <v>30</v>
      </c>
      <c r="F290" t="s">
        <v>285</v>
      </c>
      <c r="G290">
        <v>0.0001</v>
      </c>
      <c r="H290">
        <v>100000</v>
      </c>
      <c r="I290" t="s">
        <v>31</v>
      </c>
    </row>
    <row r="291" spans="1:9" x14ac:dyDescent="0.25">
      <c r="A291" t="s">
        <v>665</v>
      </c>
      <c r="B291" t="s">
        <v>651</v>
      </c>
      <c r="C291" t="s">
        <v>622</v>
      </c>
      <c r="D291" s="3" t="s">
        <v>616</v>
      </c>
      <c r="E291" t="s">
        <v>81</v>
      </c>
      <c r="F291" t="s">
        <v>31</v>
      </c>
      <c r="G291" t="s">
        <v>31</v>
      </c>
      <c r="H291" t="s">
        <v>31</v>
      </c>
      <c r="I291" t="s">
        <v>31</v>
      </c>
    </row>
    <row r="292" spans="1:9" x14ac:dyDescent="0.25">
      <c r="A292" t="s">
        <v>666</v>
      </c>
      <c r="B292" t="s">
        <v>651</v>
      </c>
      <c r="C292" t="s">
        <v>624</v>
      </c>
      <c r="D292" s="3">
        <v>2</v>
      </c>
      <c r="E292" t="s">
        <v>30</v>
      </c>
      <c r="F292" t="s">
        <v>237</v>
      </c>
      <c r="G292">
        <v>1</v>
      </c>
      <c r="H292">
        <v>4</v>
      </c>
      <c r="I292" t="s">
        <v>31</v>
      </c>
    </row>
    <row r="293" spans="1:9" x14ac:dyDescent="0.25">
      <c r="A293" t="s">
        <v>667</v>
      </c>
      <c r="B293" t="s">
        <v>651</v>
      </c>
      <c r="C293" t="s">
        <v>626</v>
      </c>
      <c r="D293" s="3">
        <v>1</v>
      </c>
      <c r="E293" t="s">
        <v>30</v>
      </c>
      <c r="F293" t="s">
        <v>285</v>
      </c>
      <c r="G293">
        <v>0.0001</v>
      </c>
      <c r="H293">
        <v>100000</v>
      </c>
      <c r="I293" t="s">
        <v>31</v>
      </c>
    </row>
    <row r="294" spans="1:9" x14ac:dyDescent="0.25">
      <c r="A294" t="s">
        <v>668</v>
      </c>
      <c r="B294" t="s">
        <v>651</v>
      </c>
      <c r="C294" t="s">
        <v>628</v>
      </c>
      <c r="D294" s="3" t="s">
        <v>597</v>
      </c>
      <c r="E294" t="s">
        <v>81</v>
      </c>
      <c r="F294" t="s">
        <v>31</v>
      </c>
      <c r="G294" t="s">
        <v>31</v>
      </c>
      <c r="H294" t="s">
        <v>31</v>
      </c>
      <c r="I294" t="s">
        <v>31</v>
      </c>
    </row>
    <row r="295" spans="1:9" x14ac:dyDescent="0.25">
      <c r="A295" t="s">
        <v>669</v>
      </c>
      <c r="B295" t="s">
        <v>651</v>
      </c>
      <c r="C295" t="s">
        <v>630</v>
      </c>
      <c r="D295" s="3">
        <v>1</v>
      </c>
      <c r="E295" t="s">
        <v>30</v>
      </c>
      <c r="F295" t="s">
        <v>237</v>
      </c>
      <c r="G295">
        <v>1</v>
      </c>
      <c r="H295">
        <v>4</v>
      </c>
      <c r="I295" t="s">
        <v>31</v>
      </c>
    </row>
    <row r="296" spans="1:9" x14ac:dyDescent="0.25">
      <c r="A296" t="s">
        <v>670</v>
      </c>
      <c r="B296" t="s">
        <v>651</v>
      </c>
      <c r="C296" t="s">
        <v>632</v>
      </c>
      <c r="D296" s="3">
        <v>1</v>
      </c>
      <c r="E296" t="s">
        <v>30</v>
      </c>
      <c r="F296" t="s">
        <v>285</v>
      </c>
      <c r="G296">
        <v>0.0001</v>
      </c>
      <c r="H296">
        <v>100000</v>
      </c>
      <c r="I296" t="s">
        <v>31</v>
      </c>
    </row>
    <row r="297" spans="1:9" x14ac:dyDescent="0.25">
      <c r="A297" t="s">
        <v>671</v>
      </c>
      <c r="B297" t="s">
        <v>672</v>
      </c>
      <c r="C297" t="s">
        <v>226</v>
      </c>
      <c r="D297" s="2" t="s">
        <v>672</v>
      </c>
      <c r="E297" t="s">
        <v>81</v>
      </c>
      <c r="F297" t="s">
        <v>31</v>
      </c>
      <c r="G297" t="s">
        <v>31</v>
      </c>
      <c r="H297" t="s">
        <v>31</v>
      </c>
      <c r="I297" t="s">
        <v>32</v>
      </c>
    </row>
    <row r="298" spans="1:9" x14ac:dyDescent="0.25">
      <c r="A298" t="s">
        <v>673</v>
      </c>
      <c r="B298" t="s">
        <v>672</v>
      </c>
      <c r="C298" t="s">
        <v>596</v>
      </c>
      <c r="D298" s="3" t="s">
        <v>170</v>
      </c>
      <c r="E298" t="s">
        <v>81</v>
      </c>
      <c r="F298" t="s">
        <v>31</v>
      </c>
      <c r="G298" t="s">
        <v>31</v>
      </c>
      <c r="H298" t="s">
        <v>31</v>
      </c>
      <c r="I298" t="s">
        <v>31</v>
      </c>
    </row>
    <row r="299" spans="1:9" x14ac:dyDescent="0.25">
      <c r="A299" t="s">
        <v>674</v>
      </c>
      <c r="B299" t="s">
        <v>672</v>
      </c>
      <c r="C299" t="s">
        <v>599</v>
      </c>
      <c r="D299" s="3">
        <v>1</v>
      </c>
      <c r="E299" t="s">
        <v>30</v>
      </c>
      <c r="F299" t="s">
        <v>237</v>
      </c>
      <c r="G299">
        <v>1</v>
      </c>
      <c r="H299">
        <v>4</v>
      </c>
      <c r="I299" t="s">
        <v>31</v>
      </c>
    </row>
    <row r="300" spans="1:9" x14ac:dyDescent="0.25">
      <c r="A300" t="s">
        <v>675</v>
      </c>
      <c r="B300" t="s">
        <v>672</v>
      </c>
      <c r="C300" t="s">
        <v>601</v>
      </c>
      <c r="D300" s="3">
        <v>5</v>
      </c>
      <c r="E300" t="s">
        <v>30</v>
      </c>
      <c r="F300" t="s">
        <v>285</v>
      </c>
      <c r="G300">
        <v>0.0001</v>
      </c>
      <c r="H300">
        <v>100000</v>
      </c>
      <c r="I300" t="s">
        <v>31</v>
      </c>
    </row>
    <row r="301" spans="1:9" x14ac:dyDescent="0.25">
      <c r="A301" t="s">
        <v>676</v>
      </c>
      <c r="B301" t="s">
        <v>672</v>
      </c>
      <c r="C301" t="s">
        <v>603</v>
      </c>
      <c r="D301" s="3" t="s">
        <v>170</v>
      </c>
      <c r="E301" t="s">
        <v>81</v>
      </c>
      <c r="F301" t="s">
        <v>31</v>
      </c>
      <c r="G301" t="s">
        <v>31</v>
      </c>
      <c r="H301" t="s">
        <v>31</v>
      </c>
      <c r="I301" t="s">
        <v>31</v>
      </c>
    </row>
    <row r="302" spans="1:9" x14ac:dyDescent="0.25">
      <c r="A302" t="s">
        <v>677</v>
      </c>
      <c r="B302" t="s">
        <v>672</v>
      </c>
      <c r="C302" t="s">
        <v>605</v>
      </c>
      <c r="D302" s="3">
        <v>2</v>
      </c>
      <c r="E302" t="s">
        <v>30</v>
      </c>
      <c r="F302" t="s">
        <v>237</v>
      </c>
      <c r="G302">
        <v>1</v>
      </c>
      <c r="H302">
        <v>4</v>
      </c>
      <c r="I302" t="s">
        <v>31</v>
      </c>
    </row>
    <row r="303" spans="1:9" x14ac:dyDescent="0.25">
      <c r="A303" t="s">
        <v>678</v>
      </c>
      <c r="B303" t="s">
        <v>672</v>
      </c>
      <c r="C303" t="s">
        <v>607</v>
      </c>
      <c r="D303" s="3">
        <v>3</v>
      </c>
      <c r="E303" t="s">
        <v>30</v>
      </c>
      <c r="F303" t="s">
        <v>285</v>
      </c>
      <c r="G303">
        <v>0.0001</v>
      </c>
      <c r="H303">
        <v>100000</v>
      </c>
      <c r="I303" t="s">
        <v>31</v>
      </c>
    </row>
    <row r="304" spans="1:9" x14ac:dyDescent="0.25">
      <c r="A304" t="s">
        <v>679</v>
      </c>
      <c r="B304" t="s">
        <v>672</v>
      </c>
      <c r="C304" t="s">
        <v>609</v>
      </c>
      <c r="D304" s="3" t="s">
        <v>170</v>
      </c>
      <c r="E304" t="s">
        <v>81</v>
      </c>
      <c r="F304" t="s">
        <v>31</v>
      </c>
      <c r="G304" t="s">
        <v>31</v>
      </c>
      <c r="H304" t="s">
        <v>31</v>
      </c>
      <c r="I304" t="s">
        <v>31</v>
      </c>
    </row>
    <row r="305" spans="1:9" x14ac:dyDescent="0.25">
      <c r="A305" t="s">
        <v>680</v>
      </c>
      <c r="B305" t="s">
        <v>672</v>
      </c>
      <c r="C305" t="s">
        <v>611</v>
      </c>
      <c r="D305" s="3">
        <v>3</v>
      </c>
      <c r="E305" t="s">
        <v>30</v>
      </c>
      <c r="F305" t="s">
        <v>237</v>
      </c>
      <c r="G305">
        <v>1</v>
      </c>
      <c r="H305">
        <v>4</v>
      </c>
      <c r="I305" t="s">
        <v>31</v>
      </c>
    </row>
    <row r="306" spans="1:9" x14ac:dyDescent="0.25">
      <c r="A306" t="s">
        <v>681</v>
      </c>
      <c r="B306" t="s">
        <v>672</v>
      </c>
      <c r="C306" t="s">
        <v>613</v>
      </c>
      <c r="D306" s="3">
        <v>1</v>
      </c>
      <c r="E306" t="s">
        <v>30</v>
      </c>
      <c r="F306" t="s">
        <v>285</v>
      </c>
      <c r="G306">
        <v>0.0001</v>
      </c>
      <c r="H306">
        <v>100000</v>
      </c>
      <c r="I306" t="s">
        <v>31</v>
      </c>
    </row>
    <row r="307" spans="1:9" x14ac:dyDescent="0.25">
      <c r="A307" t="s">
        <v>682</v>
      </c>
      <c r="B307" t="s">
        <v>672</v>
      </c>
      <c r="C307" t="s">
        <v>615</v>
      </c>
      <c r="D307" s="3" t="s">
        <v>182</v>
      </c>
      <c r="E307" t="s">
        <v>81</v>
      </c>
      <c r="F307" t="s">
        <v>31</v>
      </c>
      <c r="G307" t="s">
        <v>31</v>
      </c>
      <c r="H307" t="s">
        <v>31</v>
      </c>
      <c r="I307" t="s">
        <v>31</v>
      </c>
    </row>
    <row r="308" spans="1:9" x14ac:dyDescent="0.25">
      <c r="A308" t="s">
        <v>683</v>
      </c>
      <c r="B308" t="s">
        <v>672</v>
      </c>
      <c r="C308" t="s">
        <v>618</v>
      </c>
      <c r="D308" s="3">
        <v>1</v>
      </c>
      <c r="E308" t="s">
        <v>30</v>
      </c>
      <c r="F308" t="s">
        <v>237</v>
      </c>
      <c r="G308">
        <v>1</v>
      </c>
      <c r="H308">
        <v>4</v>
      </c>
      <c r="I308" t="s">
        <v>31</v>
      </c>
    </row>
    <row r="309" spans="1:9" x14ac:dyDescent="0.25">
      <c r="A309" t="s">
        <v>684</v>
      </c>
      <c r="B309" t="s">
        <v>672</v>
      </c>
      <c r="C309" t="s">
        <v>620</v>
      </c>
      <c r="D309" s="3">
        <v>2</v>
      </c>
      <c r="E309" t="s">
        <v>30</v>
      </c>
      <c r="F309" t="s">
        <v>285</v>
      </c>
      <c r="G309">
        <v>0.0001</v>
      </c>
      <c r="H309">
        <v>100000</v>
      </c>
      <c r="I309" t="s">
        <v>31</v>
      </c>
    </row>
    <row r="310" spans="1:9" x14ac:dyDescent="0.25">
      <c r="A310" t="s">
        <v>685</v>
      </c>
      <c r="B310" t="s">
        <v>686</v>
      </c>
      <c r="C310" t="s">
        <v>226</v>
      </c>
      <c r="D310" s="2" t="s">
        <v>686</v>
      </c>
      <c r="E310" t="s">
        <v>81</v>
      </c>
      <c r="F310" t="s">
        <v>31</v>
      </c>
      <c r="G310" t="s">
        <v>31</v>
      </c>
      <c r="H310" t="s">
        <v>31</v>
      </c>
      <c r="I310" t="s">
        <v>32</v>
      </c>
    </row>
    <row r="311" spans="1:9" x14ac:dyDescent="0.25">
      <c r="A311" t="s">
        <v>687</v>
      </c>
      <c r="B311" t="s">
        <v>686</v>
      </c>
      <c r="C311" t="s">
        <v>596</v>
      </c>
      <c r="D311" s="3" t="s">
        <v>597</v>
      </c>
      <c r="E311" t="s">
        <v>81</v>
      </c>
      <c r="F311" t="s">
        <v>31</v>
      </c>
      <c r="G311" t="s">
        <v>31</v>
      </c>
      <c r="H311" t="s">
        <v>31</v>
      </c>
      <c r="I311" t="s">
        <v>31</v>
      </c>
    </row>
    <row r="312" spans="1:9" x14ac:dyDescent="0.25">
      <c r="A312" t="s">
        <v>688</v>
      </c>
      <c r="B312" t="s">
        <v>686</v>
      </c>
      <c r="C312" t="s">
        <v>599</v>
      </c>
      <c r="D312" s="3">
        <v>1</v>
      </c>
      <c r="E312" t="s">
        <v>30</v>
      </c>
      <c r="F312" t="s">
        <v>237</v>
      </c>
      <c r="G312">
        <v>1</v>
      </c>
      <c r="H312">
        <v>4</v>
      </c>
      <c r="I312" t="s">
        <v>31</v>
      </c>
    </row>
    <row r="313" spans="1:9" x14ac:dyDescent="0.25">
      <c r="A313" t="s">
        <v>689</v>
      </c>
      <c r="B313" t="s">
        <v>686</v>
      </c>
      <c r="C313" t="s">
        <v>601</v>
      </c>
      <c r="D313" s="3">
        <v>7</v>
      </c>
      <c r="E313" t="s">
        <v>30</v>
      </c>
      <c r="F313" t="s">
        <v>285</v>
      </c>
      <c r="G313">
        <v>0.0001</v>
      </c>
      <c r="H313">
        <v>100000</v>
      </c>
      <c r="I313" t="s">
        <v>31</v>
      </c>
    </row>
    <row r="314" spans="1:9" x14ac:dyDescent="0.25">
      <c r="A314" t="s">
        <v>690</v>
      </c>
      <c r="B314" t="s">
        <v>686</v>
      </c>
      <c r="C314" t="s">
        <v>603</v>
      </c>
      <c r="D314" s="3" t="s">
        <v>616</v>
      </c>
      <c r="E314" t="s">
        <v>81</v>
      </c>
      <c r="F314" t="s">
        <v>31</v>
      </c>
      <c r="G314" t="s">
        <v>31</v>
      </c>
      <c r="H314" t="s">
        <v>31</v>
      </c>
      <c r="I314" t="s">
        <v>31</v>
      </c>
    </row>
    <row r="315" spans="1:9" x14ac:dyDescent="0.25">
      <c r="A315" t="s">
        <v>691</v>
      </c>
      <c r="B315" t="s">
        <v>686</v>
      </c>
      <c r="C315" t="s">
        <v>605</v>
      </c>
      <c r="D315" s="3">
        <v>1</v>
      </c>
      <c r="E315" t="s">
        <v>30</v>
      </c>
      <c r="F315" t="s">
        <v>237</v>
      </c>
      <c r="G315">
        <v>1</v>
      </c>
      <c r="H315">
        <v>4</v>
      </c>
      <c r="I315" t="s">
        <v>31</v>
      </c>
    </row>
    <row r="316" spans="1:9" x14ac:dyDescent="0.25">
      <c r="A316" t="s">
        <v>692</v>
      </c>
      <c r="B316" t="s">
        <v>686</v>
      </c>
      <c r="C316" t="s">
        <v>607</v>
      </c>
      <c r="D316" s="3">
        <v>2</v>
      </c>
      <c r="E316" t="s">
        <v>30</v>
      </c>
      <c r="F316" t="s">
        <v>285</v>
      </c>
      <c r="G316">
        <v>0.0001</v>
      </c>
      <c r="H316">
        <v>100000</v>
      </c>
      <c r="I316" t="s">
        <v>31</v>
      </c>
    </row>
    <row r="317" spans="1:9" x14ac:dyDescent="0.25">
      <c r="A317" t="s">
        <v>693</v>
      </c>
      <c r="B317" t="s">
        <v>686</v>
      </c>
      <c r="C317" t="s">
        <v>609</v>
      </c>
      <c r="D317" s="3" t="s">
        <v>616</v>
      </c>
      <c r="E317" t="s">
        <v>81</v>
      </c>
      <c r="F317" t="s">
        <v>31</v>
      </c>
      <c r="G317" t="s">
        <v>31</v>
      </c>
      <c r="H317" t="s">
        <v>31</v>
      </c>
      <c r="I317" t="s">
        <v>31</v>
      </c>
    </row>
    <row r="318" spans="1:9" x14ac:dyDescent="0.25">
      <c r="A318" t="s">
        <v>694</v>
      </c>
      <c r="B318" t="s">
        <v>686</v>
      </c>
      <c r="C318" t="s">
        <v>611</v>
      </c>
      <c r="D318" s="3">
        <v>2</v>
      </c>
      <c r="E318" t="s">
        <v>30</v>
      </c>
      <c r="F318" t="s">
        <v>237</v>
      </c>
      <c r="G318">
        <v>1</v>
      </c>
      <c r="H318">
        <v>4</v>
      </c>
      <c r="I318" t="s">
        <v>31</v>
      </c>
    </row>
    <row r="319" spans="1:9" x14ac:dyDescent="0.25">
      <c r="A319" t="s">
        <v>695</v>
      </c>
      <c r="B319" t="s">
        <v>686</v>
      </c>
      <c r="C319" t="s">
        <v>613</v>
      </c>
      <c r="D319" s="3">
        <v>1</v>
      </c>
      <c r="E319" t="s">
        <v>30</v>
      </c>
      <c r="F319" t="s">
        <v>285</v>
      </c>
      <c r="G319">
        <v>0.0001</v>
      </c>
      <c r="H319">
        <v>100000</v>
      </c>
      <c r="I319" t="s">
        <v>31</v>
      </c>
    </row>
    <row r="320" spans="1:9" x14ac:dyDescent="0.25">
      <c r="A320" t="s">
        <v>696</v>
      </c>
      <c r="B320" t="s">
        <v>697</v>
      </c>
      <c r="C320" t="s">
        <v>226</v>
      </c>
      <c r="D320" s="2" t="s">
        <v>697</v>
      </c>
      <c r="E320" t="s">
        <v>81</v>
      </c>
      <c r="F320" t="s">
        <v>31</v>
      </c>
      <c r="G320" t="s">
        <v>31</v>
      </c>
      <c r="H320" t="s">
        <v>31</v>
      </c>
      <c r="I320" t="s">
        <v>32</v>
      </c>
    </row>
    <row r="321" spans="1:9" x14ac:dyDescent="0.25">
      <c r="A321" t="s">
        <v>698</v>
      </c>
      <c r="B321" t="s">
        <v>697</v>
      </c>
      <c r="C321" t="s">
        <v>280</v>
      </c>
      <c r="D321" s="3" t="s">
        <v>159</v>
      </c>
      <c r="E321" t="s">
        <v>81</v>
      </c>
      <c r="F321" t="s">
        <v>31</v>
      </c>
      <c r="G321" t="s">
        <v>31</v>
      </c>
      <c r="H321" t="s">
        <v>31</v>
      </c>
      <c r="I321" t="s">
        <v>31</v>
      </c>
    </row>
    <row r="322" spans="1:9" x14ac:dyDescent="0.25">
      <c r="A322" t="s">
        <v>699</v>
      </c>
      <c r="B322" t="s">
        <v>697</v>
      </c>
      <c r="C322" t="s">
        <v>282</v>
      </c>
      <c r="D322" s="3">
        <v>1</v>
      </c>
      <c r="E322" t="s">
        <v>30</v>
      </c>
      <c r="F322" t="s">
        <v>237</v>
      </c>
      <c r="G322">
        <v>1</v>
      </c>
      <c r="H322">
        <v>4</v>
      </c>
      <c r="I322" t="s">
        <v>31</v>
      </c>
    </row>
    <row r="323" spans="1:9" x14ac:dyDescent="0.25">
      <c r="A323" t="s">
        <v>700</v>
      </c>
      <c r="B323" t="s">
        <v>697</v>
      </c>
      <c r="C323" t="s">
        <v>284</v>
      </c>
      <c r="D323" s="3">
        <v>1</v>
      </c>
      <c r="E323" t="s">
        <v>30</v>
      </c>
      <c r="F323" t="s">
        <v>285</v>
      </c>
      <c r="G323">
        <v>0.0001</v>
      </c>
      <c r="H323">
        <v>100000</v>
      </c>
      <c r="I323" t="s">
        <v>31</v>
      </c>
    </row>
    <row r="324" spans="1:9" x14ac:dyDescent="0.25">
      <c r="A324" t="s">
        <v>701</v>
      </c>
      <c r="B324" t="s">
        <v>697</v>
      </c>
      <c r="C324" t="s">
        <v>287</v>
      </c>
      <c r="D324" s="3" t="s">
        <v>159</v>
      </c>
      <c r="E324" t="s">
        <v>81</v>
      </c>
      <c r="F324" t="s">
        <v>31</v>
      </c>
      <c r="G324" t="s">
        <v>31</v>
      </c>
      <c r="H324" t="s">
        <v>31</v>
      </c>
      <c r="I324" t="s">
        <v>31</v>
      </c>
    </row>
    <row r="325" spans="1:9" x14ac:dyDescent="0.25">
      <c r="A325" t="s">
        <v>702</v>
      </c>
      <c r="B325" t="s">
        <v>697</v>
      </c>
      <c r="C325" t="s">
        <v>289</v>
      </c>
      <c r="D325" s="3">
        <v>2</v>
      </c>
      <c r="E325" t="s">
        <v>30</v>
      </c>
      <c r="F325" t="s">
        <v>237</v>
      </c>
      <c r="G325">
        <v>1</v>
      </c>
      <c r="H325">
        <v>4</v>
      </c>
      <c r="I325" t="s">
        <v>31</v>
      </c>
    </row>
    <row r="326" spans="1:9" x14ac:dyDescent="0.25">
      <c r="A326" t="s">
        <v>703</v>
      </c>
      <c r="B326" t="s">
        <v>697</v>
      </c>
      <c r="C326" t="s">
        <v>291</v>
      </c>
      <c r="D326" s="3">
        <v>1</v>
      </c>
      <c r="E326" t="s">
        <v>30</v>
      </c>
      <c r="F326" t="s">
        <v>285</v>
      </c>
      <c r="G326">
        <v>0.0001</v>
      </c>
      <c r="H326">
        <v>100000</v>
      </c>
      <c r="I326" t="s">
        <v>31</v>
      </c>
    </row>
    <row r="327" spans="1:9" x14ac:dyDescent="0.25">
      <c r="A327" t="s">
        <v>704</v>
      </c>
      <c r="B327" t="s">
        <v>697</v>
      </c>
      <c r="C327" t="s">
        <v>293</v>
      </c>
      <c r="D327" s="3" t="s">
        <v>159</v>
      </c>
      <c r="E327" t="s">
        <v>81</v>
      </c>
      <c r="F327" t="s">
        <v>31</v>
      </c>
      <c r="G327" t="s">
        <v>31</v>
      </c>
      <c r="H327" t="s">
        <v>31</v>
      </c>
      <c r="I327" t="s">
        <v>31</v>
      </c>
    </row>
    <row r="328" spans="1:9" x14ac:dyDescent="0.25">
      <c r="A328" t="s">
        <v>705</v>
      </c>
      <c r="B328" t="s">
        <v>697</v>
      </c>
      <c r="C328" t="s">
        <v>295</v>
      </c>
      <c r="D328" s="3">
        <v>2</v>
      </c>
      <c r="E328" t="s">
        <v>30</v>
      </c>
      <c r="F328" t="s">
        <v>237</v>
      </c>
      <c r="G328">
        <v>1</v>
      </c>
      <c r="H328">
        <v>4</v>
      </c>
      <c r="I328" t="s">
        <v>31</v>
      </c>
    </row>
    <row r="329" spans="1:9" x14ac:dyDescent="0.25">
      <c r="A329" t="s">
        <v>706</v>
      </c>
      <c r="B329" t="s">
        <v>697</v>
      </c>
      <c r="C329" t="s">
        <v>297</v>
      </c>
      <c r="D329" s="3">
        <v>1</v>
      </c>
      <c r="E329" t="s">
        <v>30</v>
      </c>
      <c r="F329" t="s">
        <v>285</v>
      </c>
      <c r="G329">
        <v>0.0001</v>
      </c>
      <c r="H329">
        <v>100000</v>
      </c>
      <c r="I329" t="s">
        <v>31</v>
      </c>
    </row>
    <row r="330" spans="1:9" x14ac:dyDescent="0.25">
      <c r="A330" t="s">
        <v>707</v>
      </c>
      <c r="B330" t="s">
        <v>697</v>
      </c>
      <c r="C330" t="s">
        <v>299</v>
      </c>
      <c r="D330" s="3" t="s">
        <v>173</v>
      </c>
      <c r="E330" t="s">
        <v>81</v>
      </c>
      <c r="F330" t="s">
        <v>31</v>
      </c>
      <c r="G330" t="s">
        <v>31</v>
      </c>
      <c r="H330" t="s">
        <v>31</v>
      </c>
      <c r="I330" t="s">
        <v>31</v>
      </c>
    </row>
    <row r="331" spans="1:9" x14ac:dyDescent="0.25">
      <c r="A331" t="s">
        <v>708</v>
      </c>
      <c r="B331" t="s">
        <v>697</v>
      </c>
      <c r="C331" t="s">
        <v>301</v>
      </c>
      <c r="D331" s="3">
        <v>1</v>
      </c>
      <c r="E331" t="s">
        <v>30</v>
      </c>
      <c r="F331" t="s">
        <v>237</v>
      </c>
      <c r="G331">
        <v>1</v>
      </c>
      <c r="H331">
        <v>4</v>
      </c>
      <c r="I331" t="s">
        <v>31</v>
      </c>
    </row>
    <row r="332" spans="1:9" x14ac:dyDescent="0.25">
      <c r="A332" t="s">
        <v>709</v>
      </c>
      <c r="B332" t="s">
        <v>697</v>
      </c>
      <c r="C332" t="s">
        <v>303</v>
      </c>
      <c r="D332" s="3">
        <v>1</v>
      </c>
      <c r="E332" t="s">
        <v>30</v>
      </c>
      <c r="F332" t="s">
        <v>285</v>
      </c>
      <c r="G332">
        <v>0.0001</v>
      </c>
      <c r="H332">
        <v>100000</v>
      </c>
      <c r="I332" t="s">
        <v>31</v>
      </c>
    </row>
    <row r="333" spans="1:9" x14ac:dyDescent="0.25">
      <c r="A333" t="s">
        <v>710</v>
      </c>
      <c r="B333" t="s">
        <v>697</v>
      </c>
      <c r="C333" t="s">
        <v>305</v>
      </c>
      <c r="D333" s="3" t="s">
        <v>176</v>
      </c>
      <c r="E333" t="s">
        <v>81</v>
      </c>
      <c r="F333" t="s">
        <v>31</v>
      </c>
      <c r="G333" t="s">
        <v>31</v>
      </c>
      <c r="H333" t="s">
        <v>31</v>
      </c>
      <c r="I333" t="s">
        <v>31</v>
      </c>
    </row>
    <row r="334" spans="1:9" x14ac:dyDescent="0.25">
      <c r="A334" t="s">
        <v>711</v>
      </c>
      <c r="B334" t="s">
        <v>697</v>
      </c>
      <c r="C334" t="s">
        <v>307</v>
      </c>
      <c r="D334" s="3">
        <v>1</v>
      </c>
      <c r="E334" t="s">
        <v>30</v>
      </c>
      <c r="F334" t="s">
        <v>237</v>
      </c>
      <c r="G334">
        <v>1</v>
      </c>
      <c r="H334">
        <v>4</v>
      </c>
      <c r="I334" t="s">
        <v>31</v>
      </c>
    </row>
    <row r="335" spans="1:9" x14ac:dyDescent="0.25">
      <c r="A335" t="s">
        <v>712</v>
      </c>
      <c r="B335" t="s">
        <v>697</v>
      </c>
      <c r="C335" t="s">
        <v>309</v>
      </c>
      <c r="D335" s="3">
        <v>1</v>
      </c>
      <c r="E335" t="s">
        <v>30</v>
      </c>
      <c r="F335" t="s">
        <v>285</v>
      </c>
      <c r="G335">
        <v>0.0001</v>
      </c>
      <c r="H335">
        <v>100000</v>
      </c>
      <c r="I335" t="s">
        <v>31</v>
      </c>
    </row>
    <row r="336" spans="1:9" x14ac:dyDescent="0.25">
      <c r="A336" t="s">
        <v>713</v>
      </c>
      <c r="B336" t="s">
        <v>697</v>
      </c>
      <c r="C336" t="s">
        <v>311</v>
      </c>
      <c r="D336" s="3" t="s">
        <v>159</v>
      </c>
      <c r="E336" t="s">
        <v>81</v>
      </c>
      <c r="F336" t="s">
        <v>31</v>
      </c>
      <c r="G336" t="s">
        <v>31</v>
      </c>
      <c r="H336" t="s">
        <v>31</v>
      </c>
      <c r="I336" t="s">
        <v>31</v>
      </c>
    </row>
    <row r="337" spans="1:9" x14ac:dyDescent="0.25">
      <c r="A337" t="s">
        <v>714</v>
      </c>
      <c r="B337" t="s">
        <v>697</v>
      </c>
      <c r="C337" t="s">
        <v>313</v>
      </c>
      <c r="D337" s="3">
        <v>1</v>
      </c>
      <c r="E337" t="s">
        <v>30</v>
      </c>
      <c r="F337" t="s">
        <v>237</v>
      </c>
      <c r="G337">
        <v>1</v>
      </c>
      <c r="H337">
        <v>4</v>
      </c>
      <c r="I337" t="s">
        <v>31</v>
      </c>
    </row>
    <row r="338" spans="1:9" x14ac:dyDescent="0.25">
      <c r="A338" t="s">
        <v>715</v>
      </c>
      <c r="B338" t="s">
        <v>697</v>
      </c>
      <c r="C338" t="s">
        <v>315</v>
      </c>
      <c r="D338" s="3">
        <v>1</v>
      </c>
      <c r="E338" t="s">
        <v>30</v>
      </c>
      <c r="F338" t="s">
        <v>285</v>
      </c>
      <c r="G338">
        <v>0.0001</v>
      </c>
      <c r="H338">
        <v>100000</v>
      </c>
      <c r="I338" t="s">
        <v>31</v>
      </c>
    </row>
    <row r="339" spans="1:9" x14ac:dyDescent="0.25">
      <c r="A339" t="s">
        <v>716</v>
      </c>
      <c r="B339" t="s">
        <v>697</v>
      </c>
      <c r="C339" t="s">
        <v>317</v>
      </c>
      <c r="D339" s="3" t="s">
        <v>159</v>
      </c>
      <c r="E339" t="s">
        <v>81</v>
      </c>
      <c r="F339" t="s">
        <v>31</v>
      </c>
      <c r="G339" t="s">
        <v>31</v>
      </c>
      <c r="H339" t="s">
        <v>31</v>
      </c>
      <c r="I339" t="s">
        <v>31</v>
      </c>
    </row>
    <row r="340" spans="1:9" x14ac:dyDescent="0.25">
      <c r="A340" t="s">
        <v>717</v>
      </c>
      <c r="B340" t="s">
        <v>697</v>
      </c>
      <c r="C340" t="s">
        <v>319</v>
      </c>
      <c r="D340" s="3">
        <v>1</v>
      </c>
      <c r="E340" t="s">
        <v>30</v>
      </c>
      <c r="F340" t="s">
        <v>237</v>
      </c>
      <c r="G340">
        <v>1</v>
      </c>
      <c r="H340">
        <v>4</v>
      </c>
      <c r="I340" t="s">
        <v>31</v>
      </c>
    </row>
    <row r="341" spans="1:9" x14ac:dyDescent="0.25">
      <c r="A341" t="s">
        <v>718</v>
      </c>
      <c r="B341" t="s">
        <v>697</v>
      </c>
      <c r="C341" t="s">
        <v>321</v>
      </c>
      <c r="D341" s="3">
        <v>1</v>
      </c>
      <c r="E341" t="s">
        <v>30</v>
      </c>
      <c r="F341" t="s">
        <v>285</v>
      </c>
      <c r="G341">
        <v>0.0001</v>
      </c>
      <c r="H341">
        <v>100000</v>
      </c>
      <c r="I341" t="s">
        <v>31</v>
      </c>
    </row>
    <row r="342" spans="1:9" x14ac:dyDescent="0.25">
      <c r="A342" t="s">
        <v>719</v>
      </c>
      <c r="B342" t="s">
        <v>697</v>
      </c>
      <c r="C342" t="s">
        <v>323</v>
      </c>
      <c r="D342" s="3" t="s">
        <v>159</v>
      </c>
      <c r="E342" t="s">
        <v>81</v>
      </c>
      <c r="F342" t="s">
        <v>31</v>
      </c>
      <c r="G342" t="s">
        <v>31</v>
      </c>
      <c r="H342" t="s">
        <v>31</v>
      </c>
      <c r="I342" t="s">
        <v>31</v>
      </c>
    </row>
    <row r="343" spans="1:9" x14ac:dyDescent="0.25">
      <c r="A343" t="s">
        <v>720</v>
      </c>
      <c r="B343" t="s">
        <v>697</v>
      </c>
      <c r="C343" t="s">
        <v>325</v>
      </c>
      <c r="D343" s="3">
        <v>2</v>
      </c>
      <c r="E343" t="s">
        <v>30</v>
      </c>
      <c r="F343" t="s">
        <v>237</v>
      </c>
      <c r="G343">
        <v>1</v>
      </c>
      <c r="H343">
        <v>4</v>
      </c>
      <c r="I343" t="s">
        <v>31</v>
      </c>
    </row>
    <row r="344" spans="1:9" x14ac:dyDescent="0.25">
      <c r="A344" t="s">
        <v>721</v>
      </c>
      <c r="B344" t="s">
        <v>697</v>
      </c>
      <c r="C344" t="s">
        <v>327</v>
      </c>
      <c r="D344" s="3">
        <v>1</v>
      </c>
      <c r="E344" t="s">
        <v>30</v>
      </c>
      <c r="F344" t="s">
        <v>285</v>
      </c>
      <c r="G344">
        <v>0.0001</v>
      </c>
      <c r="H344">
        <v>100000</v>
      </c>
      <c r="I344" t="s">
        <v>31</v>
      </c>
    </row>
    <row r="345" spans="1:9" x14ac:dyDescent="0.25">
      <c r="A345" t="s">
        <v>722</v>
      </c>
      <c r="B345" t="s">
        <v>697</v>
      </c>
      <c r="C345" t="s">
        <v>329</v>
      </c>
      <c r="D345" s="3" t="s">
        <v>159</v>
      </c>
      <c r="E345" t="s">
        <v>81</v>
      </c>
      <c r="F345" t="s">
        <v>31</v>
      </c>
      <c r="G345" t="s">
        <v>31</v>
      </c>
      <c r="H345" t="s">
        <v>31</v>
      </c>
      <c r="I345" t="s">
        <v>31</v>
      </c>
    </row>
    <row r="346" spans="1:9" x14ac:dyDescent="0.25">
      <c r="A346" t="s">
        <v>723</v>
      </c>
      <c r="B346" t="s">
        <v>697</v>
      </c>
      <c r="C346" t="s">
        <v>331</v>
      </c>
      <c r="D346" s="3">
        <v>2</v>
      </c>
      <c r="E346" t="s">
        <v>30</v>
      </c>
      <c r="F346" t="s">
        <v>237</v>
      </c>
      <c r="G346">
        <v>1</v>
      </c>
      <c r="H346">
        <v>4</v>
      </c>
      <c r="I346" t="s">
        <v>31</v>
      </c>
    </row>
    <row r="347" spans="1:9" x14ac:dyDescent="0.25">
      <c r="A347" t="s">
        <v>724</v>
      </c>
      <c r="B347" t="s">
        <v>697</v>
      </c>
      <c r="C347" t="s">
        <v>333</v>
      </c>
      <c r="D347" s="3">
        <v>1</v>
      </c>
      <c r="E347" t="s">
        <v>30</v>
      </c>
      <c r="F347" t="s">
        <v>285</v>
      </c>
      <c r="G347">
        <v>0.0001</v>
      </c>
      <c r="H347">
        <v>100000</v>
      </c>
      <c r="I347" t="s">
        <v>31</v>
      </c>
    </row>
    <row r="348" spans="1:9" x14ac:dyDescent="0.25">
      <c r="A348" t="s">
        <v>725</v>
      </c>
      <c r="B348" t="s">
        <v>697</v>
      </c>
      <c r="C348" t="s">
        <v>335</v>
      </c>
      <c r="D348" s="3" t="s">
        <v>173</v>
      </c>
      <c r="E348" t="s">
        <v>81</v>
      </c>
      <c r="F348" t="s">
        <v>31</v>
      </c>
      <c r="G348" t="s">
        <v>31</v>
      </c>
      <c r="H348" t="s">
        <v>31</v>
      </c>
      <c r="I348" t="s">
        <v>31</v>
      </c>
    </row>
    <row r="349" spans="1:9" x14ac:dyDescent="0.25">
      <c r="A349" t="s">
        <v>726</v>
      </c>
      <c r="B349" t="s">
        <v>697</v>
      </c>
      <c r="C349" t="s">
        <v>337</v>
      </c>
      <c r="D349" s="3">
        <v>1</v>
      </c>
      <c r="E349" t="s">
        <v>30</v>
      </c>
      <c r="F349" t="s">
        <v>237</v>
      </c>
      <c r="G349">
        <v>1</v>
      </c>
      <c r="H349">
        <v>4</v>
      </c>
      <c r="I349" t="s">
        <v>31</v>
      </c>
    </row>
    <row r="350" spans="1:9" x14ac:dyDescent="0.25">
      <c r="A350" t="s">
        <v>727</v>
      </c>
      <c r="B350" t="s">
        <v>697</v>
      </c>
      <c r="C350" t="s">
        <v>339</v>
      </c>
      <c r="D350" s="3">
        <v>1</v>
      </c>
      <c r="E350" t="s">
        <v>30</v>
      </c>
      <c r="F350" t="s">
        <v>285</v>
      </c>
      <c r="G350">
        <v>0.0001</v>
      </c>
      <c r="H350">
        <v>100000</v>
      </c>
      <c r="I350" t="s">
        <v>31</v>
      </c>
    </row>
    <row r="351" spans="1:9" x14ac:dyDescent="0.25">
      <c r="A351" t="s">
        <v>728</v>
      </c>
      <c r="B351" t="s">
        <v>697</v>
      </c>
      <c r="C351" t="s">
        <v>341</v>
      </c>
      <c r="D351" s="3" t="s">
        <v>176</v>
      </c>
      <c r="E351" t="s">
        <v>81</v>
      </c>
      <c r="F351" t="s">
        <v>31</v>
      </c>
      <c r="G351" t="s">
        <v>31</v>
      </c>
      <c r="H351" t="s">
        <v>31</v>
      </c>
      <c r="I351" t="s">
        <v>31</v>
      </c>
    </row>
    <row r="352" spans="1:9" x14ac:dyDescent="0.25">
      <c r="A352" t="s">
        <v>729</v>
      </c>
      <c r="B352" t="s">
        <v>697</v>
      </c>
      <c r="C352" t="s">
        <v>343</v>
      </c>
      <c r="D352" s="3">
        <v>1</v>
      </c>
      <c r="E352" t="s">
        <v>30</v>
      </c>
      <c r="F352" t="s">
        <v>237</v>
      </c>
      <c r="G352">
        <v>1</v>
      </c>
      <c r="H352">
        <v>4</v>
      </c>
      <c r="I352" t="s">
        <v>31</v>
      </c>
    </row>
    <row r="353" spans="1:9" x14ac:dyDescent="0.25">
      <c r="A353" t="s">
        <v>730</v>
      </c>
      <c r="B353" t="s">
        <v>697</v>
      </c>
      <c r="C353" t="s">
        <v>345</v>
      </c>
      <c r="D353" s="3">
        <v>1</v>
      </c>
      <c r="E353" t="s">
        <v>30</v>
      </c>
      <c r="F353" t="s">
        <v>285</v>
      </c>
      <c r="G353">
        <v>0.0001</v>
      </c>
      <c r="H353">
        <v>100000</v>
      </c>
      <c r="I353" t="s">
        <v>31</v>
      </c>
    </row>
    <row r="354" spans="1:9" x14ac:dyDescent="0.25">
      <c r="A354" t="s">
        <v>731</v>
      </c>
      <c r="B354" t="s">
        <v>697</v>
      </c>
      <c r="C354" t="s">
        <v>347</v>
      </c>
      <c r="D354" s="3" t="s">
        <v>159</v>
      </c>
      <c r="E354" t="s">
        <v>81</v>
      </c>
      <c r="F354" t="s">
        <v>31</v>
      </c>
      <c r="G354" t="s">
        <v>31</v>
      </c>
      <c r="H354" t="s">
        <v>31</v>
      </c>
      <c r="I354" t="s">
        <v>31</v>
      </c>
    </row>
    <row r="355" spans="1:9" x14ac:dyDescent="0.25">
      <c r="A355" t="s">
        <v>732</v>
      </c>
      <c r="B355" t="s">
        <v>697</v>
      </c>
      <c r="C355" t="s">
        <v>349</v>
      </c>
      <c r="D355" s="3">
        <v>1</v>
      </c>
      <c r="E355" t="s">
        <v>30</v>
      </c>
      <c r="F355" t="s">
        <v>237</v>
      </c>
      <c r="G355">
        <v>1</v>
      </c>
      <c r="H355">
        <v>4</v>
      </c>
      <c r="I355" t="s">
        <v>31</v>
      </c>
    </row>
    <row r="356" spans="1:9" x14ac:dyDescent="0.25">
      <c r="A356" t="s">
        <v>733</v>
      </c>
      <c r="B356" t="s">
        <v>697</v>
      </c>
      <c r="C356" t="s">
        <v>351</v>
      </c>
      <c r="D356" s="3">
        <v>1</v>
      </c>
      <c r="E356" t="s">
        <v>30</v>
      </c>
      <c r="F356" t="s">
        <v>285</v>
      </c>
      <c r="G356">
        <v>0.0001</v>
      </c>
      <c r="H356">
        <v>100000</v>
      </c>
      <c r="I356" t="s">
        <v>31</v>
      </c>
    </row>
    <row r="357" spans="1:9" x14ac:dyDescent="0.25">
      <c r="A357" t="s">
        <v>734</v>
      </c>
      <c r="B357" t="s">
        <v>697</v>
      </c>
      <c r="C357" t="s">
        <v>362</v>
      </c>
      <c r="D357" s="3" t="s">
        <v>159</v>
      </c>
      <c r="E357" t="s">
        <v>81</v>
      </c>
      <c r="F357" t="s">
        <v>31</v>
      </c>
      <c r="G357" t="s">
        <v>31</v>
      </c>
      <c r="H357" t="s">
        <v>31</v>
      </c>
      <c r="I357" t="s">
        <v>31</v>
      </c>
    </row>
    <row r="358" spans="1:9" x14ac:dyDescent="0.25">
      <c r="A358" t="s">
        <v>735</v>
      </c>
      <c r="B358" t="s">
        <v>697</v>
      </c>
      <c r="C358" t="s">
        <v>364</v>
      </c>
      <c r="D358" s="3">
        <v>1</v>
      </c>
      <c r="E358" t="s">
        <v>30</v>
      </c>
      <c r="F358" t="s">
        <v>237</v>
      </c>
      <c r="G358">
        <v>1</v>
      </c>
      <c r="H358">
        <v>4</v>
      </c>
      <c r="I358" t="s">
        <v>31</v>
      </c>
    </row>
    <row r="359" spans="1:9" x14ac:dyDescent="0.25">
      <c r="A359" t="s">
        <v>736</v>
      </c>
      <c r="B359" t="s">
        <v>697</v>
      </c>
      <c r="C359" t="s">
        <v>366</v>
      </c>
      <c r="D359" s="3">
        <v>1</v>
      </c>
      <c r="E359" t="s">
        <v>30</v>
      </c>
      <c r="F359" t="s">
        <v>285</v>
      </c>
      <c r="G359">
        <v>0.0001</v>
      </c>
      <c r="H359">
        <v>100000</v>
      </c>
      <c r="I359" t="s">
        <v>31</v>
      </c>
    </row>
    <row r="360" spans="1:9" x14ac:dyDescent="0.25">
      <c r="A360" t="s">
        <v>737</v>
      </c>
      <c r="B360" t="s">
        <v>697</v>
      </c>
      <c r="C360" t="s">
        <v>368</v>
      </c>
      <c r="D360" s="3" t="s">
        <v>159</v>
      </c>
      <c r="E360" t="s">
        <v>81</v>
      </c>
      <c r="F360" t="s">
        <v>31</v>
      </c>
      <c r="G360" t="s">
        <v>31</v>
      </c>
      <c r="H360" t="s">
        <v>31</v>
      </c>
      <c r="I360" t="s">
        <v>31</v>
      </c>
    </row>
    <row r="361" spans="1:9" x14ac:dyDescent="0.25">
      <c r="A361" t="s">
        <v>738</v>
      </c>
      <c r="B361" t="s">
        <v>697</v>
      </c>
      <c r="C361" t="s">
        <v>370</v>
      </c>
      <c r="D361" s="3">
        <v>2</v>
      </c>
      <c r="E361" t="s">
        <v>30</v>
      </c>
      <c r="F361" t="s">
        <v>237</v>
      </c>
      <c r="G361">
        <v>1</v>
      </c>
      <c r="H361">
        <v>4</v>
      </c>
      <c r="I361" t="s">
        <v>31</v>
      </c>
    </row>
    <row r="362" spans="1:9" x14ac:dyDescent="0.25">
      <c r="A362" t="s">
        <v>739</v>
      </c>
      <c r="B362" t="s">
        <v>697</v>
      </c>
      <c r="C362" t="s">
        <v>372</v>
      </c>
      <c r="D362" s="3">
        <v>1</v>
      </c>
      <c r="E362" t="s">
        <v>30</v>
      </c>
      <c r="F362" t="s">
        <v>285</v>
      </c>
      <c r="G362">
        <v>0.0001</v>
      </c>
      <c r="H362">
        <v>100000</v>
      </c>
      <c r="I362" t="s">
        <v>31</v>
      </c>
    </row>
    <row r="363" spans="1:9" x14ac:dyDescent="0.25">
      <c r="A363" t="s">
        <v>740</v>
      </c>
      <c r="B363" t="s">
        <v>697</v>
      </c>
      <c r="C363" t="s">
        <v>374</v>
      </c>
      <c r="D363" s="3" t="s">
        <v>159</v>
      </c>
      <c r="E363" t="s">
        <v>81</v>
      </c>
      <c r="F363" t="s">
        <v>31</v>
      </c>
      <c r="G363" t="s">
        <v>31</v>
      </c>
      <c r="H363" t="s">
        <v>31</v>
      </c>
      <c r="I363" t="s">
        <v>31</v>
      </c>
    </row>
    <row r="364" spans="1:9" x14ac:dyDescent="0.25">
      <c r="A364" t="s">
        <v>741</v>
      </c>
      <c r="B364" t="s">
        <v>697</v>
      </c>
      <c r="C364" t="s">
        <v>376</v>
      </c>
      <c r="D364" s="3">
        <v>2</v>
      </c>
      <c r="E364" t="s">
        <v>30</v>
      </c>
      <c r="F364" t="s">
        <v>237</v>
      </c>
      <c r="G364">
        <v>1</v>
      </c>
      <c r="H364">
        <v>4</v>
      </c>
      <c r="I364" t="s">
        <v>31</v>
      </c>
    </row>
    <row r="365" spans="1:9" x14ac:dyDescent="0.25">
      <c r="A365" t="s">
        <v>742</v>
      </c>
      <c r="B365" t="s">
        <v>697</v>
      </c>
      <c r="C365" t="s">
        <v>378</v>
      </c>
      <c r="D365" s="3">
        <v>1</v>
      </c>
      <c r="E365" t="s">
        <v>30</v>
      </c>
      <c r="F365" t="s">
        <v>285</v>
      </c>
      <c r="G365">
        <v>0.0001</v>
      </c>
      <c r="H365">
        <v>100000</v>
      </c>
      <c r="I365" t="s">
        <v>31</v>
      </c>
    </row>
    <row r="366" spans="1:9" x14ac:dyDescent="0.25">
      <c r="A366" t="s">
        <v>743</v>
      </c>
      <c r="B366" t="s">
        <v>697</v>
      </c>
      <c r="C366" t="s">
        <v>380</v>
      </c>
      <c r="D366" s="3" t="s">
        <v>173</v>
      </c>
      <c r="E366" t="s">
        <v>81</v>
      </c>
      <c r="F366" t="s">
        <v>31</v>
      </c>
      <c r="G366" t="s">
        <v>31</v>
      </c>
      <c r="H366" t="s">
        <v>31</v>
      </c>
      <c r="I366" t="s">
        <v>31</v>
      </c>
    </row>
    <row r="367" spans="1:9" x14ac:dyDescent="0.25">
      <c r="A367" t="s">
        <v>744</v>
      </c>
      <c r="B367" t="s">
        <v>697</v>
      </c>
      <c r="C367" t="s">
        <v>382</v>
      </c>
      <c r="D367" s="3">
        <v>1</v>
      </c>
      <c r="E367" t="s">
        <v>30</v>
      </c>
      <c r="F367" t="s">
        <v>237</v>
      </c>
      <c r="G367">
        <v>1</v>
      </c>
      <c r="H367">
        <v>4</v>
      </c>
      <c r="I367" t="s">
        <v>31</v>
      </c>
    </row>
    <row r="368" spans="1:9" x14ac:dyDescent="0.25">
      <c r="A368" t="s">
        <v>745</v>
      </c>
      <c r="B368" t="s">
        <v>697</v>
      </c>
      <c r="C368" t="s">
        <v>384</v>
      </c>
      <c r="D368" s="3">
        <v>1</v>
      </c>
      <c r="E368" t="s">
        <v>30</v>
      </c>
      <c r="F368" t="s">
        <v>285</v>
      </c>
      <c r="G368">
        <v>0.0001</v>
      </c>
      <c r="H368">
        <v>100000</v>
      </c>
      <c r="I368" t="s">
        <v>31</v>
      </c>
    </row>
    <row r="369" spans="1:9" x14ac:dyDescent="0.25">
      <c r="A369" t="s">
        <v>746</v>
      </c>
      <c r="B369" t="s">
        <v>697</v>
      </c>
      <c r="C369" t="s">
        <v>386</v>
      </c>
      <c r="D369" s="3" t="s">
        <v>176</v>
      </c>
      <c r="E369" t="s">
        <v>81</v>
      </c>
      <c r="F369" t="s">
        <v>31</v>
      </c>
      <c r="G369" t="s">
        <v>31</v>
      </c>
      <c r="H369" t="s">
        <v>31</v>
      </c>
      <c r="I369" t="s">
        <v>31</v>
      </c>
    </row>
    <row r="370" spans="1:9" x14ac:dyDescent="0.25">
      <c r="A370" t="s">
        <v>747</v>
      </c>
      <c r="B370" t="s">
        <v>697</v>
      </c>
      <c r="C370" t="s">
        <v>388</v>
      </c>
      <c r="D370" s="3">
        <v>1</v>
      </c>
      <c r="E370" t="s">
        <v>30</v>
      </c>
      <c r="F370" t="s">
        <v>237</v>
      </c>
      <c r="G370">
        <v>1</v>
      </c>
      <c r="H370">
        <v>4</v>
      </c>
      <c r="I370" t="s">
        <v>31</v>
      </c>
    </row>
    <row r="371" spans="1:9" x14ac:dyDescent="0.25">
      <c r="A371" t="s">
        <v>748</v>
      </c>
      <c r="B371" t="s">
        <v>697</v>
      </c>
      <c r="C371" t="s">
        <v>390</v>
      </c>
      <c r="D371" s="3">
        <v>1</v>
      </c>
      <c r="E371" t="s">
        <v>30</v>
      </c>
      <c r="F371" t="s">
        <v>285</v>
      </c>
      <c r="G371">
        <v>0.0001</v>
      </c>
      <c r="H371">
        <v>100000</v>
      </c>
      <c r="I371" t="s">
        <v>31</v>
      </c>
    </row>
    <row r="372" spans="1:9" x14ac:dyDescent="0.25">
      <c r="A372" t="s">
        <v>749</v>
      </c>
      <c r="B372" t="s">
        <v>697</v>
      </c>
      <c r="C372" t="s">
        <v>392</v>
      </c>
      <c r="D372" s="3" t="s">
        <v>159</v>
      </c>
      <c r="E372" t="s">
        <v>81</v>
      </c>
      <c r="F372" t="s">
        <v>31</v>
      </c>
      <c r="G372" t="s">
        <v>31</v>
      </c>
      <c r="H372" t="s">
        <v>31</v>
      </c>
      <c r="I372" t="s">
        <v>31</v>
      </c>
    </row>
    <row r="373" spans="1:9" x14ac:dyDescent="0.25">
      <c r="A373" t="s">
        <v>750</v>
      </c>
      <c r="B373" t="s">
        <v>697</v>
      </c>
      <c r="C373" t="s">
        <v>394</v>
      </c>
      <c r="D373" s="3">
        <v>1</v>
      </c>
      <c r="E373" t="s">
        <v>30</v>
      </c>
      <c r="F373" t="s">
        <v>237</v>
      </c>
      <c r="G373">
        <v>1</v>
      </c>
      <c r="H373">
        <v>4</v>
      </c>
      <c r="I373" t="s">
        <v>31</v>
      </c>
    </row>
    <row r="374" spans="1:9" x14ac:dyDescent="0.25">
      <c r="A374" t="s">
        <v>751</v>
      </c>
      <c r="B374" t="s">
        <v>697</v>
      </c>
      <c r="C374" t="s">
        <v>396</v>
      </c>
      <c r="D374" s="3">
        <v>1</v>
      </c>
      <c r="E374" t="s">
        <v>30</v>
      </c>
      <c r="F374" t="s">
        <v>285</v>
      </c>
      <c r="G374">
        <v>0.0001</v>
      </c>
      <c r="H374">
        <v>100000</v>
      </c>
      <c r="I374" t="s">
        <v>31</v>
      </c>
    </row>
    <row r="375" spans="1:9" x14ac:dyDescent="0.25">
      <c r="A375" t="s">
        <v>752</v>
      </c>
      <c r="B375" t="s">
        <v>753</v>
      </c>
      <c r="C375" t="s">
        <v>226</v>
      </c>
      <c r="D375" s="2" t="s">
        <v>753</v>
      </c>
      <c r="E375" t="s">
        <v>81</v>
      </c>
      <c r="F375" t="s">
        <v>31</v>
      </c>
      <c r="G375" t="s">
        <v>31</v>
      </c>
      <c r="H375" t="s">
        <v>31</v>
      </c>
      <c r="I375" t="s">
        <v>32</v>
      </c>
    </row>
    <row r="376" spans="1:9" x14ac:dyDescent="0.25">
      <c r="A376" t="s">
        <v>754</v>
      </c>
      <c r="B376" t="s">
        <v>753</v>
      </c>
      <c r="C376" t="s">
        <v>280</v>
      </c>
      <c r="D376" s="3" t="s">
        <v>159</v>
      </c>
      <c r="E376" t="s">
        <v>81</v>
      </c>
      <c r="F376" t="s">
        <v>31</v>
      </c>
      <c r="G376" t="s">
        <v>31</v>
      </c>
      <c r="H376" t="s">
        <v>31</v>
      </c>
      <c r="I376" t="s">
        <v>31</v>
      </c>
    </row>
    <row r="377" spans="1:9" x14ac:dyDescent="0.25">
      <c r="A377" t="s">
        <v>755</v>
      </c>
      <c r="B377" t="s">
        <v>753</v>
      </c>
      <c r="C377" t="s">
        <v>282</v>
      </c>
      <c r="D377" s="3">
        <v>1</v>
      </c>
      <c r="E377" t="s">
        <v>30</v>
      </c>
      <c r="F377" t="s">
        <v>237</v>
      </c>
      <c r="G377">
        <v>1</v>
      </c>
      <c r="H377">
        <v>4</v>
      </c>
      <c r="I377" t="s">
        <v>31</v>
      </c>
    </row>
    <row r="378" spans="1:9" x14ac:dyDescent="0.25">
      <c r="A378" t="s">
        <v>756</v>
      </c>
      <c r="B378" t="s">
        <v>753</v>
      </c>
      <c r="C378" t="s">
        <v>284</v>
      </c>
      <c r="D378" s="3">
        <v>1</v>
      </c>
      <c r="E378" t="s">
        <v>30</v>
      </c>
      <c r="F378" t="s">
        <v>285</v>
      </c>
      <c r="G378">
        <v>0.0001</v>
      </c>
      <c r="H378">
        <v>100000</v>
      </c>
      <c r="I378" t="s">
        <v>31</v>
      </c>
    </row>
    <row r="379" spans="1:9" x14ac:dyDescent="0.25">
      <c r="A379" t="s">
        <v>757</v>
      </c>
      <c r="B379" t="s">
        <v>753</v>
      </c>
      <c r="C379" t="s">
        <v>287</v>
      </c>
      <c r="D379" s="3" t="s">
        <v>159</v>
      </c>
      <c r="E379" t="s">
        <v>81</v>
      </c>
      <c r="F379" t="s">
        <v>31</v>
      </c>
      <c r="G379" t="s">
        <v>31</v>
      </c>
      <c r="H379" t="s">
        <v>31</v>
      </c>
      <c r="I379" t="s">
        <v>31</v>
      </c>
    </row>
    <row r="380" spans="1:9" x14ac:dyDescent="0.25">
      <c r="A380" t="s">
        <v>758</v>
      </c>
      <c r="B380" t="s">
        <v>753</v>
      </c>
      <c r="C380" t="s">
        <v>289</v>
      </c>
      <c r="D380" s="3">
        <v>1</v>
      </c>
      <c r="E380" t="s">
        <v>30</v>
      </c>
      <c r="F380" t="s">
        <v>237</v>
      </c>
      <c r="G380">
        <v>1</v>
      </c>
      <c r="H380">
        <v>4</v>
      </c>
      <c r="I380" t="s">
        <v>31</v>
      </c>
    </row>
    <row r="381" spans="1:9" x14ac:dyDescent="0.25">
      <c r="A381" t="s">
        <v>759</v>
      </c>
      <c r="B381" t="s">
        <v>753</v>
      </c>
      <c r="C381" t="s">
        <v>291</v>
      </c>
      <c r="D381" s="3">
        <v>1</v>
      </c>
      <c r="E381" t="s">
        <v>30</v>
      </c>
      <c r="F381" t="s">
        <v>285</v>
      </c>
      <c r="G381">
        <v>0.0001</v>
      </c>
      <c r="H381">
        <v>100000</v>
      </c>
      <c r="I381" t="s">
        <v>31</v>
      </c>
    </row>
    <row r="382" spans="1:9" x14ac:dyDescent="0.25">
      <c r="A382" t="s">
        <v>760</v>
      </c>
      <c r="B382" t="s">
        <v>753</v>
      </c>
      <c r="C382" t="s">
        <v>293</v>
      </c>
      <c r="D382" s="3" t="s">
        <v>159</v>
      </c>
      <c r="E382" t="s">
        <v>81</v>
      </c>
      <c r="F382" t="s">
        <v>31</v>
      </c>
      <c r="G382" t="s">
        <v>31</v>
      </c>
      <c r="H382" t="s">
        <v>31</v>
      </c>
      <c r="I382" t="s">
        <v>31</v>
      </c>
    </row>
    <row r="383" spans="1:9" x14ac:dyDescent="0.25">
      <c r="A383" t="s">
        <v>761</v>
      </c>
      <c r="B383" t="s">
        <v>753</v>
      </c>
      <c r="C383" t="s">
        <v>295</v>
      </c>
      <c r="D383" s="3">
        <v>2</v>
      </c>
      <c r="E383" t="s">
        <v>30</v>
      </c>
      <c r="F383" t="s">
        <v>237</v>
      </c>
      <c r="G383">
        <v>1</v>
      </c>
      <c r="H383">
        <v>4</v>
      </c>
      <c r="I383" t="s">
        <v>31</v>
      </c>
    </row>
    <row r="384" spans="1:9" x14ac:dyDescent="0.25">
      <c r="A384" t="s">
        <v>762</v>
      </c>
      <c r="B384" t="s">
        <v>753</v>
      </c>
      <c r="C384" t="s">
        <v>297</v>
      </c>
      <c r="D384" s="3">
        <v>1</v>
      </c>
      <c r="E384" t="s">
        <v>30</v>
      </c>
      <c r="F384" t="s">
        <v>285</v>
      </c>
      <c r="G384">
        <v>0.0001</v>
      </c>
      <c r="H384">
        <v>100000</v>
      </c>
      <c r="I384" t="s">
        <v>31</v>
      </c>
    </row>
    <row r="385" spans="1:9" x14ac:dyDescent="0.25">
      <c r="A385" t="s">
        <v>763</v>
      </c>
      <c r="B385" t="s">
        <v>753</v>
      </c>
      <c r="C385" t="s">
        <v>299</v>
      </c>
      <c r="D385" s="3" t="s">
        <v>164</v>
      </c>
      <c r="E385" t="s">
        <v>81</v>
      </c>
      <c r="F385" t="s">
        <v>31</v>
      </c>
      <c r="G385" t="s">
        <v>31</v>
      </c>
      <c r="H385" t="s">
        <v>31</v>
      </c>
      <c r="I385" t="s">
        <v>31</v>
      </c>
    </row>
    <row r="386" spans="1:9" x14ac:dyDescent="0.25">
      <c r="A386" t="s">
        <v>764</v>
      </c>
      <c r="B386" t="s">
        <v>753</v>
      </c>
      <c r="C386" t="s">
        <v>301</v>
      </c>
      <c r="D386" s="3">
        <v>1</v>
      </c>
      <c r="E386" t="s">
        <v>30</v>
      </c>
      <c r="F386" t="s">
        <v>237</v>
      </c>
      <c r="G386">
        <v>1</v>
      </c>
      <c r="H386">
        <v>4</v>
      </c>
      <c r="I386" t="s">
        <v>31</v>
      </c>
    </row>
    <row r="387" spans="1:9" x14ac:dyDescent="0.25">
      <c r="A387" t="s">
        <v>765</v>
      </c>
      <c r="B387" t="s">
        <v>753</v>
      </c>
      <c r="C387" t="s">
        <v>303</v>
      </c>
      <c r="D387" s="3">
        <v>1</v>
      </c>
      <c r="E387" t="s">
        <v>30</v>
      </c>
      <c r="F387" t="s">
        <v>285</v>
      </c>
      <c r="G387">
        <v>0.0001</v>
      </c>
      <c r="H387">
        <v>100000</v>
      </c>
      <c r="I387" t="s">
        <v>31</v>
      </c>
    </row>
    <row r="388" spans="1:9" x14ac:dyDescent="0.25">
      <c r="A388" t="s">
        <v>766</v>
      </c>
      <c r="B388" t="s">
        <v>753</v>
      </c>
      <c r="C388" t="s">
        <v>305</v>
      </c>
      <c r="D388" s="3" t="s">
        <v>176</v>
      </c>
      <c r="E388" t="s">
        <v>81</v>
      </c>
      <c r="F388" t="s">
        <v>31</v>
      </c>
      <c r="G388" t="s">
        <v>31</v>
      </c>
      <c r="H388" t="s">
        <v>31</v>
      </c>
      <c r="I388" t="s">
        <v>31</v>
      </c>
    </row>
    <row r="389" spans="1:9" x14ac:dyDescent="0.25">
      <c r="A389" t="s">
        <v>767</v>
      </c>
      <c r="B389" t="s">
        <v>753</v>
      </c>
      <c r="C389" t="s">
        <v>307</v>
      </c>
      <c r="D389" s="3">
        <v>1</v>
      </c>
      <c r="E389" t="s">
        <v>30</v>
      </c>
      <c r="F389" t="s">
        <v>237</v>
      </c>
      <c r="G389">
        <v>1</v>
      </c>
      <c r="H389">
        <v>4</v>
      </c>
      <c r="I389" t="s">
        <v>31</v>
      </c>
    </row>
    <row r="390" spans="1:9" x14ac:dyDescent="0.25">
      <c r="A390" t="s">
        <v>768</v>
      </c>
      <c r="B390" t="s">
        <v>753</v>
      </c>
      <c r="C390" t="s">
        <v>309</v>
      </c>
      <c r="D390" s="3">
        <v>1</v>
      </c>
      <c r="E390" t="s">
        <v>30</v>
      </c>
      <c r="F390" t="s">
        <v>285</v>
      </c>
      <c r="G390">
        <v>0.0001</v>
      </c>
      <c r="H390">
        <v>100000</v>
      </c>
      <c r="I390" t="s">
        <v>31</v>
      </c>
    </row>
    <row r="391" spans="1:9" x14ac:dyDescent="0.25">
      <c r="A391" t="s">
        <v>769</v>
      </c>
      <c r="B391" t="s">
        <v>753</v>
      </c>
      <c r="C391" t="s">
        <v>311</v>
      </c>
      <c r="D391" s="3" t="s">
        <v>770</v>
      </c>
      <c r="E391" t="s">
        <v>81</v>
      </c>
      <c r="F391" t="s">
        <v>31</v>
      </c>
      <c r="G391" t="s">
        <v>31</v>
      </c>
      <c r="H391" t="s">
        <v>31</v>
      </c>
      <c r="I391" t="s">
        <v>31</v>
      </c>
    </row>
    <row r="392" spans="1:9" x14ac:dyDescent="0.25">
      <c r="A392" t="s">
        <v>771</v>
      </c>
      <c r="B392" t="s">
        <v>753</v>
      </c>
      <c r="C392" t="s">
        <v>313</v>
      </c>
      <c r="D392" s="3">
        <v>1</v>
      </c>
      <c r="E392" t="s">
        <v>30</v>
      </c>
      <c r="F392" t="s">
        <v>237</v>
      </c>
      <c r="G392">
        <v>1</v>
      </c>
      <c r="H392">
        <v>4</v>
      </c>
      <c r="I392" t="s">
        <v>31</v>
      </c>
    </row>
    <row r="393" spans="1:9" x14ac:dyDescent="0.25">
      <c r="A393" t="s">
        <v>772</v>
      </c>
      <c r="B393" t="s">
        <v>753</v>
      </c>
      <c r="C393" t="s">
        <v>315</v>
      </c>
      <c r="D393" s="3">
        <v>1</v>
      </c>
      <c r="E393" t="s">
        <v>30</v>
      </c>
      <c r="F393" t="s">
        <v>285</v>
      </c>
      <c r="G393">
        <v>0.0001</v>
      </c>
      <c r="H393">
        <v>100000</v>
      </c>
      <c r="I393" t="s">
        <v>31</v>
      </c>
    </row>
    <row r="394" spans="1:9" x14ac:dyDescent="0.25">
      <c r="A394" t="s">
        <v>773</v>
      </c>
      <c r="B394" t="s">
        <v>753</v>
      </c>
      <c r="C394" t="s">
        <v>317</v>
      </c>
      <c r="D394" s="3" t="s">
        <v>159</v>
      </c>
      <c r="E394" t="s">
        <v>81</v>
      </c>
      <c r="F394" t="s">
        <v>31</v>
      </c>
      <c r="G394" t="s">
        <v>31</v>
      </c>
      <c r="H394" t="s">
        <v>31</v>
      </c>
      <c r="I394" t="s">
        <v>31</v>
      </c>
    </row>
    <row r="395" spans="1:9" x14ac:dyDescent="0.25">
      <c r="A395" t="s">
        <v>774</v>
      </c>
      <c r="B395" t="s">
        <v>753</v>
      </c>
      <c r="C395" t="s">
        <v>319</v>
      </c>
      <c r="D395" s="3">
        <v>1</v>
      </c>
      <c r="E395" t="s">
        <v>30</v>
      </c>
      <c r="F395" t="s">
        <v>237</v>
      </c>
      <c r="G395">
        <v>1</v>
      </c>
      <c r="H395">
        <v>4</v>
      </c>
      <c r="I395" t="s">
        <v>31</v>
      </c>
    </row>
    <row r="396" spans="1:9" x14ac:dyDescent="0.25">
      <c r="A396" t="s">
        <v>775</v>
      </c>
      <c r="B396" t="s">
        <v>753</v>
      </c>
      <c r="C396" t="s">
        <v>321</v>
      </c>
      <c r="D396" s="3">
        <v>1</v>
      </c>
      <c r="E396" t="s">
        <v>30</v>
      </c>
      <c r="F396" t="s">
        <v>285</v>
      </c>
      <c r="G396">
        <v>0.0001</v>
      </c>
      <c r="H396">
        <v>100000</v>
      </c>
      <c r="I396" t="s">
        <v>31</v>
      </c>
    </row>
    <row r="397" spans="1:9" x14ac:dyDescent="0.25">
      <c r="A397" t="s">
        <v>776</v>
      </c>
      <c r="B397" t="s">
        <v>753</v>
      </c>
      <c r="C397" t="s">
        <v>323</v>
      </c>
      <c r="D397" s="3" t="s">
        <v>159</v>
      </c>
      <c r="E397" t="s">
        <v>81</v>
      </c>
      <c r="F397" t="s">
        <v>31</v>
      </c>
      <c r="G397" t="s">
        <v>31</v>
      </c>
      <c r="H397" t="s">
        <v>31</v>
      </c>
      <c r="I397" t="s">
        <v>31</v>
      </c>
    </row>
    <row r="398" spans="1:9" x14ac:dyDescent="0.25">
      <c r="A398" t="s">
        <v>777</v>
      </c>
      <c r="B398" t="s">
        <v>753</v>
      </c>
      <c r="C398" t="s">
        <v>325</v>
      </c>
      <c r="D398" s="3">
        <v>1</v>
      </c>
      <c r="E398" t="s">
        <v>30</v>
      </c>
      <c r="F398" t="s">
        <v>237</v>
      </c>
      <c r="G398">
        <v>1</v>
      </c>
      <c r="H398">
        <v>4</v>
      </c>
      <c r="I398" t="s">
        <v>31</v>
      </c>
    </row>
    <row r="399" spans="1:9" x14ac:dyDescent="0.25">
      <c r="A399" t="s">
        <v>778</v>
      </c>
      <c r="B399" t="s">
        <v>753</v>
      </c>
      <c r="C399" t="s">
        <v>327</v>
      </c>
      <c r="D399" s="3">
        <v>1</v>
      </c>
      <c r="E399" t="s">
        <v>30</v>
      </c>
      <c r="F399" t="s">
        <v>285</v>
      </c>
      <c r="G399">
        <v>0.0001</v>
      </c>
      <c r="H399">
        <v>100000</v>
      </c>
      <c r="I399" t="s">
        <v>31</v>
      </c>
    </row>
    <row r="400" spans="1:9" x14ac:dyDescent="0.25">
      <c r="A400" t="s">
        <v>779</v>
      </c>
      <c r="B400" t="s">
        <v>753</v>
      </c>
      <c r="C400" t="s">
        <v>329</v>
      </c>
      <c r="D400" s="3" t="s">
        <v>159</v>
      </c>
      <c r="E400" t="s">
        <v>81</v>
      </c>
      <c r="F400" t="s">
        <v>31</v>
      </c>
      <c r="G400" t="s">
        <v>31</v>
      </c>
      <c r="H400" t="s">
        <v>31</v>
      </c>
      <c r="I400" t="s">
        <v>31</v>
      </c>
    </row>
    <row r="401" spans="1:9" x14ac:dyDescent="0.25">
      <c r="A401" t="s">
        <v>780</v>
      </c>
      <c r="B401" t="s">
        <v>753</v>
      </c>
      <c r="C401" t="s">
        <v>331</v>
      </c>
      <c r="D401" s="3">
        <v>2</v>
      </c>
      <c r="E401" t="s">
        <v>30</v>
      </c>
      <c r="F401" t="s">
        <v>237</v>
      </c>
      <c r="G401">
        <v>1</v>
      </c>
      <c r="H401">
        <v>4</v>
      </c>
      <c r="I401" t="s">
        <v>31</v>
      </c>
    </row>
    <row r="402" spans="1:9" x14ac:dyDescent="0.25">
      <c r="A402" t="s">
        <v>781</v>
      </c>
      <c r="B402" t="s">
        <v>753</v>
      </c>
      <c r="C402" t="s">
        <v>333</v>
      </c>
      <c r="D402" s="3">
        <v>1</v>
      </c>
      <c r="E402" t="s">
        <v>30</v>
      </c>
      <c r="F402" t="s">
        <v>285</v>
      </c>
      <c r="G402">
        <v>0.0001</v>
      </c>
      <c r="H402">
        <v>100000</v>
      </c>
      <c r="I402" t="s">
        <v>31</v>
      </c>
    </row>
    <row r="403" spans="1:9" x14ac:dyDescent="0.25">
      <c r="A403" t="s">
        <v>782</v>
      </c>
      <c r="B403" t="s">
        <v>753</v>
      </c>
      <c r="C403" t="s">
        <v>335</v>
      </c>
      <c r="D403" s="3" t="s">
        <v>164</v>
      </c>
      <c r="E403" t="s">
        <v>81</v>
      </c>
      <c r="F403" t="s">
        <v>31</v>
      </c>
      <c r="G403" t="s">
        <v>31</v>
      </c>
      <c r="H403" t="s">
        <v>31</v>
      </c>
      <c r="I403" t="s">
        <v>31</v>
      </c>
    </row>
    <row r="404" spans="1:9" x14ac:dyDescent="0.25">
      <c r="A404" t="s">
        <v>783</v>
      </c>
      <c r="B404" t="s">
        <v>753</v>
      </c>
      <c r="C404" t="s">
        <v>337</v>
      </c>
      <c r="D404" s="3">
        <v>1</v>
      </c>
      <c r="E404" t="s">
        <v>30</v>
      </c>
      <c r="F404" t="s">
        <v>237</v>
      </c>
      <c r="G404">
        <v>1</v>
      </c>
      <c r="H404">
        <v>4</v>
      </c>
      <c r="I404" t="s">
        <v>31</v>
      </c>
    </row>
    <row r="405" spans="1:9" x14ac:dyDescent="0.25">
      <c r="A405" t="s">
        <v>784</v>
      </c>
      <c r="B405" t="s">
        <v>753</v>
      </c>
      <c r="C405" t="s">
        <v>339</v>
      </c>
      <c r="D405" s="3">
        <v>1</v>
      </c>
      <c r="E405" t="s">
        <v>30</v>
      </c>
      <c r="F405" t="s">
        <v>285</v>
      </c>
      <c r="G405">
        <v>0.0001</v>
      </c>
      <c r="H405">
        <v>100000</v>
      </c>
      <c r="I405" t="s">
        <v>31</v>
      </c>
    </row>
    <row r="406" spans="1:9" x14ac:dyDescent="0.25">
      <c r="A406" t="s">
        <v>785</v>
      </c>
      <c r="B406" t="s">
        <v>753</v>
      </c>
      <c r="C406" t="s">
        <v>341</v>
      </c>
      <c r="D406" s="3" t="s">
        <v>176</v>
      </c>
      <c r="E406" t="s">
        <v>81</v>
      </c>
      <c r="F406" t="s">
        <v>31</v>
      </c>
      <c r="G406" t="s">
        <v>31</v>
      </c>
      <c r="H406" t="s">
        <v>31</v>
      </c>
      <c r="I406" t="s">
        <v>31</v>
      </c>
    </row>
    <row r="407" spans="1:9" x14ac:dyDescent="0.25">
      <c r="A407" t="s">
        <v>786</v>
      </c>
      <c r="B407" t="s">
        <v>753</v>
      </c>
      <c r="C407" t="s">
        <v>343</v>
      </c>
      <c r="D407" s="3">
        <v>1</v>
      </c>
      <c r="E407" t="s">
        <v>30</v>
      </c>
      <c r="F407" t="s">
        <v>237</v>
      </c>
      <c r="G407">
        <v>1</v>
      </c>
      <c r="H407">
        <v>4</v>
      </c>
      <c r="I407" t="s">
        <v>31</v>
      </c>
    </row>
    <row r="408" spans="1:9" x14ac:dyDescent="0.25">
      <c r="A408" t="s">
        <v>787</v>
      </c>
      <c r="B408" t="s">
        <v>753</v>
      </c>
      <c r="C408" t="s">
        <v>345</v>
      </c>
      <c r="D408" s="3">
        <v>1</v>
      </c>
      <c r="E408" t="s">
        <v>30</v>
      </c>
      <c r="F408" t="s">
        <v>285</v>
      </c>
      <c r="G408">
        <v>0.0001</v>
      </c>
      <c r="H408">
        <v>100000</v>
      </c>
      <c r="I408" t="s">
        <v>31</v>
      </c>
    </row>
    <row r="409" spans="1:9" x14ac:dyDescent="0.25">
      <c r="A409" t="s">
        <v>788</v>
      </c>
      <c r="B409" t="s">
        <v>753</v>
      </c>
      <c r="C409" t="s">
        <v>347</v>
      </c>
      <c r="D409" s="3" t="s">
        <v>770</v>
      </c>
      <c r="E409" t="s">
        <v>81</v>
      </c>
      <c r="F409" t="s">
        <v>31</v>
      </c>
      <c r="G409" t="s">
        <v>31</v>
      </c>
      <c r="H409" t="s">
        <v>31</v>
      </c>
      <c r="I409" t="s">
        <v>31</v>
      </c>
    </row>
    <row r="410" spans="1:9" x14ac:dyDescent="0.25">
      <c r="A410" t="s">
        <v>789</v>
      </c>
      <c r="B410" t="s">
        <v>753</v>
      </c>
      <c r="C410" t="s">
        <v>349</v>
      </c>
      <c r="D410" s="3">
        <v>1</v>
      </c>
      <c r="E410" t="s">
        <v>30</v>
      </c>
      <c r="F410" t="s">
        <v>237</v>
      </c>
      <c r="G410">
        <v>1</v>
      </c>
      <c r="H410">
        <v>4</v>
      </c>
      <c r="I410" t="s">
        <v>31</v>
      </c>
    </row>
    <row r="411" spans="1:9" x14ac:dyDescent="0.25">
      <c r="A411" t="s">
        <v>790</v>
      </c>
      <c r="B411" t="s">
        <v>753</v>
      </c>
      <c r="C411" t="s">
        <v>351</v>
      </c>
      <c r="D411" s="3">
        <v>1</v>
      </c>
      <c r="E411" t="s">
        <v>30</v>
      </c>
      <c r="F411" t="s">
        <v>285</v>
      </c>
      <c r="G411">
        <v>0.0001</v>
      </c>
      <c r="H411">
        <v>100000</v>
      </c>
      <c r="I411" t="s">
        <v>31</v>
      </c>
    </row>
    <row r="412" spans="1:9" x14ac:dyDescent="0.25">
      <c r="A412" t="s">
        <v>791</v>
      </c>
      <c r="B412" t="s">
        <v>753</v>
      </c>
      <c r="C412" t="s">
        <v>362</v>
      </c>
      <c r="D412" s="3" t="s">
        <v>159</v>
      </c>
      <c r="E412" t="s">
        <v>81</v>
      </c>
      <c r="F412" t="s">
        <v>31</v>
      </c>
      <c r="G412" t="s">
        <v>31</v>
      </c>
      <c r="H412" t="s">
        <v>31</v>
      </c>
      <c r="I412" t="s">
        <v>31</v>
      </c>
    </row>
    <row r="413" spans="1:9" x14ac:dyDescent="0.25">
      <c r="A413" t="s">
        <v>792</v>
      </c>
      <c r="B413" t="s">
        <v>753</v>
      </c>
      <c r="C413" t="s">
        <v>364</v>
      </c>
      <c r="D413" s="3">
        <v>1</v>
      </c>
      <c r="E413" t="s">
        <v>30</v>
      </c>
      <c r="F413" t="s">
        <v>237</v>
      </c>
      <c r="G413">
        <v>1</v>
      </c>
      <c r="H413">
        <v>4</v>
      </c>
      <c r="I413" t="s">
        <v>31</v>
      </c>
    </row>
    <row r="414" spans="1:9" x14ac:dyDescent="0.25">
      <c r="A414" t="s">
        <v>793</v>
      </c>
      <c r="B414" t="s">
        <v>753</v>
      </c>
      <c r="C414" t="s">
        <v>366</v>
      </c>
      <c r="D414" s="3">
        <v>1</v>
      </c>
      <c r="E414" t="s">
        <v>30</v>
      </c>
      <c r="F414" t="s">
        <v>285</v>
      </c>
      <c r="G414">
        <v>0.0001</v>
      </c>
      <c r="H414">
        <v>100000</v>
      </c>
      <c r="I414" t="s">
        <v>31</v>
      </c>
    </row>
    <row r="415" spans="1:9" x14ac:dyDescent="0.25">
      <c r="A415" t="s">
        <v>794</v>
      </c>
      <c r="B415" t="s">
        <v>753</v>
      </c>
      <c r="C415" t="s">
        <v>368</v>
      </c>
      <c r="D415" s="3" t="s">
        <v>159</v>
      </c>
      <c r="E415" t="s">
        <v>81</v>
      </c>
      <c r="F415" t="s">
        <v>31</v>
      </c>
      <c r="G415" t="s">
        <v>31</v>
      </c>
      <c r="H415" t="s">
        <v>31</v>
      </c>
      <c r="I415" t="s">
        <v>31</v>
      </c>
    </row>
    <row r="416" spans="1:9" x14ac:dyDescent="0.25">
      <c r="A416" t="s">
        <v>795</v>
      </c>
      <c r="B416" t="s">
        <v>753</v>
      </c>
      <c r="C416" t="s">
        <v>370</v>
      </c>
      <c r="D416" s="3">
        <v>1</v>
      </c>
      <c r="E416" t="s">
        <v>30</v>
      </c>
      <c r="F416" t="s">
        <v>237</v>
      </c>
      <c r="G416">
        <v>1</v>
      </c>
      <c r="H416">
        <v>4</v>
      </c>
      <c r="I416" t="s">
        <v>31</v>
      </c>
    </row>
    <row r="417" spans="1:9" x14ac:dyDescent="0.25">
      <c r="A417" t="s">
        <v>796</v>
      </c>
      <c r="B417" t="s">
        <v>753</v>
      </c>
      <c r="C417" t="s">
        <v>372</v>
      </c>
      <c r="D417" s="3">
        <v>1</v>
      </c>
      <c r="E417" t="s">
        <v>30</v>
      </c>
      <c r="F417" t="s">
        <v>285</v>
      </c>
      <c r="G417">
        <v>0.0001</v>
      </c>
      <c r="H417">
        <v>100000</v>
      </c>
      <c r="I417" t="s">
        <v>31</v>
      </c>
    </row>
    <row r="418" spans="1:9" x14ac:dyDescent="0.25">
      <c r="A418" t="s">
        <v>797</v>
      </c>
      <c r="B418" t="s">
        <v>753</v>
      </c>
      <c r="C418" t="s">
        <v>374</v>
      </c>
      <c r="D418" s="3" t="s">
        <v>159</v>
      </c>
      <c r="E418" t="s">
        <v>81</v>
      </c>
      <c r="F418" t="s">
        <v>31</v>
      </c>
      <c r="G418" t="s">
        <v>31</v>
      </c>
      <c r="H418" t="s">
        <v>31</v>
      </c>
      <c r="I418" t="s">
        <v>31</v>
      </c>
    </row>
    <row r="419" spans="1:9" x14ac:dyDescent="0.25">
      <c r="A419" t="s">
        <v>798</v>
      </c>
      <c r="B419" t="s">
        <v>753</v>
      </c>
      <c r="C419" t="s">
        <v>376</v>
      </c>
      <c r="D419" s="3">
        <v>2</v>
      </c>
      <c r="E419" t="s">
        <v>30</v>
      </c>
      <c r="F419" t="s">
        <v>237</v>
      </c>
      <c r="G419">
        <v>1</v>
      </c>
      <c r="H419">
        <v>4</v>
      </c>
      <c r="I419" t="s">
        <v>31</v>
      </c>
    </row>
    <row r="420" spans="1:9" x14ac:dyDescent="0.25">
      <c r="A420" t="s">
        <v>799</v>
      </c>
      <c r="B420" t="s">
        <v>753</v>
      </c>
      <c r="C420" t="s">
        <v>378</v>
      </c>
      <c r="D420" s="3">
        <v>1</v>
      </c>
      <c r="E420" t="s">
        <v>30</v>
      </c>
      <c r="F420" t="s">
        <v>285</v>
      </c>
      <c r="G420">
        <v>0.0001</v>
      </c>
      <c r="H420">
        <v>100000</v>
      </c>
      <c r="I420" t="s">
        <v>31</v>
      </c>
    </row>
    <row r="421" spans="1:9" x14ac:dyDescent="0.25">
      <c r="A421" t="s">
        <v>800</v>
      </c>
      <c r="B421" t="s">
        <v>753</v>
      </c>
      <c r="C421" t="s">
        <v>380</v>
      </c>
      <c r="D421" s="3" t="s">
        <v>164</v>
      </c>
      <c r="E421" t="s">
        <v>81</v>
      </c>
      <c r="F421" t="s">
        <v>31</v>
      </c>
      <c r="G421" t="s">
        <v>31</v>
      </c>
      <c r="H421" t="s">
        <v>31</v>
      </c>
      <c r="I421" t="s">
        <v>31</v>
      </c>
    </row>
    <row r="422" spans="1:9" x14ac:dyDescent="0.25">
      <c r="A422" t="s">
        <v>801</v>
      </c>
      <c r="B422" t="s">
        <v>753</v>
      </c>
      <c r="C422" t="s">
        <v>382</v>
      </c>
      <c r="D422" s="3">
        <v>1</v>
      </c>
      <c r="E422" t="s">
        <v>30</v>
      </c>
      <c r="F422" t="s">
        <v>237</v>
      </c>
      <c r="G422">
        <v>1</v>
      </c>
      <c r="H422">
        <v>4</v>
      </c>
      <c r="I422" t="s">
        <v>31</v>
      </c>
    </row>
    <row r="423" spans="1:9" x14ac:dyDescent="0.25">
      <c r="A423" t="s">
        <v>802</v>
      </c>
      <c r="B423" t="s">
        <v>753</v>
      </c>
      <c r="C423" t="s">
        <v>384</v>
      </c>
      <c r="D423" s="3">
        <v>1</v>
      </c>
      <c r="E423" t="s">
        <v>30</v>
      </c>
      <c r="F423" t="s">
        <v>285</v>
      </c>
      <c r="G423">
        <v>0.0001</v>
      </c>
      <c r="H423">
        <v>100000</v>
      </c>
      <c r="I423" t="s">
        <v>31</v>
      </c>
    </row>
    <row r="424" spans="1:9" x14ac:dyDescent="0.25">
      <c r="A424" t="s">
        <v>803</v>
      </c>
      <c r="B424" t="s">
        <v>753</v>
      </c>
      <c r="C424" t="s">
        <v>386</v>
      </c>
      <c r="D424" s="3" t="s">
        <v>176</v>
      </c>
      <c r="E424" t="s">
        <v>81</v>
      </c>
      <c r="F424" t="s">
        <v>31</v>
      </c>
      <c r="G424" t="s">
        <v>31</v>
      </c>
      <c r="H424" t="s">
        <v>31</v>
      </c>
      <c r="I424" t="s">
        <v>31</v>
      </c>
    </row>
    <row r="425" spans="1:9" x14ac:dyDescent="0.25">
      <c r="A425" t="s">
        <v>804</v>
      </c>
      <c r="B425" t="s">
        <v>753</v>
      </c>
      <c r="C425" t="s">
        <v>388</v>
      </c>
      <c r="D425" s="3">
        <v>1</v>
      </c>
      <c r="E425" t="s">
        <v>30</v>
      </c>
      <c r="F425" t="s">
        <v>237</v>
      </c>
      <c r="G425">
        <v>1</v>
      </c>
      <c r="H425">
        <v>4</v>
      </c>
      <c r="I425" t="s">
        <v>31</v>
      </c>
    </row>
    <row r="426" spans="1:9" x14ac:dyDescent="0.25">
      <c r="A426" t="s">
        <v>805</v>
      </c>
      <c r="B426" t="s">
        <v>753</v>
      </c>
      <c r="C426" t="s">
        <v>390</v>
      </c>
      <c r="D426" s="3">
        <v>1</v>
      </c>
      <c r="E426" t="s">
        <v>30</v>
      </c>
      <c r="F426" t="s">
        <v>285</v>
      </c>
      <c r="G426">
        <v>0.0001</v>
      </c>
      <c r="H426">
        <v>100000</v>
      </c>
      <c r="I426" t="s">
        <v>31</v>
      </c>
    </row>
    <row r="427" spans="1:9" x14ac:dyDescent="0.25">
      <c r="A427" t="s">
        <v>806</v>
      </c>
      <c r="B427" t="s">
        <v>753</v>
      </c>
      <c r="C427" t="s">
        <v>392</v>
      </c>
      <c r="D427" s="3" t="s">
        <v>770</v>
      </c>
      <c r="E427" t="s">
        <v>81</v>
      </c>
      <c r="F427" t="s">
        <v>31</v>
      </c>
      <c r="G427" t="s">
        <v>31</v>
      </c>
      <c r="H427" t="s">
        <v>31</v>
      </c>
      <c r="I427" t="s">
        <v>31</v>
      </c>
    </row>
    <row r="428" spans="1:9" x14ac:dyDescent="0.25">
      <c r="A428" t="s">
        <v>807</v>
      </c>
      <c r="B428" t="s">
        <v>753</v>
      </c>
      <c r="C428" t="s">
        <v>394</v>
      </c>
      <c r="D428" s="3">
        <v>1</v>
      </c>
      <c r="E428" t="s">
        <v>30</v>
      </c>
      <c r="F428" t="s">
        <v>237</v>
      </c>
      <c r="G428">
        <v>1</v>
      </c>
      <c r="H428">
        <v>4</v>
      </c>
      <c r="I428" t="s">
        <v>31</v>
      </c>
    </row>
    <row r="429" spans="1:9" x14ac:dyDescent="0.25">
      <c r="A429" t="s">
        <v>808</v>
      </c>
      <c r="B429" t="s">
        <v>753</v>
      </c>
      <c r="C429" t="s">
        <v>396</v>
      </c>
      <c r="D429" s="3">
        <v>1</v>
      </c>
      <c r="E429" t="s">
        <v>30</v>
      </c>
      <c r="F429" t="s">
        <v>285</v>
      </c>
      <c r="G429">
        <v>0.0001</v>
      </c>
      <c r="H429">
        <v>100000</v>
      </c>
      <c r="I429" t="s">
        <v>31</v>
      </c>
    </row>
    <row r="430" spans="1:9" x14ac:dyDescent="0.25">
      <c r="A430" t="s">
        <v>809</v>
      </c>
      <c r="B430" t="s">
        <v>810</v>
      </c>
      <c r="C430" t="s">
        <v>226</v>
      </c>
      <c r="D430" s="2" t="s">
        <v>810</v>
      </c>
      <c r="E430" t="s">
        <v>81</v>
      </c>
      <c r="F430" t="s">
        <v>31</v>
      </c>
      <c r="G430" t="s">
        <v>31</v>
      </c>
      <c r="H430" t="s">
        <v>31</v>
      </c>
      <c r="I430" t="s">
        <v>32</v>
      </c>
    </row>
    <row r="431" spans="1:9" x14ac:dyDescent="0.25">
      <c r="A431" t="s">
        <v>811</v>
      </c>
      <c r="B431" t="s">
        <v>810</v>
      </c>
      <c r="C431" t="s">
        <v>280</v>
      </c>
      <c r="D431" s="3" t="s">
        <v>161</v>
      </c>
      <c r="E431" t="s">
        <v>81</v>
      </c>
      <c r="F431" t="s">
        <v>31</v>
      </c>
      <c r="G431" t="s">
        <v>31</v>
      </c>
      <c r="H431" t="s">
        <v>31</v>
      </c>
      <c r="I431" t="s">
        <v>31</v>
      </c>
    </row>
    <row r="432" spans="1:9" x14ac:dyDescent="0.25">
      <c r="A432" t="s">
        <v>812</v>
      </c>
      <c r="B432" t="s">
        <v>810</v>
      </c>
      <c r="C432" t="s">
        <v>282</v>
      </c>
      <c r="D432" s="3">
        <v>1</v>
      </c>
      <c r="E432" t="s">
        <v>30</v>
      </c>
      <c r="F432" t="s">
        <v>237</v>
      </c>
      <c r="G432">
        <v>1</v>
      </c>
      <c r="H432">
        <v>4</v>
      </c>
      <c r="I432" t="s">
        <v>31</v>
      </c>
    </row>
    <row r="433" spans="1:9" x14ac:dyDescent="0.25">
      <c r="A433" t="s">
        <v>813</v>
      </c>
      <c r="B433" t="s">
        <v>810</v>
      </c>
      <c r="C433" t="s">
        <v>284</v>
      </c>
      <c r="D433" s="3">
        <v>1</v>
      </c>
      <c r="E433" t="s">
        <v>30</v>
      </c>
      <c r="F433" t="s">
        <v>285</v>
      </c>
      <c r="G433">
        <v>0.0001</v>
      </c>
      <c r="H433">
        <v>100000</v>
      </c>
      <c r="I433" t="s">
        <v>31</v>
      </c>
    </row>
    <row r="434" spans="1:9" x14ac:dyDescent="0.25">
      <c r="A434" t="s">
        <v>814</v>
      </c>
      <c r="B434" t="s">
        <v>810</v>
      </c>
      <c r="C434" t="s">
        <v>287</v>
      </c>
      <c r="D434" s="3" t="s">
        <v>161</v>
      </c>
      <c r="E434" t="s">
        <v>81</v>
      </c>
      <c r="F434" t="s">
        <v>31</v>
      </c>
      <c r="G434" t="s">
        <v>31</v>
      </c>
      <c r="H434" t="s">
        <v>31</v>
      </c>
      <c r="I434" t="s">
        <v>31</v>
      </c>
    </row>
    <row r="435" spans="1:9" x14ac:dyDescent="0.25">
      <c r="A435" t="s">
        <v>815</v>
      </c>
      <c r="B435" t="s">
        <v>810</v>
      </c>
      <c r="C435" t="s">
        <v>289</v>
      </c>
      <c r="D435" s="3">
        <v>2</v>
      </c>
      <c r="E435" t="s">
        <v>30</v>
      </c>
      <c r="F435" t="s">
        <v>237</v>
      </c>
      <c r="G435">
        <v>1</v>
      </c>
      <c r="H435">
        <v>4</v>
      </c>
      <c r="I435" t="s">
        <v>31</v>
      </c>
    </row>
    <row r="436" spans="1:9" x14ac:dyDescent="0.25">
      <c r="A436" t="s">
        <v>816</v>
      </c>
      <c r="B436" t="s">
        <v>810</v>
      </c>
      <c r="C436" t="s">
        <v>291</v>
      </c>
      <c r="D436" s="3">
        <v>1</v>
      </c>
      <c r="E436" t="s">
        <v>30</v>
      </c>
      <c r="F436" t="s">
        <v>285</v>
      </c>
      <c r="G436">
        <v>0.0001</v>
      </c>
      <c r="H436">
        <v>100000</v>
      </c>
      <c r="I436" t="s">
        <v>31</v>
      </c>
    </row>
    <row r="437" spans="1:9" x14ac:dyDescent="0.25">
      <c r="A437" t="s">
        <v>817</v>
      </c>
      <c r="B437" t="s">
        <v>810</v>
      </c>
      <c r="C437" t="s">
        <v>293</v>
      </c>
      <c r="D437" s="3" t="s">
        <v>170</v>
      </c>
      <c r="E437" t="s">
        <v>81</v>
      </c>
      <c r="F437" t="s">
        <v>31</v>
      </c>
      <c r="G437" t="s">
        <v>31</v>
      </c>
      <c r="H437" t="s">
        <v>31</v>
      </c>
      <c r="I437" t="s">
        <v>31</v>
      </c>
    </row>
    <row r="438" spans="1:9" x14ac:dyDescent="0.25">
      <c r="A438" t="s">
        <v>818</v>
      </c>
      <c r="B438" t="s">
        <v>810</v>
      </c>
      <c r="C438" t="s">
        <v>295</v>
      </c>
      <c r="D438" s="3">
        <v>1</v>
      </c>
      <c r="E438" t="s">
        <v>30</v>
      </c>
      <c r="F438" t="s">
        <v>237</v>
      </c>
      <c r="G438">
        <v>1</v>
      </c>
      <c r="H438">
        <v>4</v>
      </c>
      <c r="I438" t="s">
        <v>31</v>
      </c>
    </row>
    <row r="439" spans="1:9" x14ac:dyDescent="0.25">
      <c r="A439" t="s">
        <v>819</v>
      </c>
      <c r="B439" t="s">
        <v>810</v>
      </c>
      <c r="C439" t="s">
        <v>297</v>
      </c>
      <c r="D439" s="3">
        <v>1</v>
      </c>
      <c r="E439" t="s">
        <v>30</v>
      </c>
      <c r="F439" t="s">
        <v>285</v>
      </c>
      <c r="G439">
        <v>0.0001</v>
      </c>
      <c r="H439">
        <v>100000</v>
      </c>
      <c r="I439" t="s">
        <v>31</v>
      </c>
    </row>
    <row r="440" spans="1:9" x14ac:dyDescent="0.25">
      <c r="A440" t="s">
        <v>820</v>
      </c>
      <c r="B440" t="s">
        <v>810</v>
      </c>
      <c r="C440" t="s">
        <v>299</v>
      </c>
      <c r="D440" s="3" t="s">
        <v>176</v>
      </c>
      <c r="E440" t="s">
        <v>81</v>
      </c>
      <c r="F440" t="s">
        <v>31</v>
      </c>
      <c r="G440" t="s">
        <v>31</v>
      </c>
      <c r="H440" t="s">
        <v>31</v>
      </c>
      <c r="I440" t="s">
        <v>31</v>
      </c>
    </row>
    <row r="441" spans="1:9" x14ac:dyDescent="0.25">
      <c r="A441" t="s">
        <v>821</v>
      </c>
      <c r="B441" t="s">
        <v>810</v>
      </c>
      <c r="C441" t="s">
        <v>301</v>
      </c>
      <c r="D441" s="3">
        <v>1</v>
      </c>
      <c r="E441" t="s">
        <v>30</v>
      </c>
      <c r="F441" t="s">
        <v>237</v>
      </c>
      <c r="G441">
        <v>1</v>
      </c>
      <c r="H441">
        <v>4</v>
      </c>
      <c r="I441" t="s">
        <v>31</v>
      </c>
    </row>
    <row r="442" spans="1:9" x14ac:dyDescent="0.25">
      <c r="A442" t="s">
        <v>822</v>
      </c>
      <c r="B442" t="s">
        <v>810</v>
      </c>
      <c r="C442" t="s">
        <v>303</v>
      </c>
      <c r="D442" s="3">
        <v>1</v>
      </c>
      <c r="E442" t="s">
        <v>30</v>
      </c>
      <c r="F442" t="s">
        <v>285</v>
      </c>
      <c r="G442">
        <v>0.0001</v>
      </c>
      <c r="H442">
        <v>100000</v>
      </c>
      <c r="I442" t="s">
        <v>31</v>
      </c>
    </row>
    <row r="443" spans="1:9" x14ac:dyDescent="0.25">
      <c r="A443" t="s">
        <v>823</v>
      </c>
      <c r="B443" t="s">
        <v>810</v>
      </c>
      <c r="C443" t="s">
        <v>305</v>
      </c>
      <c r="D443" s="3" t="s">
        <v>173</v>
      </c>
      <c r="E443" t="s">
        <v>81</v>
      </c>
      <c r="F443" t="s">
        <v>31</v>
      </c>
      <c r="G443" t="s">
        <v>31</v>
      </c>
      <c r="H443" t="s">
        <v>31</v>
      </c>
      <c r="I443" t="s">
        <v>31</v>
      </c>
    </row>
    <row r="444" spans="1:9" x14ac:dyDescent="0.25">
      <c r="A444" t="s">
        <v>824</v>
      </c>
      <c r="B444" t="s">
        <v>810</v>
      </c>
      <c r="C444" t="s">
        <v>307</v>
      </c>
      <c r="D444" s="3">
        <v>1</v>
      </c>
      <c r="E444" t="s">
        <v>30</v>
      </c>
      <c r="F444" t="s">
        <v>237</v>
      </c>
      <c r="G444">
        <v>1</v>
      </c>
      <c r="H444">
        <v>4</v>
      </c>
      <c r="I444" t="s">
        <v>31</v>
      </c>
    </row>
    <row r="445" spans="1:9" x14ac:dyDescent="0.25">
      <c r="A445" t="s">
        <v>825</v>
      </c>
      <c r="B445" t="s">
        <v>810</v>
      </c>
      <c r="C445" t="s">
        <v>309</v>
      </c>
      <c r="D445" s="3">
        <v>1</v>
      </c>
      <c r="E445" t="s">
        <v>30</v>
      </c>
      <c r="F445" t="s">
        <v>285</v>
      </c>
      <c r="G445">
        <v>0.0001</v>
      </c>
      <c r="H445">
        <v>100000</v>
      </c>
      <c r="I445" t="s">
        <v>31</v>
      </c>
    </row>
    <row r="446" spans="1:9" x14ac:dyDescent="0.25">
      <c r="A446" t="s">
        <v>826</v>
      </c>
      <c r="B446" t="s">
        <v>810</v>
      </c>
      <c r="C446" t="s">
        <v>311</v>
      </c>
      <c r="D446" s="3" t="s">
        <v>770</v>
      </c>
      <c r="E446" t="s">
        <v>81</v>
      </c>
      <c r="F446" t="s">
        <v>31</v>
      </c>
      <c r="G446" t="s">
        <v>31</v>
      </c>
      <c r="H446" t="s">
        <v>31</v>
      </c>
      <c r="I446" t="s">
        <v>31</v>
      </c>
    </row>
    <row r="447" spans="1:9" x14ac:dyDescent="0.25">
      <c r="A447" t="s">
        <v>827</v>
      </c>
      <c r="B447" t="s">
        <v>810</v>
      </c>
      <c r="C447" t="s">
        <v>313</v>
      </c>
      <c r="D447" s="3">
        <v>1</v>
      </c>
      <c r="E447" t="s">
        <v>30</v>
      </c>
      <c r="F447" t="s">
        <v>237</v>
      </c>
      <c r="G447">
        <v>1</v>
      </c>
      <c r="H447">
        <v>4</v>
      </c>
      <c r="I447" t="s">
        <v>31</v>
      </c>
    </row>
    <row r="448" spans="1:9" x14ac:dyDescent="0.25">
      <c r="A448" t="s">
        <v>828</v>
      </c>
      <c r="B448" t="s">
        <v>810</v>
      </c>
      <c r="C448" t="s">
        <v>315</v>
      </c>
      <c r="D448" s="3">
        <v>1</v>
      </c>
      <c r="E448" t="s">
        <v>30</v>
      </c>
      <c r="F448" t="s">
        <v>285</v>
      </c>
      <c r="G448">
        <v>0.0001</v>
      </c>
      <c r="H448">
        <v>100000</v>
      </c>
      <c r="I448" t="s">
        <v>31</v>
      </c>
    </row>
    <row r="449" spans="1:9" x14ac:dyDescent="0.25">
      <c r="A449" t="s">
        <v>829</v>
      </c>
      <c r="B449" t="s">
        <v>810</v>
      </c>
      <c r="C449" t="s">
        <v>317</v>
      </c>
      <c r="D449" s="3" t="s">
        <v>161</v>
      </c>
      <c r="E449" t="s">
        <v>81</v>
      </c>
      <c r="F449" t="s">
        <v>31</v>
      </c>
      <c r="G449" t="s">
        <v>31</v>
      </c>
      <c r="H449" t="s">
        <v>31</v>
      </c>
      <c r="I449" t="s">
        <v>31</v>
      </c>
    </row>
    <row r="450" spans="1:9" x14ac:dyDescent="0.25">
      <c r="A450" t="s">
        <v>830</v>
      </c>
      <c r="B450" t="s">
        <v>810</v>
      </c>
      <c r="C450" t="s">
        <v>319</v>
      </c>
      <c r="D450" s="3">
        <v>1</v>
      </c>
      <c r="E450" t="s">
        <v>30</v>
      </c>
      <c r="F450" t="s">
        <v>237</v>
      </c>
      <c r="G450">
        <v>1</v>
      </c>
      <c r="H450">
        <v>4</v>
      </c>
      <c r="I450" t="s">
        <v>31</v>
      </c>
    </row>
    <row r="451" spans="1:9" x14ac:dyDescent="0.25">
      <c r="A451" t="s">
        <v>831</v>
      </c>
      <c r="B451" t="s">
        <v>810</v>
      </c>
      <c r="C451" t="s">
        <v>321</v>
      </c>
      <c r="D451" s="3">
        <v>1</v>
      </c>
      <c r="E451" t="s">
        <v>30</v>
      </c>
      <c r="F451" t="s">
        <v>285</v>
      </c>
      <c r="G451">
        <v>0.0001</v>
      </c>
      <c r="H451">
        <v>100000</v>
      </c>
      <c r="I451" t="s">
        <v>31</v>
      </c>
    </row>
    <row r="452" spans="1:9" x14ac:dyDescent="0.25">
      <c r="A452" t="s">
        <v>832</v>
      </c>
      <c r="B452" t="s">
        <v>810</v>
      </c>
      <c r="C452" t="s">
        <v>323</v>
      </c>
      <c r="D452" s="3" t="s">
        <v>161</v>
      </c>
      <c r="E452" t="s">
        <v>81</v>
      </c>
      <c r="F452" t="s">
        <v>31</v>
      </c>
      <c r="G452" t="s">
        <v>31</v>
      </c>
      <c r="H452" t="s">
        <v>31</v>
      </c>
      <c r="I452" t="s">
        <v>31</v>
      </c>
    </row>
    <row r="453" spans="1:9" x14ac:dyDescent="0.25">
      <c r="A453" t="s">
        <v>833</v>
      </c>
      <c r="B453" t="s">
        <v>810</v>
      </c>
      <c r="C453" t="s">
        <v>325</v>
      </c>
      <c r="D453" s="3">
        <v>2</v>
      </c>
      <c r="E453" t="s">
        <v>30</v>
      </c>
      <c r="F453" t="s">
        <v>237</v>
      </c>
      <c r="G453">
        <v>1</v>
      </c>
      <c r="H453">
        <v>4</v>
      </c>
      <c r="I453" t="s">
        <v>31</v>
      </c>
    </row>
    <row r="454" spans="1:9" x14ac:dyDescent="0.25">
      <c r="A454" t="s">
        <v>834</v>
      </c>
      <c r="B454" t="s">
        <v>810</v>
      </c>
      <c r="C454" t="s">
        <v>327</v>
      </c>
      <c r="D454" s="3">
        <v>1</v>
      </c>
      <c r="E454" t="s">
        <v>30</v>
      </c>
      <c r="F454" t="s">
        <v>285</v>
      </c>
      <c r="G454">
        <v>0.0001</v>
      </c>
      <c r="H454">
        <v>100000</v>
      </c>
      <c r="I454" t="s">
        <v>31</v>
      </c>
    </row>
    <row r="455" spans="1:9" x14ac:dyDescent="0.25">
      <c r="A455" t="s">
        <v>835</v>
      </c>
      <c r="B455" t="s">
        <v>810</v>
      </c>
      <c r="C455" t="s">
        <v>329</v>
      </c>
      <c r="D455" s="3" t="s">
        <v>170</v>
      </c>
      <c r="E455" t="s">
        <v>81</v>
      </c>
      <c r="F455" t="s">
        <v>31</v>
      </c>
      <c r="G455" t="s">
        <v>31</v>
      </c>
      <c r="H455" t="s">
        <v>31</v>
      </c>
      <c r="I455" t="s">
        <v>31</v>
      </c>
    </row>
    <row r="456" spans="1:9" x14ac:dyDescent="0.25">
      <c r="A456" t="s">
        <v>836</v>
      </c>
      <c r="B456" t="s">
        <v>810</v>
      </c>
      <c r="C456" t="s">
        <v>331</v>
      </c>
      <c r="D456" s="3">
        <v>1</v>
      </c>
      <c r="E456" t="s">
        <v>30</v>
      </c>
      <c r="F456" t="s">
        <v>237</v>
      </c>
      <c r="G456">
        <v>1</v>
      </c>
      <c r="H456">
        <v>4</v>
      </c>
      <c r="I456" t="s">
        <v>31</v>
      </c>
    </row>
    <row r="457" spans="1:9" x14ac:dyDescent="0.25">
      <c r="A457" t="s">
        <v>837</v>
      </c>
      <c r="B457" t="s">
        <v>810</v>
      </c>
      <c r="C457" t="s">
        <v>333</v>
      </c>
      <c r="D457" s="3">
        <v>1</v>
      </c>
      <c r="E457" t="s">
        <v>30</v>
      </c>
      <c r="F457" t="s">
        <v>285</v>
      </c>
      <c r="G457">
        <v>0.0001</v>
      </c>
      <c r="H457">
        <v>100000</v>
      </c>
      <c r="I457" t="s">
        <v>31</v>
      </c>
    </row>
    <row r="458" spans="1:9" x14ac:dyDescent="0.25">
      <c r="A458" t="s">
        <v>838</v>
      </c>
      <c r="B458" t="s">
        <v>810</v>
      </c>
      <c r="C458" t="s">
        <v>335</v>
      </c>
      <c r="D458" s="3" t="s">
        <v>176</v>
      </c>
      <c r="E458" t="s">
        <v>81</v>
      </c>
      <c r="F458" t="s">
        <v>31</v>
      </c>
      <c r="G458" t="s">
        <v>31</v>
      </c>
      <c r="H458" t="s">
        <v>31</v>
      </c>
      <c r="I458" t="s">
        <v>31</v>
      </c>
    </row>
    <row r="459" spans="1:9" x14ac:dyDescent="0.25">
      <c r="A459" t="s">
        <v>839</v>
      </c>
      <c r="B459" t="s">
        <v>810</v>
      </c>
      <c r="C459" t="s">
        <v>337</v>
      </c>
      <c r="D459" s="3">
        <v>1</v>
      </c>
      <c r="E459" t="s">
        <v>30</v>
      </c>
      <c r="F459" t="s">
        <v>237</v>
      </c>
      <c r="G459">
        <v>1</v>
      </c>
      <c r="H459">
        <v>4</v>
      </c>
      <c r="I459" t="s">
        <v>31</v>
      </c>
    </row>
    <row r="460" spans="1:9" x14ac:dyDescent="0.25">
      <c r="A460" t="s">
        <v>840</v>
      </c>
      <c r="B460" t="s">
        <v>810</v>
      </c>
      <c r="C460" t="s">
        <v>339</v>
      </c>
      <c r="D460" s="3">
        <v>1</v>
      </c>
      <c r="E460" t="s">
        <v>30</v>
      </c>
      <c r="F460" t="s">
        <v>285</v>
      </c>
      <c r="G460">
        <v>0.0001</v>
      </c>
      <c r="H460">
        <v>100000</v>
      </c>
      <c r="I460" t="s">
        <v>31</v>
      </c>
    </row>
    <row r="461" spans="1:9" x14ac:dyDescent="0.25">
      <c r="A461" t="s">
        <v>841</v>
      </c>
      <c r="B461" t="s">
        <v>810</v>
      </c>
      <c r="C461" t="s">
        <v>341</v>
      </c>
      <c r="D461" s="3" t="s">
        <v>173</v>
      </c>
      <c r="E461" t="s">
        <v>81</v>
      </c>
      <c r="F461" t="s">
        <v>31</v>
      </c>
      <c r="G461" t="s">
        <v>31</v>
      </c>
      <c r="H461" t="s">
        <v>31</v>
      </c>
      <c r="I461" t="s">
        <v>31</v>
      </c>
    </row>
    <row r="462" spans="1:9" x14ac:dyDescent="0.25">
      <c r="A462" t="s">
        <v>842</v>
      </c>
      <c r="B462" t="s">
        <v>810</v>
      </c>
      <c r="C462" t="s">
        <v>343</v>
      </c>
      <c r="D462" s="3">
        <v>1</v>
      </c>
      <c r="E462" t="s">
        <v>30</v>
      </c>
      <c r="F462" t="s">
        <v>237</v>
      </c>
      <c r="G462">
        <v>1</v>
      </c>
      <c r="H462">
        <v>4</v>
      </c>
      <c r="I462" t="s">
        <v>31</v>
      </c>
    </row>
    <row r="463" spans="1:9" x14ac:dyDescent="0.25">
      <c r="A463" t="s">
        <v>843</v>
      </c>
      <c r="B463" t="s">
        <v>810</v>
      </c>
      <c r="C463" t="s">
        <v>345</v>
      </c>
      <c r="D463" s="3">
        <v>1</v>
      </c>
      <c r="E463" t="s">
        <v>30</v>
      </c>
      <c r="F463" t="s">
        <v>285</v>
      </c>
      <c r="G463">
        <v>0.0001</v>
      </c>
      <c r="H463">
        <v>100000</v>
      </c>
      <c r="I463" t="s">
        <v>31</v>
      </c>
    </row>
    <row r="464" spans="1:9" x14ac:dyDescent="0.25">
      <c r="A464" t="s">
        <v>844</v>
      </c>
      <c r="B464" t="s">
        <v>810</v>
      </c>
      <c r="C464" t="s">
        <v>347</v>
      </c>
      <c r="D464" s="3" t="s">
        <v>770</v>
      </c>
      <c r="E464" t="s">
        <v>81</v>
      </c>
      <c r="F464" t="s">
        <v>31</v>
      </c>
      <c r="G464" t="s">
        <v>31</v>
      </c>
      <c r="H464" t="s">
        <v>31</v>
      </c>
      <c r="I464" t="s">
        <v>31</v>
      </c>
    </row>
    <row r="465" spans="1:9" x14ac:dyDescent="0.25">
      <c r="A465" t="s">
        <v>845</v>
      </c>
      <c r="B465" t="s">
        <v>810</v>
      </c>
      <c r="C465" t="s">
        <v>349</v>
      </c>
      <c r="D465" s="3">
        <v>1</v>
      </c>
      <c r="E465" t="s">
        <v>30</v>
      </c>
      <c r="F465" t="s">
        <v>237</v>
      </c>
      <c r="G465">
        <v>1</v>
      </c>
      <c r="H465">
        <v>4</v>
      </c>
      <c r="I465" t="s">
        <v>31</v>
      </c>
    </row>
    <row r="466" spans="1:9" x14ac:dyDescent="0.25">
      <c r="A466" t="s">
        <v>846</v>
      </c>
      <c r="B466" t="s">
        <v>810</v>
      </c>
      <c r="C466" t="s">
        <v>351</v>
      </c>
      <c r="D466" s="3">
        <v>1</v>
      </c>
      <c r="E466" t="s">
        <v>30</v>
      </c>
      <c r="F466" t="s">
        <v>285</v>
      </c>
      <c r="G466">
        <v>0.0001</v>
      </c>
      <c r="H466">
        <v>100000</v>
      </c>
      <c r="I466" t="s">
        <v>31</v>
      </c>
    </row>
    <row r="467" spans="1:9" x14ac:dyDescent="0.25">
      <c r="A467" t="s">
        <v>847</v>
      </c>
      <c r="B467" t="s">
        <v>810</v>
      </c>
      <c r="C467" t="s">
        <v>362</v>
      </c>
      <c r="D467" s="3" t="s">
        <v>161</v>
      </c>
      <c r="E467" t="s">
        <v>81</v>
      </c>
      <c r="F467" t="s">
        <v>31</v>
      </c>
      <c r="G467" t="s">
        <v>31</v>
      </c>
      <c r="H467" t="s">
        <v>31</v>
      </c>
      <c r="I467" t="s">
        <v>31</v>
      </c>
    </row>
    <row r="468" spans="1:9" x14ac:dyDescent="0.25">
      <c r="A468" t="s">
        <v>848</v>
      </c>
      <c r="B468" t="s">
        <v>810</v>
      </c>
      <c r="C468" t="s">
        <v>364</v>
      </c>
      <c r="D468" s="3">
        <v>1</v>
      </c>
      <c r="E468" t="s">
        <v>30</v>
      </c>
      <c r="F468" t="s">
        <v>237</v>
      </c>
      <c r="G468">
        <v>1</v>
      </c>
      <c r="H468">
        <v>4</v>
      </c>
      <c r="I468" t="s">
        <v>31</v>
      </c>
    </row>
    <row r="469" spans="1:9" x14ac:dyDescent="0.25">
      <c r="A469" t="s">
        <v>849</v>
      </c>
      <c r="B469" t="s">
        <v>810</v>
      </c>
      <c r="C469" t="s">
        <v>366</v>
      </c>
      <c r="D469" s="3">
        <v>1</v>
      </c>
      <c r="E469" t="s">
        <v>30</v>
      </c>
      <c r="F469" t="s">
        <v>285</v>
      </c>
      <c r="G469">
        <v>0.0001</v>
      </c>
      <c r="H469">
        <v>100000</v>
      </c>
      <c r="I469" t="s">
        <v>31</v>
      </c>
    </row>
    <row r="470" spans="1:9" x14ac:dyDescent="0.25">
      <c r="A470" t="s">
        <v>850</v>
      </c>
      <c r="B470" t="s">
        <v>810</v>
      </c>
      <c r="C470" t="s">
        <v>368</v>
      </c>
      <c r="D470" s="3" t="s">
        <v>161</v>
      </c>
      <c r="E470" t="s">
        <v>81</v>
      </c>
      <c r="F470" t="s">
        <v>31</v>
      </c>
      <c r="G470" t="s">
        <v>31</v>
      </c>
      <c r="H470" t="s">
        <v>31</v>
      </c>
      <c r="I470" t="s">
        <v>31</v>
      </c>
    </row>
    <row r="471" spans="1:9" x14ac:dyDescent="0.25">
      <c r="A471" t="s">
        <v>851</v>
      </c>
      <c r="B471" t="s">
        <v>810</v>
      </c>
      <c r="C471" t="s">
        <v>370</v>
      </c>
      <c r="D471" s="3">
        <v>2</v>
      </c>
      <c r="E471" t="s">
        <v>30</v>
      </c>
      <c r="F471" t="s">
        <v>237</v>
      </c>
      <c r="G471">
        <v>1</v>
      </c>
      <c r="H471">
        <v>4</v>
      </c>
      <c r="I471" t="s">
        <v>31</v>
      </c>
    </row>
    <row r="472" spans="1:9" x14ac:dyDescent="0.25">
      <c r="A472" t="s">
        <v>852</v>
      </c>
      <c r="B472" t="s">
        <v>810</v>
      </c>
      <c r="C472" t="s">
        <v>372</v>
      </c>
      <c r="D472" s="3">
        <v>1</v>
      </c>
      <c r="E472" t="s">
        <v>30</v>
      </c>
      <c r="F472" t="s">
        <v>285</v>
      </c>
      <c r="G472">
        <v>0.0001</v>
      </c>
      <c r="H472">
        <v>100000</v>
      </c>
      <c r="I472" t="s">
        <v>31</v>
      </c>
    </row>
    <row r="473" spans="1:9" x14ac:dyDescent="0.25">
      <c r="A473" t="s">
        <v>853</v>
      </c>
      <c r="B473" t="s">
        <v>810</v>
      </c>
      <c r="C473" t="s">
        <v>374</v>
      </c>
      <c r="D473" s="3" t="s">
        <v>170</v>
      </c>
      <c r="E473" t="s">
        <v>81</v>
      </c>
      <c r="F473" t="s">
        <v>31</v>
      </c>
      <c r="G473" t="s">
        <v>31</v>
      </c>
      <c r="H473" t="s">
        <v>31</v>
      </c>
      <c r="I473" t="s">
        <v>31</v>
      </c>
    </row>
    <row r="474" spans="1:9" x14ac:dyDescent="0.25">
      <c r="A474" t="s">
        <v>854</v>
      </c>
      <c r="B474" t="s">
        <v>810</v>
      </c>
      <c r="C474" t="s">
        <v>376</v>
      </c>
      <c r="D474" s="3">
        <v>1</v>
      </c>
      <c r="E474" t="s">
        <v>30</v>
      </c>
      <c r="F474" t="s">
        <v>237</v>
      </c>
      <c r="G474">
        <v>1</v>
      </c>
      <c r="H474">
        <v>4</v>
      </c>
      <c r="I474" t="s">
        <v>31</v>
      </c>
    </row>
    <row r="475" spans="1:9" x14ac:dyDescent="0.25">
      <c r="A475" t="s">
        <v>855</v>
      </c>
      <c r="B475" t="s">
        <v>810</v>
      </c>
      <c r="C475" t="s">
        <v>378</v>
      </c>
      <c r="D475" s="3">
        <v>1</v>
      </c>
      <c r="E475" t="s">
        <v>30</v>
      </c>
      <c r="F475" t="s">
        <v>285</v>
      </c>
      <c r="G475">
        <v>0.0001</v>
      </c>
      <c r="H475">
        <v>100000</v>
      </c>
      <c r="I475" t="s">
        <v>31</v>
      </c>
    </row>
    <row r="476" spans="1:9" x14ac:dyDescent="0.25">
      <c r="A476" t="s">
        <v>856</v>
      </c>
      <c r="B476" t="s">
        <v>810</v>
      </c>
      <c r="C476" t="s">
        <v>380</v>
      </c>
      <c r="D476" s="3" t="s">
        <v>176</v>
      </c>
      <c r="E476" t="s">
        <v>81</v>
      </c>
      <c r="F476" t="s">
        <v>31</v>
      </c>
      <c r="G476" t="s">
        <v>31</v>
      </c>
      <c r="H476" t="s">
        <v>31</v>
      </c>
      <c r="I476" t="s">
        <v>31</v>
      </c>
    </row>
    <row r="477" spans="1:9" x14ac:dyDescent="0.25">
      <c r="A477" t="s">
        <v>857</v>
      </c>
      <c r="B477" t="s">
        <v>810</v>
      </c>
      <c r="C477" t="s">
        <v>382</v>
      </c>
      <c r="D477" s="3">
        <v>1</v>
      </c>
      <c r="E477" t="s">
        <v>30</v>
      </c>
      <c r="F477" t="s">
        <v>237</v>
      </c>
      <c r="G477">
        <v>1</v>
      </c>
      <c r="H477">
        <v>4</v>
      </c>
      <c r="I477" t="s">
        <v>31</v>
      </c>
    </row>
    <row r="478" spans="1:9" x14ac:dyDescent="0.25">
      <c r="A478" t="s">
        <v>858</v>
      </c>
      <c r="B478" t="s">
        <v>810</v>
      </c>
      <c r="C478" t="s">
        <v>384</v>
      </c>
      <c r="D478" s="3">
        <v>1</v>
      </c>
      <c r="E478" t="s">
        <v>30</v>
      </c>
      <c r="F478" t="s">
        <v>285</v>
      </c>
      <c r="G478">
        <v>0.0001</v>
      </c>
      <c r="H478">
        <v>100000</v>
      </c>
      <c r="I478" t="s">
        <v>31</v>
      </c>
    </row>
    <row r="479" spans="1:9" x14ac:dyDescent="0.25">
      <c r="A479" t="s">
        <v>859</v>
      </c>
      <c r="B479" t="s">
        <v>810</v>
      </c>
      <c r="C479" t="s">
        <v>386</v>
      </c>
      <c r="D479" s="3" t="s">
        <v>173</v>
      </c>
      <c r="E479" t="s">
        <v>81</v>
      </c>
      <c r="F479" t="s">
        <v>31</v>
      </c>
      <c r="G479" t="s">
        <v>31</v>
      </c>
      <c r="H479" t="s">
        <v>31</v>
      </c>
      <c r="I479" t="s">
        <v>31</v>
      </c>
    </row>
    <row r="480" spans="1:9" x14ac:dyDescent="0.25">
      <c r="A480" t="s">
        <v>860</v>
      </c>
      <c r="B480" t="s">
        <v>810</v>
      </c>
      <c r="C480" t="s">
        <v>388</v>
      </c>
      <c r="D480" s="3">
        <v>1</v>
      </c>
      <c r="E480" t="s">
        <v>30</v>
      </c>
      <c r="F480" t="s">
        <v>237</v>
      </c>
      <c r="G480">
        <v>1</v>
      </c>
      <c r="H480">
        <v>4</v>
      </c>
      <c r="I480" t="s">
        <v>31</v>
      </c>
    </row>
    <row r="481" spans="1:9" x14ac:dyDescent="0.25">
      <c r="A481" t="s">
        <v>861</v>
      </c>
      <c r="B481" t="s">
        <v>810</v>
      </c>
      <c r="C481" t="s">
        <v>390</v>
      </c>
      <c r="D481" s="3">
        <v>1</v>
      </c>
      <c r="E481" t="s">
        <v>30</v>
      </c>
      <c r="F481" t="s">
        <v>285</v>
      </c>
      <c r="G481">
        <v>0.0001</v>
      </c>
      <c r="H481">
        <v>100000</v>
      </c>
      <c r="I481" t="s">
        <v>31</v>
      </c>
    </row>
    <row r="482" spans="1:9" x14ac:dyDescent="0.25">
      <c r="A482" t="s">
        <v>862</v>
      </c>
      <c r="B482" t="s">
        <v>810</v>
      </c>
      <c r="C482" t="s">
        <v>392</v>
      </c>
      <c r="D482" s="3" t="s">
        <v>770</v>
      </c>
      <c r="E482" t="s">
        <v>81</v>
      </c>
      <c r="F482" t="s">
        <v>31</v>
      </c>
      <c r="G482" t="s">
        <v>31</v>
      </c>
      <c r="H482" t="s">
        <v>31</v>
      </c>
      <c r="I482" t="s">
        <v>31</v>
      </c>
    </row>
    <row r="483" spans="1:9" x14ac:dyDescent="0.25">
      <c r="A483" t="s">
        <v>863</v>
      </c>
      <c r="B483" t="s">
        <v>810</v>
      </c>
      <c r="C483" t="s">
        <v>394</v>
      </c>
      <c r="D483" s="3">
        <v>1</v>
      </c>
      <c r="E483" t="s">
        <v>30</v>
      </c>
      <c r="F483" t="s">
        <v>237</v>
      </c>
      <c r="G483">
        <v>1</v>
      </c>
      <c r="H483">
        <v>4</v>
      </c>
      <c r="I483" t="s">
        <v>31</v>
      </c>
    </row>
    <row r="484" spans="1:9" x14ac:dyDescent="0.25">
      <c r="A484" t="s">
        <v>864</v>
      </c>
      <c r="B484" t="s">
        <v>810</v>
      </c>
      <c r="C484" t="s">
        <v>396</v>
      </c>
      <c r="D484" s="3">
        <v>1</v>
      </c>
      <c r="E484" t="s">
        <v>30</v>
      </c>
      <c r="F484" t="s">
        <v>285</v>
      </c>
      <c r="G484">
        <v>0.0001</v>
      </c>
      <c r="H484">
        <v>100000</v>
      </c>
      <c r="I484" t="s">
        <v>31</v>
      </c>
    </row>
    <row r="485" spans="1:9" x14ac:dyDescent="0.25">
      <c r="A485" t="s">
        <v>865</v>
      </c>
      <c r="B485" t="s">
        <v>866</v>
      </c>
      <c r="C485" t="s">
        <v>226</v>
      </c>
      <c r="D485" s="2" t="s">
        <v>866</v>
      </c>
      <c r="E485" t="s">
        <v>81</v>
      </c>
      <c r="F485" t="s">
        <v>31</v>
      </c>
      <c r="G485" t="s">
        <v>31</v>
      </c>
      <c r="H485" t="s">
        <v>31</v>
      </c>
      <c r="I485" t="s">
        <v>32</v>
      </c>
    </row>
    <row r="486" spans="1:9" x14ac:dyDescent="0.25">
      <c r="A486" t="s">
        <v>867</v>
      </c>
      <c r="B486" t="s">
        <v>866</v>
      </c>
      <c r="C486" t="s">
        <v>280</v>
      </c>
      <c r="D486" s="3" t="s">
        <v>159</v>
      </c>
      <c r="E486" t="s">
        <v>81</v>
      </c>
      <c r="F486" t="s">
        <v>31</v>
      </c>
      <c r="G486" t="s">
        <v>31</v>
      </c>
      <c r="H486" t="s">
        <v>31</v>
      </c>
      <c r="I486" t="s">
        <v>31</v>
      </c>
    </row>
    <row r="487" spans="1:9" x14ac:dyDescent="0.25">
      <c r="A487" t="s">
        <v>868</v>
      </c>
      <c r="B487" t="s">
        <v>866</v>
      </c>
      <c r="C487" t="s">
        <v>282</v>
      </c>
      <c r="D487" s="3">
        <v>1</v>
      </c>
      <c r="E487" t="s">
        <v>30</v>
      </c>
      <c r="F487" t="s">
        <v>237</v>
      </c>
      <c r="G487">
        <v>1</v>
      </c>
      <c r="H487">
        <v>4</v>
      </c>
      <c r="I487" t="s">
        <v>31</v>
      </c>
    </row>
    <row r="488" spans="1:9" x14ac:dyDescent="0.25">
      <c r="A488" t="s">
        <v>869</v>
      </c>
      <c r="B488" t="s">
        <v>866</v>
      </c>
      <c r="C488" t="s">
        <v>284</v>
      </c>
      <c r="D488" s="3">
        <v>1</v>
      </c>
      <c r="E488" t="s">
        <v>30</v>
      </c>
      <c r="F488" t="s">
        <v>285</v>
      </c>
      <c r="G488">
        <v>0.0001</v>
      </c>
      <c r="H488">
        <v>100000</v>
      </c>
      <c r="I488" t="s">
        <v>31</v>
      </c>
    </row>
    <row r="489" spans="1:9" x14ac:dyDescent="0.25">
      <c r="A489" t="s">
        <v>870</v>
      </c>
      <c r="B489" t="s">
        <v>866</v>
      </c>
      <c r="C489" t="s">
        <v>287</v>
      </c>
      <c r="D489" s="3" t="s">
        <v>159</v>
      </c>
      <c r="E489" t="s">
        <v>81</v>
      </c>
      <c r="F489" t="s">
        <v>31</v>
      </c>
      <c r="G489" t="s">
        <v>31</v>
      </c>
      <c r="H489" t="s">
        <v>31</v>
      </c>
      <c r="I489" t="s">
        <v>31</v>
      </c>
    </row>
    <row r="490" spans="1:9" x14ac:dyDescent="0.25">
      <c r="A490" t="s">
        <v>871</v>
      </c>
      <c r="B490" t="s">
        <v>866</v>
      </c>
      <c r="C490" t="s">
        <v>289</v>
      </c>
      <c r="D490" s="3">
        <v>1</v>
      </c>
      <c r="E490" t="s">
        <v>30</v>
      </c>
      <c r="F490" t="s">
        <v>237</v>
      </c>
      <c r="G490">
        <v>1</v>
      </c>
      <c r="H490">
        <v>4</v>
      </c>
      <c r="I490" t="s">
        <v>31</v>
      </c>
    </row>
    <row r="491" spans="1:9" x14ac:dyDescent="0.25">
      <c r="A491" t="s">
        <v>872</v>
      </c>
      <c r="B491" t="s">
        <v>866</v>
      </c>
      <c r="C491" t="s">
        <v>291</v>
      </c>
      <c r="D491" s="3">
        <v>1</v>
      </c>
      <c r="E491" t="s">
        <v>30</v>
      </c>
      <c r="F491" t="s">
        <v>285</v>
      </c>
      <c r="G491">
        <v>0.0001</v>
      </c>
      <c r="H491">
        <v>100000</v>
      </c>
      <c r="I491" t="s">
        <v>31</v>
      </c>
    </row>
    <row r="492" spans="1:9" x14ac:dyDescent="0.25">
      <c r="A492" t="s">
        <v>873</v>
      </c>
      <c r="B492" t="s">
        <v>866</v>
      </c>
      <c r="C492" t="s">
        <v>293</v>
      </c>
      <c r="D492" s="3" t="s">
        <v>170</v>
      </c>
      <c r="E492" t="s">
        <v>81</v>
      </c>
      <c r="F492" t="s">
        <v>31</v>
      </c>
      <c r="G492" t="s">
        <v>31</v>
      </c>
      <c r="H492" t="s">
        <v>31</v>
      </c>
      <c r="I492" t="s">
        <v>31</v>
      </c>
    </row>
    <row r="493" spans="1:9" x14ac:dyDescent="0.25">
      <c r="A493" t="s">
        <v>874</v>
      </c>
      <c r="B493" t="s">
        <v>866</v>
      </c>
      <c r="C493" t="s">
        <v>295</v>
      </c>
      <c r="D493" s="3">
        <v>1</v>
      </c>
      <c r="E493" t="s">
        <v>30</v>
      </c>
      <c r="F493" t="s">
        <v>237</v>
      </c>
      <c r="G493">
        <v>1</v>
      </c>
      <c r="H493">
        <v>4</v>
      </c>
      <c r="I493" t="s">
        <v>31</v>
      </c>
    </row>
    <row r="494" spans="1:9" x14ac:dyDescent="0.25">
      <c r="A494" t="s">
        <v>875</v>
      </c>
      <c r="B494" t="s">
        <v>866</v>
      </c>
      <c r="C494" t="s">
        <v>297</v>
      </c>
      <c r="D494" s="3">
        <v>1</v>
      </c>
      <c r="E494" t="s">
        <v>30</v>
      </c>
      <c r="F494" t="s">
        <v>285</v>
      </c>
      <c r="G494">
        <v>0.0001</v>
      </c>
      <c r="H494">
        <v>100000</v>
      </c>
      <c r="I494" t="s">
        <v>31</v>
      </c>
    </row>
    <row r="495" spans="1:9" x14ac:dyDescent="0.25">
      <c r="A495" t="s">
        <v>876</v>
      </c>
      <c r="B495" t="s">
        <v>866</v>
      </c>
      <c r="C495" t="s">
        <v>299</v>
      </c>
      <c r="D495" s="3" t="s">
        <v>173</v>
      </c>
      <c r="E495" t="s">
        <v>81</v>
      </c>
      <c r="F495" t="s">
        <v>31</v>
      </c>
      <c r="G495" t="s">
        <v>31</v>
      </c>
      <c r="H495" t="s">
        <v>31</v>
      </c>
      <c r="I495" t="s">
        <v>31</v>
      </c>
    </row>
    <row r="496" spans="1:9" x14ac:dyDescent="0.25">
      <c r="A496" t="s">
        <v>877</v>
      </c>
      <c r="B496" t="s">
        <v>866</v>
      </c>
      <c r="C496" t="s">
        <v>301</v>
      </c>
      <c r="D496" s="3">
        <v>1</v>
      </c>
      <c r="E496" t="s">
        <v>30</v>
      </c>
      <c r="F496" t="s">
        <v>237</v>
      </c>
      <c r="G496">
        <v>1</v>
      </c>
      <c r="H496">
        <v>4</v>
      </c>
      <c r="I496" t="s">
        <v>31</v>
      </c>
    </row>
    <row r="497" spans="1:9" x14ac:dyDescent="0.25">
      <c r="A497" t="s">
        <v>878</v>
      </c>
      <c r="B497" t="s">
        <v>866</v>
      </c>
      <c r="C497" t="s">
        <v>303</v>
      </c>
      <c r="D497" s="3">
        <v>1</v>
      </c>
      <c r="E497" t="s">
        <v>30</v>
      </c>
      <c r="F497" t="s">
        <v>285</v>
      </c>
      <c r="G497">
        <v>0.0001</v>
      </c>
      <c r="H497">
        <v>100000</v>
      </c>
      <c r="I497" t="s">
        <v>31</v>
      </c>
    </row>
    <row r="498" spans="1:9" x14ac:dyDescent="0.25">
      <c r="A498" t="s">
        <v>879</v>
      </c>
      <c r="B498" t="s">
        <v>866</v>
      </c>
      <c r="C498" t="s">
        <v>305</v>
      </c>
      <c r="D498" s="3" t="s">
        <v>173</v>
      </c>
      <c r="E498" t="s">
        <v>81</v>
      </c>
      <c r="F498" t="s">
        <v>31</v>
      </c>
      <c r="G498" t="s">
        <v>31</v>
      </c>
      <c r="H498" t="s">
        <v>31</v>
      </c>
      <c r="I498" t="s">
        <v>31</v>
      </c>
    </row>
    <row r="499" spans="1:9" x14ac:dyDescent="0.25">
      <c r="A499" t="s">
        <v>880</v>
      </c>
      <c r="B499" t="s">
        <v>866</v>
      </c>
      <c r="C499" t="s">
        <v>307</v>
      </c>
      <c r="D499" s="3">
        <v>1</v>
      </c>
      <c r="E499" t="s">
        <v>30</v>
      </c>
      <c r="F499" t="s">
        <v>237</v>
      </c>
      <c r="G499">
        <v>1</v>
      </c>
      <c r="H499">
        <v>4</v>
      </c>
      <c r="I499" t="s">
        <v>31</v>
      </c>
    </row>
    <row r="500" spans="1:9" x14ac:dyDescent="0.25">
      <c r="A500" t="s">
        <v>881</v>
      </c>
      <c r="B500" t="s">
        <v>866</v>
      </c>
      <c r="C500" t="s">
        <v>309</v>
      </c>
      <c r="D500" s="3">
        <v>1</v>
      </c>
      <c r="E500" t="s">
        <v>30</v>
      </c>
      <c r="F500" t="s">
        <v>285</v>
      </c>
      <c r="G500">
        <v>0.0001</v>
      </c>
      <c r="H500">
        <v>100000</v>
      </c>
      <c r="I500" t="s">
        <v>31</v>
      </c>
    </row>
    <row r="501" spans="1:9" x14ac:dyDescent="0.25">
      <c r="A501" t="s">
        <v>882</v>
      </c>
      <c r="B501" t="s">
        <v>866</v>
      </c>
      <c r="C501" t="s">
        <v>311</v>
      </c>
      <c r="D501" s="3" t="s">
        <v>770</v>
      </c>
      <c r="E501" t="s">
        <v>81</v>
      </c>
      <c r="F501" t="s">
        <v>31</v>
      </c>
      <c r="G501" t="s">
        <v>31</v>
      </c>
      <c r="H501" t="s">
        <v>31</v>
      </c>
      <c r="I501" t="s">
        <v>31</v>
      </c>
    </row>
    <row r="502" spans="1:9" x14ac:dyDescent="0.25">
      <c r="A502" t="s">
        <v>883</v>
      </c>
      <c r="B502" t="s">
        <v>866</v>
      </c>
      <c r="C502" t="s">
        <v>313</v>
      </c>
      <c r="D502" s="3">
        <v>1</v>
      </c>
      <c r="E502" t="s">
        <v>30</v>
      </c>
      <c r="F502" t="s">
        <v>237</v>
      </c>
      <c r="G502">
        <v>1</v>
      </c>
      <c r="H502">
        <v>4</v>
      </c>
      <c r="I502" t="s">
        <v>31</v>
      </c>
    </row>
    <row r="503" spans="1:9" x14ac:dyDescent="0.25">
      <c r="A503" t="s">
        <v>884</v>
      </c>
      <c r="B503" t="s">
        <v>866</v>
      </c>
      <c r="C503" t="s">
        <v>315</v>
      </c>
      <c r="D503" s="3">
        <v>1</v>
      </c>
      <c r="E503" t="s">
        <v>30</v>
      </c>
      <c r="F503" t="s">
        <v>285</v>
      </c>
      <c r="G503">
        <v>0.0001</v>
      </c>
      <c r="H503">
        <v>100000</v>
      </c>
      <c r="I503" t="s">
        <v>31</v>
      </c>
    </row>
    <row r="504" spans="1:9" x14ac:dyDescent="0.25">
      <c r="A504" t="s">
        <v>885</v>
      </c>
      <c r="B504" t="s">
        <v>866</v>
      </c>
      <c r="C504" t="s">
        <v>317</v>
      </c>
      <c r="D504" s="3" t="s">
        <v>159</v>
      </c>
      <c r="E504" t="s">
        <v>81</v>
      </c>
      <c r="F504" t="s">
        <v>31</v>
      </c>
      <c r="G504" t="s">
        <v>31</v>
      </c>
      <c r="H504" t="s">
        <v>31</v>
      </c>
      <c r="I504" t="s">
        <v>31</v>
      </c>
    </row>
    <row r="505" spans="1:9" x14ac:dyDescent="0.25">
      <c r="A505" t="s">
        <v>886</v>
      </c>
      <c r="B505" t="s">
        <v>866</v>
      </c>
      <c r="C505" t="s">
        <v>319</v>
      </c>
      <c r="D505" s="3">
        <v>1</v>
      </c>
      <c r="E505" t="s">
        <v>30</v>
      </c>
      <c r="F505" t="s">
        <v>237</v>
      </c>
      <c r="G505">
        <v>1</v>
      </c>
      <c r="H505">
        <v>4</v>
      </c>
      <c r="I505" t="s">
        <v>31</v>
      </c>
    </row>
    <row r="506" spans="1:9" x14ac:dyDescent="0.25">
      <c r="A506" t="s">
        <v>887</v>
      </c>
      <c r="B506" t="s">
        <v>866</v>
      </c>
      <c r="C506" t="s">
        <v>321</v>
      </c>
      <c r="D506" s="3">
        <v>1</v>
      </c>
      <c r="E506" t="s">
        <v>30</v>
      </c>
      <c r="F506" t="s">
        <v>285</v>
      </c>
      <c r="G506">
        <v>0.0001</v>
      </c>
      <c r="H506">
        <v>100000</v>
      </c>
      <c r="I506" t="s">
        <v>31</v>
      </c>
    </row>
    <row r="507" spans="1:9" x14ac:dyDescent="0.25">
      <c r="A507" t="s">
        <v>888</v>
      </c>
      <c r="B507" t="s">
        <v>866</v>
      </c>
      <c r="C507" t="s">
        <v>323</v>
      </c>
      <c r="D507" s="3" t="s">
        <v>159</v>
      </c>
      <c r="E507" t="s">
        <v>81</v>
      </c>
      <c r="F507" t="s">
        <v>31</v>
      </c>
      <c r="G507" t="s">
        <v>31</v>
      </c>
      <c r="H507" t="s">
        <v>31</v>
      </c>
      <c r="I507" t="s">
        <v>31</v>
      </c>
    </row>
    <row r="508" spans="1:9" x14ac:dyDescent="0.25">
      <c r="A508" t="s">
        <v>889</v>
      </c>
      <c r="B508" t="s">
        <v>866</v>
      </c>
      <c r="C508" t="s">
        <v>325</v>
      </c>
      <c r="D508" s="3">
        <v>1</v>
      </c>
      <c r="E508" t="s">
        <v>30</v>
      </c>
      <c r="F508" t="s">
        <v>237</v>
      </c>
      <c r="G508">
        <v>1</v>
      </c>
      <c r="H508">
        <v>4</v>
      </c>
      <c r="I508" t="s">
        <v>31</v>
      </c>
    </row>
    <row r="509" spans="1:9" x14ac:dyDescent="0.25">
      <c r="A509" t="s">
        <v>890</v>
      </c>
      <c r="B509" t="s">
        <v>866</v>
      </c>
      <c r="C509" t="s">
        <v>327</v>
      </c>
      <c r="D509" s="3">
        <v>1</v>
      </c>
      <c r="E509" t="s">
        <v>30</v>
      </c>
      <c r="F509" t="s">
        <v>285</v>
      </c>
      <c r="G509">
        <v>0.0001</v>
      </c>
      <c r="H509">
        <v>100000</v>
      </c>
      <c r="I509" t="s">
        <v>31</v>
      </c>
    </row>
    <row r="510" spans="1:9" x14ac:dyDescent="0.25">
      <c r="A510" t="s">
        <v>891</v>
      </c>
      <c r="B510" t="s">
        <v>866</v>
      </c>
      <c r="C510" t="s">
        <v>329</v>
      </c>
      <c r="D510" s="3" t="s">
        <v>170</v>
      </c>
      <c r="E510" t="s">
        <v>81</v>
      </c>
      <c r="F510" t="s">
        <v>31</v>
      </c>
      <c r="G510" t="s">
        <v>31</v>
      </c>
      <c r="H510" t="s">
        <v>31</v>
      </c>
      <c r="I510" t="s">
        <v>31</v>
      </c>
    </row>
    <row r="511" spans="1:9" x14ac:dyDescent="0.25">
      <c r="A511" t="s">
        <v>892</v>
      </c>
      <c r="B511" t="s">
        <v>866</v>
      </c>
      <c r="C511" t="s">
        <v>331</v>
      </c>
      <c r="D511" s="3">
        <v>1</v>
      </c>
      <c r="E511" t="s">
        <v>30</v>
      </c>
      <c r="F511" t="s">
        <v>237</v>
      </c>
      <c r="G511">
        <v>1</v>
      </c>
      <c r="H511">
        <v>4</v>
      </c>
      <c r="I511" t="s">
        <v>31</v>
      </c>
    </row>
    <row r="512" spans="1:9" x14ac:dyDescent="0.25">
      <c r="A512" t="s">
        <v>893</v>
      </c>
      <c r="B512" t="s">
        <v>866</v>
      </c>
      <c r="C512" t="s">
        <v>333</v>
      </c>
      <c r="D512" s="3">
        <v>1</v>
      </c>
      <c r="E512" t="s">
        <v>30</v>
      </c>
      <c r="F512" t="s">
        <v>285</v>
      </c>
      <c r="G512">
        <v>0.0001</v>
      </c>
      <c r="H512">
        <v>100000</v>
      </c>
      <c r="I512" t="s">
        <v>31</v>
      </c>
    </row>
    <row r="513" spans="1:9" x14ac:dyDescent="0.25">
      <c r="A513" t="s">
        <v>894</v>
      </c>
      <c r="B513" t="s">
        <v>866</v>
      </c>
      <c r="C513" t="s">
        <v>335</v>
      </c>
      <c r="D513" s="3" t="s">
        <v>173</v>
      </c>
      <c r="E513" t="s">
        <v>81</v>
      </c>
      <c r="F513" t="s">
        <v>31</v>
      </c>
      <c r="G513" t="s">
        <v>31</v>
      </c>
      <c r="H513" t="s">
        <v>31</v>
      </c>
      <c r="I513" t="s">
        <v>31</v>
      </c>
    </row>
    <row r="514" spans="1:9" x14ac:dyDescent="0.25">
      <c r="A514" t="s">
        <v>895</v>
      </c>
      <c r="B514" t="s">
        <v>866</v>
      </c>
      <c r="C514" t="s">
        <v>337</v>
      </c>
      <c r="D514" s="3">
        <v>1</v>
      </c>
      <c r="E514" t="s">
        <v>30</v>
      </c>
      <c r="F514" t="s">
        <v>237</v>
      </c>
      <c r="G514">
        <v>1</v>
      </c>
      <c r="H514">
        <v>4</v>
      </c>
      <c r="I514" t="s">
        <v>31</v>
      </c>
    </row>
    <row r="515" spans="1:9" x14ac:dyDescent="0.25">
      <c r="A515" t="s">
        <v>896</v>
      </c>
      <c r="B515" t="s">
        <v>866</v>
      </c>
      <c r="C515" t="s">
        <v>339</v>
      </c>
      <c r="D515" s="3">
        <v>1</v>
      </c>
      <c r="E515" t="s">
        <v>30</v>
      </c>
      <c r="F515" t="s">
        <v>285</v>
      </c>
      <c r="G515">
        <v>0.0001</v>
      </c>
      <c r="H515">
        <v>100000</v>
      </c>
      <c r="I515" t="s">
        <v>31</v>
      </c>
    </row>
    <row r="516" spans="1:9" x14ac:dyDescent="0.25">
      <c r="A516" t="s">
        <v>897</v>
      </c>
      <c r="B516" t="s">
        <v>866</v>
      </c>
      <c r="C516" t="s">
        <v>341</v>
      </c>
      <c r="D516" s="3" t="s">
        <v>173</v>
      </c>
      <c r="E516" t="s">
        <v>81</v>
      </c>
      <c r="F516" t="s">
        <v>31</v>
      </c>
      <c r="G516" t="s">
        <v>31</v>
      </c>
      <c r="H516" t="s">
        <v>31</v>
      </c>
      <c r="I516" t="s">
        <v>31</v>
      </c>
    </row>
    <row r="517" spans="1:9" x14ac:dyDescent="0.25">
      <c r="A517" t="s">
        <v>898</v>
      </c>
      <c r="B517" t="s">
        <v>866</v>
      </c>
      <c r="C517" t="s">
        <v>343</v>
      </c>
      <c r="D517" s="3">
        <v>1</v>
      </c>
      <c r="E517" t="s">
        <v>30</v>
      </c>
      <c r="F517" t="s">
        <v>237</v>
      </c>
      <c r="G517">
        <v>1</v>
      </c>
      <c r="H517">
        <v>4</v>
      </c>
      <c r="I517" t="s">
        <v>31</v>
      </c>
    </row>
    <row r="518" spans="1:9" x14ac:dyDescent="0.25">
      <c r="A518" t="s">
        <v>899</v>
      </c>
      <c r="B518" t="s">
        <v>866</v>
      </c>
      <c r="C518" t="s">
        <v>345</v>
      </c>
      <c r="D518" s="3">
        <v>1</v>
      </c>
      <c r="E518" t="s">
        <v>30</v>
      </c>
      <c r="F518" t="s">
        <v>285</v>
      </c>
      <c r="G518">
        <v>0.0001</v>
      </c>
      <c r="H518">
        <v>100000</v>
      </c>
      <c r="I518" t="s">
        <v>31</v>
      </c>
    </row>
    <row r="519" spans="1:9" x14ac:dyDescent="0.25">
      <c r="A519" t="s">
        <v>900</v>
      </c>
      <c r="B519" t="s">
        <v>866</v>
      </c>
      <c r="C519" t="s">
        <v>347</v>
      </c>
      <c r="D519" s="3" t="s">
        <v>770</v>
      </c>
      <c r="E519" t="s">
        <v>81</v>
      </c>
      <c r="F519" t="s">
        <v>31</v>
      </c>
      <c r="G519" t="s">
        <v>31</v>
      </c>
      <c r="H519" t="s">
        <v>31</v>
      </c>
      <c r="I519" t="s">
        <v>31</v>
      </c>
    </row>
    <row r="520" spans="1:9" x14ac:dyDescent="0.25">
      <c r="A520" t="s">
        <v>901</v>
      </c>
      <c r="B520" t="s">
        <v>866</v>
      </c>
      <c r="C520" t="s">
        <v>349</v>
      </c>
      <c r="D520" s="3">
        <v>1</v>
      </c>
      <c r="E520" t="s">
        <v>30</v>
      </c>
      <c r="F520" t="s">
        <v>237</v>
      </c>
      <c r="G520">
        <v>1</v>
      </c>
      <c r="H520">
        <v>4</v>
      </c>
      <c r="I520" t="s">
        <v>31</v>
      </c>
    </row>
    <row r="521" spans="1:9" x14ac:dyDescent="0.25">
      <c r="A521" t="s">
        <v>902</v>
      </c>
      <c r="B521" t="s">
        <v>866</v>
      </c>
      <c r="C521" t="s">
        <v>351</v>
      </c>
      <c r="D521" s="3">
        <v>1</v>
      </c>
      <c r="E521" t="s">
        <v>30</v>
      </c>
      <c r="F521" t="s">
        <v>285</v>
      </c>
      <c r="G521">
        <v>0.0001</v>
      </c>
      <c r="H521">
        <v>100000</v>
      </c>
      <c r="I521" t="s">
        <v>31</v>
      </c>
    </row>
    <row r="522" spans="1:9" x14ac:dyDescent="0.25">
      <c r="A522" t="s">
        <v>903</v>
      </c>
      <c r="B522" t="s">
        <v>866</v>
      </c>
      <c r="C522" t="s">
        <v>362</v>
      </c>
      <c r="D522" s="3" t="s">
        <v>159</v>
      </c>
      <c r="E522" t="s">
        <v>81</v>
      </c>
      <c r="F522" t="s">
        <v>31</v>
      </c>
      <c r="G522" t="s">
        <v>31</v>
      </c>
      <c r="H522" t="s">
        <v>31</v>
      </c>
      <c r="I522" t="s">
        <v>31</v>
      </c>
    </row>
    <row r="523" spans="1:9" x14ac:dyDescent="0.25">
      <c r="A523" t="s">
        <v>904</v>
      </c>
      <c r="B523" t="s">
        <v>866</v>
      </c>
      <c r="C523" t="s">
        <v>364</v>
      </c>
      <c r="D523" s="3">
        <v>1</v>
      </c>
      <c r="E523" t="s">
        <v>30</v>
      </c>
      <c r="F523" t="s">
        <v>237</v>
      </c>
      <c r="G523">
        <v>1</v>
      </c>
      <c r="H523">
        <v>4</v>
      </c>
      <c r="I523" t="s">
        <v>31</v>
      </c>
    </row>
    <row r="524" spans="1:9" x14ac:dyDescent="0.25">
      <c r="A524" t="s">
        <v>905</v>
      </c>
      <c r="B524" t="s">
        <v>866</v>
      </c>
      <c r="C524" t="s">
        <v>366</v>
      </c>
      <c r="D524" s="3">
        <v>1</v>
      </c>
      <c r="E524" t="s">
        <v>30</v>
      </c>
      <c r="F524" t="s">
        <v>285</v>
      </c>
      <c r="G524">
        <v>0.0001</v>
      </c>
      <c r="H524">
        <v>100000</v>
      </c>
      <c r="I524" t="s">
        <v>31</v>
      </c>
    </row>
    <row r="525" spans="1:9" x14ac:dyDescent="0.25">
      <c r="A525" t="s">
        <v>906</v>
      </c>
      <c r="B525" t="s">
        <v>866</v>
      </c>
      <c r="C525" t="s">
        <v>368</v>
      </c>
      <c r="D525" s="3" t="s">
        <v>159</v>
      </c>
      <c r="E525" t="s">
        <v>81</v>
      </c>
      <c r="F525" t="s">
        <v>31</v>
      </c>
      <c r="G525" t="s">
        <v>31</v>
      </c>
      <c r="H525" t="s">
        <v>31</v>
      </c>
      <c r="I525" t="s">
        <v>31</v>
      </c>
    </row>
    <row r="526" spans="1:9" x14ac:dyDescent="0.25">
      <c r="A526" t="s">
        <v>907</v>
      </c>
      <c r="B526" t="s">
        <v>866</v>
      </c>
      <c r="C526" t="s">
        <v>370</v>
      </c>
      <c r="D526" s="3">
        <v>1</v>
      </c>
      <c r="E526" t="s">
        <v>30</v>
      </c>
      <c r="F526" t="s">
        <v>237</v>
      </c>
      <c r="G526">
        <v>1</v>
      </c>
      <c r="H526">
        <v>4</v>
      </c>
      <c r="I526" t="s">
        <v>31</v>
      </c>
    </row>
    <row r="527" spans="1:9" x14ac:dyDescent="0.25">
      <c r="A527" t="s">
        <v>908</v>
      </c>
      <c r="B527" t="s">
        <v>866</v>
      </c>
      <c r="C527" t="s">
        <v>372</v>
      </c>
      <c r="D527" s="3">
        <v>1</v>
      </c>
      <c r="E527" t="s">
        <v>30</v>
      </c>
      <c r="F527" t="s">
        <v>285</v>
      </c>
      <c r="G527">
        <v>0.0001</v>
      </c>
      <c r="H527">
        <v>100000</v>
      </c>
      <c r="I527" t="s">
        <v>31</v>
      </c>
    </row>
    <row r="528" spans="1:9" x14ac:dyDescent="0.25">
      <c r="A528" t="s">
        <v>909</v>
      </c>
      <c r="B528" t="s">
        <v>866</v>
      </c>
      <c r="C528" t="s">
        <v>374</v>
      </c>
      <c r="D528" s="3" t="s">
        <v>170</v>
      </c>
      <c r="E528" t="s">
        <v>81</v>
      </c>
      <c r="F528" t="s">
        <v>31</v>
      </c>
      <c r="G528" t="s">
        <v>31</v>
      </c>
      <c r="H528" t="s">
        <v>31</v>
      </c>
      <c r="I528" t="s">
        <v>31</v>
      </c>
    </row>
    <row r="529" spans="1:9" x14ac:dyDescent="0.25">
      <c r="A529" t="s">
        <v>910</v>
      </c>
      <c r="B529" t="s">
        <v>866</v>
      </c>
      <c r="C529" t="s">
        <v>376</v>
      </c>
      <c r="D529" s="3">
        <v>1</v>
      </c>
      <c r="E529" t="s">
        <v>30</v>
      </c>
      <c r="F529" t="s">
        <v>237</v>
      </c>
      <c r="G529">
        <v>1</v>
      </c>
      <c r="H529">
        <v>4</v>
      </c>
      <c r="I529" t="s">
        <v>31</v>
      </c>
    </row>
    <row r="530" spans="1:9" x14ac:dyDescent="0.25">
      <c r="A530" t="s">
        <v>911</v>
      </c>
      <c r="B530" t="s">
        <v>866</v>
      </c>
      <c r="C530" t="s">
        <v>378</v>
      </c>
      <c r="D530" s="3">
        <v>1</v>
      </c>
      <c r="E530" t="s">
        <v>30</v>
      </c>
      <c r="F530" t="s">
        <v>285</v>
      </c>
      <c r="G530">
        <v>0.0001</v>
      </c>
      <c r="H530">
        <v>100000</v>
      </c>
      <c r="I530" t="s">
        <v>31</v>
      </c>
    </row>
    <row r="531" spans="1:9" x14ac:dyDescent="0.25">
      <c r="A531" t="s">
        <v>912</v>
      </c>
      <c r="B531" t="s">
        <v>866</v>
      </c>
      <c r="C531" t="s">
        <v>380</v>
      </c>
      <c r="D531" s="3" t="s">
        <v>173</v>
      </c>
      <c r="E531" t="s">
        <v>81</v>
      </c>
      <c r="F531" t="s">
        <v>31</v>
      </c>
      <c r="G531" t="s">
        <v>31</v>
      </c>
      <c r="H531" t="s">
        <v>31</v>
      </c>
      <c r="I531" t="s">
        <v>31</v>
      </c>
    </row>
    <row r="532" spans="1:9" x14ac:dyDescent="0.25">
      <c r="A532" t="s">
        <v>913</v>
      </c>
      <c r="B532" t="s">
        <v>866</v>
      </c>
      <c r="C532" t="s">
        <v>382</v>
      </c>
      <c r="D532" s="3">
        <v>1</v>
      </c>
      <c r="E532" t="s">
        <v>30</v>
      </c>
      <c r="F532" t="s">
        <v>237</v>
      </c>
      <c r="G532">
        <v>1</v>
      </c>
      <c r="H532">
        <v>4</v>
      </c>
      <c r="I532" t="s">
        <v>31</v>
      </c>
    </row>
    <row r="533" spans="1:9" x14ac:dyDescent="0.25">
      <c r="A533" t="s">
        <v>914</v>
      </c>
      <c r="B533" t="s">
        <v>866</v>
      </c>
      <c r="C533" t="s">
        <v>384</v>
      </c>
      <c r="D533" s="3">
        <v>1</v>
      </c>
      <c r="E533" t="s">
        <v>30</v>
      </c>
      <c r="F533" t="s">
        <v>285</v>
      </c>
      <c r="G533">
        <v>0.0001</v>
      </c>
      <c r="H533">
        <v>100000</v>
      </c>
      <c r="I533" t="s">
        <v>31</v>
      </c>
    </row>
    <row r="534" spans="1:9" x14ac:dyDescent="0.25">
      <c r="A534" t="s">
        <v>915</v>
      </c>
      <c r="B534" t="s">
        <v>866</v>
      </c>
      <c r="C534" t="s">
        <v>386</v>
      </c>
      <c r="D534" s="3" t="s">
        <v>173</v>
      </c>
      <c r="E534" t="s">
        <v>81</v>
      </c>
      <c r="F534" t="s">
        <v>31</v>
      </c>
      <c r="G534" t="s">
        <v>31</v>
      </c>
      <c r="H534" t="s">
        <v>31</v>
      </c>
      <c r="I534" t="s">
        <v>31</v>
      </c>
    </row>
    <row r="535" spans="1:9" x14ac:dyDescent="0.25">
      <c r="A535" t="s">
        <v>916</v>
      </c>
      <c r="B535" t="s">
        <v>866</v>
      </c>
      <c r="C535" t="s">
        <v>388</v>
      </c>
      <c r="D535" s="3">
        <v>1</v>
      </c>
      <c r="E535" t="s">
        <v>30</v>
      </c>
      <c r="F535" t="s">
        <v>237</v>
      </c>
      <c r="G535">
        <v>1</v>
      </c>
      <c r="H535">
        <v>4</v>
      </c>
      <c r="I535" t="s">
        <v>31</v>
      </c>
    </row>
    <row r="536" spans="1:9" x14ac:dyDescent="0.25">
      <c r="A536" t="s">
        <v>917</v>
      </c>
      <c r="B536" t="s">
        <v>866</v>
      </c>
      <c r="C536" t="s">
        <v>390</v>
      </c>
      <c r="D536" s="3">
        <v>1</v>
      </c>
      <c r="E536" t="s">
        <v>30</v>
      </c>
      <c r="F536" t="s">
        <v>285</v>
      </c>
      <c r="G536">
        <v>0.0001</v>
      </c>
      <c r="H536">
        <v>100000</v>
      </c>
      <c r="I536" t="s">
        <v>31</v>
      </c>
    </row>
    <row r="537" spans="1:9" x14ac:dyDescent="0.25">
      <c r="A537" t="s">
        <v>918</v>
      </c>
      <c r="B537" t="s">
        <v>866</v>
      </c>
      <c r="C537" t="s">
        <v>392</v>
      </c>
      <c r="D537" s="3" t="s">
        <v>770</v>
      </c>
      <c r="E537" t="s">
        <v>81</v>
      </c>
      <c r="F537" t="s">
        <v>31</v>
      </c>
      <c r="G537" t="s">
        <v>31</v>
      </c>
      <c r="H537" t="s">
        <v>31</v>
      </c>
      <c r="I537" t="s">
        <v>31</v>
      </c>
    </row>
    <row r="538" spans="1:9" x14ac:dyDescent="0.25">
      <c r="A538" t="s">
        <v>919</v>
      </c>
      <c r="B538" t="s">
        <v>866</v>
      </c>
      <c r="C538" t="s">
        <v>394</v>
      </c>
      <c r="D538" s="3">
        <v>1</v>
      </c>
      <c r="E538" t="s">
        <v>30</v>
      </c>
      <c r="F538" t="s">
        <v>237</v>
      </c>
      <c r="G538">
        <v>1</v>
      </c>
      <c r="H538">
        <v>4</v>
      </c>
      <c r="I538" t="s">
        <v>31</v>
      </c>
    </row>
    <row r="539" spans="1:9" x14ac:dyDescent="0.25">
      <c r="A539" t="s">
        <v>920</v>
      </c>
      <c r="B539" t="s">
        <v>866</v>
      </c>
      <c r="C539" t="s">
        <v>396</v>
      </c>
      <c r="D539" s="3">
        <v>1</v>
      </c>
      <c r="E539" t="s">
        <v>30</v>
      </c>
      <c r="F539" t="s">
        <v>285</v>
      </c>
      <c r="G539">
        <v>0.0001</v>
      </c>
      <c r="H539">
        <v>100000</v>
      </c>
      <c r="I539" t="s">
        <v>31</v>
      </c>
    </row>
    <row r="540" spans="1:9" x14ac:dyDescent="0.25">
      <c r="A540" t="s">
        <v>921</v>
      </c>
      <c r="B540" t="s">
        <v>922</v>
      </c>
      <c r="C540" t="s">
        <v>226</v>
      </c>
      <c r="D540" s="2" t="s">
        <v>922</v>
      </c>
      <c r="E540" t="s">
        <v>81</v>
      </c>
      <c r="F540" t="s">
        <v>31</v>
      </c>
      <c r="G540" t="s">
        <v>31</v>
      </c>
      <c r="H540" t="s">
        <v>31</v>
      </c>
      <c r="I540" t="s">
        <v>32</v>
      </c>
    </row>
    <row r="541" spans="1:9" x14ac:dyDescent="0.25">
      <c r="A541" t="s">
        <v>923</v>
      </c>
      <c r="B541" t="s">
        <v>922</v>
      </c>
      <c r="C541" t="s">
        <v>280</v>
      </c>
      <c r="D541" s="3" t="s">
        <v>159</v>
      </c>
      <c r="E541" t="s">
        <v>81</v>
      </c>
      <c r="F541" t="s">
        <v>31</v>
      </c>
      <c r="G541" t="s">
        <v>31</v>
      </c>
      <c r="H541" t="s">
        <v>31</v>
      </c>
      <c r="I541" t="s">
        <v>31</v>
      </c>
    </row>
    <row r="542" spans="1:9" x14ac:dyDescent="0.25">
      <c r="A542" t="s">
        <v>924</v>
      </c>
      <c r="B542" t="s">
        <v>922</v>
      </c>
      <c r="C542" t="s">
        <v>282</v>
      </c>
      <c r="D542" s="3">
        <v>1</v>
      </c>
      <c r="E542" t="s">
        <v>30</v>
      </c>
      <c r="F542" t="s">
        <v>237</v>
      </c>
      <c r="G542">
        <v>1</v>
      </c>
      <c r="H542">
        <v>4</v>
      </c>
      <c r="I542" t="s">
        <v>31</v>
      </c>
    </row>
    <row r="543" spans="1:9" x14ac:dyDescent="0.25">
      <c r="A543" t="s">
        <v>925</v>
      </c>
      <c r="B543" t="s">
        <v>922</v>
      </c>
      <c r="C543" t="s">
        <v>284</v>
      </c>
      <c r="D543" s="3">
        <v>1</v>
      </c>
      <c r="E543" t="s">
        <v>30</v>
      </c>
      <c r="F543" t="s">
        <v>285</v>
      </c>
      <c r="G543">
        <v>0.0001</v>
      </c>
      <c r="H543">
        <v>100000</v>
      </c>
      <c r="I543" t="s">
        <v>31</v>
      </c>
    </row>
    <row r="544" spans="1:9" x14ac:dyDescent="0.25">
      <c r="A544" t="s">
        <v>926</v>
      </c>
      <c r="B544" t="s">
        <v>922</v>
      </c>
      <c r="C544" t="s">
        <v>287</v>
      </c>
      <c r="D544" s="3" t="s">
        <v>159</v>
      </c>
      <c r="E544" t="s">
        <v>81</v>
      </c>
      <c r="F544" t="s">
        <v>31</v>
      </c>
      <c r="G544" t="s">
        <v>31</v>
      </c>
      <c r="H544" t="s">
        <v>31</v>
      </c>
      <c r="I544" t="s">
        <v>31</v>
      </c>
    </row>
    <row r="545" spans="1:9" x14ac:dyDescent="0.25">
      <c r="A545" t="s">
        <v>927</v>
      </c>
      <c r="B545" t="s">
        <v>922</v>
      </c>
      <c r="C545" t="s">
        <v>289</v>
      </c>
      <c r="D545" s="3">
        <v>2</v>
      </c>
      <c r="E545" t="s">
        <v>30</v>
      </c>
      <c r="F545" t="s">
        <v>237</v>
      </c>
      <c r="G545">
        <v>1</v>
      </c>
      <c r="H545">
        <v>4</v>
      </c>
      <c r="I545" t="s">
        <v>31</v>
      </c>
    </row>
    <row r="546" spans="1:9" x14ac:dyDescent="0.25">
      <c r="A546" t="s">
        <v>928</v>
      </c>
      <c r="B546" t="s">
        <v>922</v>
      </c>
      <c r="C546" t="s">
        <v>291</v>
      </c>
      <c r="D546" s="3">
        <v>1</v>
      </c>
      <c r="E546" t="s">
        <v>30</v>
      </c>
      <c r="F546" t="s">
        <v>285</v>
      </c>
      <c r="G546">
        <v>0.0001</v>
      </c>
      <c r="H546">
        <v>100000</v>
      </c>
      <c r="I546" t="s">
        <v>31</v>
      </c>
    </row>
    <row r="547" spans="1:9" x14ac:dyDescent="0.25">
      <c r="A547" t="s">
        <v>929</v>
      </c>
      <c r="B547" t="s">
        <v>922</v>
      </c>
      <c r="C547" t="s">
        <v>293</v>
      </c>
      <c r="D547" s="3" t="s">
        <v>159</v>
      </c>
      <c r="E547" t="s">
        <v>81</v>
      </c>
      <c r="F547" t="s">
        <v>31</v>
      </c>
      <c r="G547" t="s">
        <v>31</v>
      </c>
      <c r="H547" t="s">
        <v>31</v>
      </c>
      <c r="I547" t="s">
        <v>31</v>
      </c>
    </row>
    <row r="548" spans="1:9" x14ac:dyDescent="0.25">
      <c r="A548" t="s">
        <v>930</v>
      </c>
      <c r="B548" t="s">
        <v>922</v>
      </c>
      <c r="C548" t="s">
        <v>295</v>
      </c>
      <c r="D548" s="3">
        <v>2</v>
      </c>
      <c r="E548" t="s">
        <v>30</v>
      </c>
      <c r="F548" t="s">
        <v>237</v>
      </c>
      <c r="G548">
        <v>1</v>
      </c>
      <c r="H548">
        <v>4</v>
      </c>
      <c r="I548" t="s">
        <v>31</v>
      </c>
    </row>
    <row r="549" spans="1:9" x14ac:dyDescent="0.25">
      <c r="A549" t="s">
        <v>931</v>
      </c>
      <c r="B549" t="s">
        <v>922</v>
      </c>
      <c r="C549" t="s">
        <v>297</v>
      </c>
      <c r="D549" s="3">
        <v>1</v>
      </c>
      <c r="E549" t="s">
        <v>30</v>
      </c>
      <c r="F549" t="s">
        <v>285</v>
      </c>
      <c r="G549">
        <v>0.0001</v>
      </c>
      <c r="H549">
        <v>100000</v>
      </c>
      <c r="I549" t="s">
        <v>31</v>
      </c>
    </row>
    <row r="550" spans="1:9" x14ac:dyDescent="0.25">
      <c r="A550" t="s">
        <v>932</v>
      </c>
      <c r="B550" t="s">
        <v>922</v>
      </c>
      <c r="C550" t="s">
        <v>299</v>
      </c>
      <c r="D550" s="3" t="s">
        <v>167</v>
      </c>
      <c r="E550" t="s">
        <v>81</v>
      </c>
      <c r="F550" t="s">
        <v>31</v>
      </c>
      <c r="G550" t="s">
        <v>31</v>
      </c>
      <c r="H550" t="s">
        <v>31</v>
      </c>
      <c r="I550" t="s">
        <v>31</v>
      </c>
    </row>
    <row r="551" spans="1:9" x14ac:dyDescent="0.25">
      <c r="A551" t="s">
        <v>933</v>
      </c>
      <c r="B551" t="s">
        <v>922</v>
      </c>
      <c r="C551" t="s">
        <v>301</v>
      </c>
      <c r="D551" s="3">
        <v>1</v>
      </c>
      <c r="E551" t="s">
        <v>30</v>
      </c>
      <c r="F551" t="s">
        <v>237</v>
      </c>
      <c r="G551">
        <v>1</v>
      </c>
      <c r="H551">
        <v>4</v>
      </c>
      <c r="I551" t="s">
        <v>31</v>
      </c>
    </row>
    <row r="552" spans="1:9" x14ac:dyDescent="0.25">
      <c r="A552" t="s">
        <v>934</v>
      </c>
      <c r="B552" t="s">
        <v>922</v>
      </c>
      <c r="C552" t="s">
        <v>303</v>
      </c>
      <c r="D552" s="3">
        <v>1</v>
      </c>
      <c r="E552" t="s">
        <v>30</v>
      </c>
      <c r="F552" t="s">
        <v>285</v>
      </c>
      <c r="G552">
        <v>0.0001</v>
      </c>
      <c r="H552">
        <v>100000</v>
      </c>
      <c r="I552" t="s">
        <v>31</v>
      </c>
    </row>
    <row r="553" spans="1:9" x14ac:dyDescent="0.25">
      <c r="A553" t="s">
        <v>935</v>
      </c>
      <c r="B553" t="s">
        <v>922</v>
      </c>
      <c r="C553" t="s">
        <v>305</v>
      </c>
      <c r="D553" s="3" t="s">
        <v>176</v>
      </c>
      <c r="E553" t="s">
        <v>81</v>
      </c>
      <c r="F553" t="s">
        <v>31</v>
      </c>
      <c r="G553" t="s">
        <v>31</v>
      </c>
      <c r="H553" t="s">
        <v>31</v>
      </c>
      <c r="I553" t="s">
        <v>31</v>
      </c>
    </row>
    <row r="554" spans="1:9" x14ac:dyDescent="0.25">
      <c r="A554" t="s">
        <v>936</v>
      </c>
      <c r="B554" t="s">
        <v>922</v>
      </c>
      <c r="C554" t="s">
        <v>307</v>
      </c>
      <c r="D554" s="3">
        <v>1</v>
      </c>
      <c r="E554" t="s">
        <v>30</v>
      </c>
      <c r="F554" t="s">
        <v>237</v>
      </c>
      <c r="G554">
        <v>1</v>
      </c>
      <c r="H554">
        <v>4</v>
      </c>
      <c r="I554" t="s">
        <v>31</v>
      </c>
    </row>
    <row r="555" spans="1:9" x14ac:dyDescent="0.25">
      <c r="A555" t="s">
        <v>937</v>
      </c>
      <c r="B555" t="s">
        <v>922</v>
      </c>
      <c r="C555" t="s">
        <v>309</v>
      </c>
      <c r="D555" s="3">
        <v>1</v>
      </c>
      <c r="E555" t="s">
        <v>30</v>
      </c>
      <c r="F555" t="s">
        <v>285</v>
      </c>
      <c r="G555">
        <v>0.0001</v>
      </c>
      <c r="H555">
        <v>100000</v>
      </c>
      <c r="I555" t="s">
        <v>31</v>
      </c>
    </row>
    <row r="556" spans="1:9" x14ac:dyDescent="0.25">
      <c r="A556" t="s">
        <v>938</v>
      </c>
      <c r="B556" t="s">
        <v>922</v>
      </c>
      <c r="C556" t="s">
        <v>311</v>
      </c>
      <c r="D556" s="3" t="s">
        <v>159</v>
      </c>
      <c r="E556" t="s">
        <v>81</v>
      </c>
      <c r="F556" t="s">
        <v>31</v>
      </c>
      <c r="G556" t="s">
        <v>31</v>
      </c>
      <c r="H556" t="s">
        <v>31</v>
      </c>
      <c r="I556" t="s">
        <v>31</v>
      </c>
    </row>
    <row r="557" spans="1:9" x14ac:dyDescent="0.25">
      <c r="A557" t="s">
        <v>939</v>
      </c>
      <c r="B557" t="s">
        <v>922</v>
      </c>
      <c r="C557" t="s">
        <v>313</v>
      </c>
      <c r="D557" s="3">
        <v>1</v>
      </c>
      <c r="E557" t="s">
        <v>30</v>
      </c>
      <c r="F557" t="s">
        <v>237</v>
      </c>
      <c r="G557">
        <v>1</v>
      </c>
      <c r="H557">
        <v>4</v>
      </c>
      <c r="I557" t="s">
        <v>31</v>
      </c>
    </row>
    <row r="558" spans="1:9" x14ac:dyDescent="0.25">
      <c r="A558" t="s">
        <v>940</v>
      </c>
      <c r="B558" t="s">
        <v>922</v>
      </c>
      <c r="C558" t="s">
        <v>315</v>
      </c>
      <c r="D558" s="3">
        <v>1</v>
      </c>
      <c r="E558" t="s">
        <v>30</v>
      </c>
      <c r="F558" t="s">
        <v>285</v>
      </c>
      <c r="G558">
        <v>0.0001</v>
      </c>
      <c r="H558">
        <v>100000</v>
      </c>
      <c r="I558" t="s">
        <v>31</v>
      </c>
    </row>
    <row r="559" spans="1:9" x14ac:dyDescent="0.25">
      <c r="A559" t="s">
        <v>941</v>
      </c>
      <c r="B559" t="s">
        <v>922</v>
      </c>
      <c r="C559" t="s">
        <v>317</v>
      </c>
      <c r="D559" s="3" t="s">
        <v>159</v>
      </c>
      <c r="E559" t="s">
        <v>81</v>
      </c>
      <c r="F559" t="s">
        <v>31</v>
      </c>
      <c r="G559" t="s">
        <v>31</v>
      </c>
      <c r="H559" t="s">
        <v>31</v>
      </c>
      <c r="I559" t="s">
        <v>31</v>
      </c>
    </row>
    <row r="560" spans="1:9" x14ac:dyDescent="0.25">
      <c r="A560" t="s">
        <v>942</v>
      </c>
      <c r="B560" t="s">
        <v>922</v>
      </c>
      <c r="C560" t="s">
        <v>319</v>
      </c>
      <c r="D560" s="3">
        <v>1</v>
      </c>
      <c r="E560" t="s">
        <v>30</v>
      </c>
      <c r="F560" t="s">
        <v>237</v>
      </c>
      <c r="G560">
        <v>1</v>
      </c>
      <c r="H560">
        <v>4</v>
      </c>
      <c r="I560" t="s">
        <v>31</v>
      </c>
    </row>
    <row r="561" spans="1:9" x14ac:dyDescent="0.25">
      <c r="A561" t="s">
        <v>943</v>
      </c>
      <c r="B561" t="s">
        <v>922</v>
      </c>
      <c r="C561" t="s">
        <v>321</v>
      </c>
      <c r="D561" s="3">
        <v>1</v>
      </c>
      <c r="E561" t="s">
        <v>30</v>
      </c>
      <c r="F561" t="s">
        <v>285</v>
      </c>
      <c r="G561">
        <v>0.0001</v>
      </c>
      <c r="H561">
        <v>100000</v>
      </c>
      <c r="I561" t="s">
        <v>31</v>
      </c>
    </row>
    <row r="562" spans="1:9" x14ac:dyDescent="0.25">
      <c r="A562" t="s">
        <v>944</v>
      </c>
      <c r="B562" t="s">
        <v>922</v>
      </c>
      <c r="C562" t="s">
        <v>323</v>
      </c>
      <c r="D562" s="3" t="s">
        <v>159</v>
      </c>
      <c r="E562" t="s">
        <v>81</v>
      </c>
      <c r="F562" t="s">
        <v>31</v>
      </c>
      <c r="G562" t="s">
        <v>31</v>
      </c>
      <c r="H562" t="s">
        <v>31</v>
      </c>
      <c r="I562" t="s">
        <v>31</v>
      </c>
    </row>
    <row r="563" spans="1:9" x14ac:dyDescent="0.25">
      <c r="A563" t="s">
        <v>945</v>
      </c>
      <c r="B563" t="s">
        <v>922</v>
      </c>
      <c r="C563" t="s">
        <v>325</v>
      </c>
      <c r="D563" s="3">
        <v>2</v>
      </c>
      <c r="E563" t="s">
        <v>30</v>
      </c>
      <c r="F563" t="s">
        <v>237</v>
      </c>
      <c r="G563">
        <v>1</v>
      </c>
      <c r="H563">
        <v>4</v>
      </c>
      <c r="I563" t="s">
        <v>31</v>
      </c>
    </row>
    <row r="564" spans="1:9" x14ac:dyDescent="0.25">
      <c r="A564" t="s">
        <v>946</v>
      </c>
      <c r="B564" t="s">
        <v>922</v>
      </c>
      <c r="C564" t="s">
        <v>327</v>
      </c>
      <c r="D564" s="3">
        <v>1</v>
      </c>
      <c r="E564" t="s">
        <v>30</v>
      </c>
      <c r="F564" t="s">
        <v>285</v>
      </c>
      <c r="G564">
        <v>0.0001</v>
      </c>
      <c r="H564">
        <v>100000</v>
      </c>
      <c r="I564" t="s">
        <v>31</v>
      </c>
    </row>
    <row r="565" spans="1:9" x14ac:dyDescent="0.25">
      <c r="A565" t="s">
        <v>947</v>
      </c>
      <c r="B565" t="s">
        <v>922</v>
      </c>
      <c r="C565" t="s">
        <v>329</v>
      </c>
      <c r="D565" s="3" t="s">
        <v>159</v>
      </c>
      <c r="E565" t="s">
        <v>81</v>
      </c>
      <c r="F565" t="s">
        <v>31</v>
      </c>
      <c r="G565" t="s">
        <v>31</v>
      </c>
      <c r="H565" t="s">
        <v>31</v>
      </c>
      <c r="I565" t="s">
        <v>31</v>
      </c>
    </row>
    <row r="566" spans="1:9" x14ac:dyDescent="0.25">
      <c r="A566" t="s">
        <v>948</v>
      </c>
      <c r="B566" t="s">
        <v>922</v>
      </c>
      <c r="C566" t="s">
        <v>331</v>
      </c>
      <c r="D566" s="3">
        <v>2</v>
      </c>
      <c r="E566" t="s">
        <v>30</v>
      </c>
      <c r="F566" t="s">
        <v>237</v>
      </c>
      <c r="G566">
        <v>1</v>
      </c>
      <c r="H566">
        <v>4</v>
      </c>
      <c r="I566" t="s">
        <v>31</v>
      </c>
    </row>
    <row r="567" spans="1:9" x14ac:dyDescent="0.25">
      <c r="A567" t="s">
        <v>949</v>
      </c>
      <c r="B567" t="s">
        <v>922</v>
      </c>
      <c r="C567" t="s">
        <v>333</v>
      </c>
      <c r="D567" s="3">
        <v>1</v>
      </c>
      <c r="E567" t="s">
        <v>30</v>
      </c>
      <c r="F567" t="s">
        <v>285</v>
      </c>
      <c r="G567">
        <v>0.0001</v>
      </c>
      <c r="H567">
        <v>100000</v>
      </c>
      <c r="I567" t="s">
        <v>31</v>
      </c>
    </row>
    <row r="568" spans="1:9" x14ac:dyDescent="0.25">
      <c r="A568" t="s">
        <v>950</v>
      </c>
      <c r="B568" t="s">
        <v>922</v>
      </c>
      <c r="C568" t="s">
        <v>335</v>
      </c>
      <c r="D568" s="3" t="s">
        <v>167</v>
      </c>
      <c r="E568" t="s">
        <v>81</v>
      </c>
      <c r="F568" t="s">
        <v>31</v>
      </c>
      <c r="G568" t="s">
        <v>31</v>
      </c>
      <c r="H568" t="s">
        <v>31</v>
      </c>
      <c r="I568" t="s">
        <v>31</v>
      </c>
    </row>
    <row r="569" spans="1:9" x14ac:dyDescent="0.25">
      <c r="A569" t="s">
        <v>951</v>
      </c>
      <c r="B569" t="s">
        <v>922</v>
      </c>
      <c r="C569" t="s">
        <v>337</v>
      </c>
      <c r="D569" s="3">
        <v>1</v>
      </c>
      <c r="E569" t="s">
        <v>30</v>
      </c>
      <c r="F569" t="s">
        <v>237</v>
      </c>
      <c r="G569">
        <v>1</v>
      </c>
      <c r="H569">
        <v>4</v>
      </c>
      <c r="I569" t="s">
        <v>31</v>
      </c>
    </row>
    <row r="570" spans="1:9" x14ac:dyDescent="0.25">
      <c r="A570" t="s">
        <v>952</v>
      </c>
      <c r="B570" t="s">
        <v>922</v>
      </c>
      <c r="C570" t="s">
        <v>339</v>
      </c>
      <c r="D570" s="3">
        <v>1</v>
      </c>
      <c r="E570" t="s">
        <v>30</v>
      </c>
      <c r="F570" t="s">
        <v>285</v>
      </c>
      <c r="G570">
        <v>0.0001</v>
      </c>
      <c r="H570">
        <v>100000</v>
      </c>
      <c r="I570" t="s">
        <v>31</v>
      </c>
    </row>
    <row r="571" spans="1:9" x14ac:dyDescent="0.25">
      <c r="A571" t="s">
        <v>953</v>
      </c>
      <c r="B571" t="s">
        <v>922</v>
      </c>
      <c r="C571" t="s">
        <v>341</v>
      </c>
      <c r="D571" s="3" t="s">
        <v>176</v>
      </c>
      <c r="E571" t="s">
        <v>81</v>
      </c>
      <c r="F571" t="s">
        <v>31</v>
      </c>
      <c r="G571" t="s">
        <v>31</v>
      </c>
      <c r="H571" t="s">
        <v>31</v>
      </c>
      <c r="I571" t="s">
        <v>31</v>
      </c>
    </row>
    <row r="572" spans="1:9" x14ac:dyDescent="0.25">
      <c r="A572" t="s">
        <v>954</v>
      </c>
      <c r="B572" t="s">
        <v>922</v>
      </c>
      <c r="C572" t="s">
        <v>343</v>
      </c>
      <c r="D572" s="3">
        <v>1</v>
      </c>
      <c r="E572" t="s">
        <v>30</v>
      </c>
      <c r="F572" t="s">
        <v>237</v>
      </c>
      <c r="G572">
        <v>1</v>
      </c>
      <c r="H572">
        <v>4</v>
      </c>
      <c r="I572" t="s">
        <v>31</v>
      </c>
    </row>
    <row r="573" spans="1:9" x14ac:dyDescent="0.25">
      <c r="A573" t="s">
        <v>955</v>
      </c>
      <c r="B573" t="s">
        <v>922</v>
      </c>
      <c r="C573" t="s">
        <v>345</v>
      </c>
      <c r="D573" s="3">
        <v>1</v>
      </c>
      <c r="E573" t="s">
        <v>30</v>
      </c>
      <c r="F573" t="s">
        <v>285</v>
      </c>
      <c r="G573">
        <v>0.0001</v>
      </c>
      <c r="H573">
        <v>100000</v>
      </c>
      <c r="I573" t="s">
        <v>31</v>
      </c>
    </row>
    <row r="574" spans="1:9" x14ac:dyDescent="0.25">
      <c r="A574" t="s">
        <v>956</v>
      </c>
      <c r="B574" t="s">
        <v>922</v>
      </c>
      <c r="C574" t="s">
        <v>347</v>
      </c>
      <c r="D574" s="3" t="s">
        <v>159</v>
      </c>
      <c r="E574" t="s">
        <v>81</v>
      </c>
      <c r="F574" t="s">
        <v>31</v>
      </c>
      <c r="G574" t="s">
        <v>31</v>
      </c>
      <c r="H574" t="s">
        <v>31</v>
      </c>
      <c r="I574" t="s">
        <v>31</v>
      </c>
    </row>
    <row r="575" spans="1:9" x14ac:dyDescent="0.25">
      <c r="A575" t="s">
        <v>957</v>
      </c>
      <c r="B575" t="s">
        <v>922</v>
      </c>
      <c r="C575" t="s">
        <v>349</v>
      </c>
      <c r="D575" s="3">
        <v>1</v>
      </c>
      <c r="E575" t="s">
        <v>30</v>
      </c>
      <c r="F575" t="s">
        <v>237</v>
      </c>
      <c r="G575">
        <v>1</v>
      </c>
      <c r="H575">
        <v>4</v>
      </c>
      <c r="I575" t="s">
        <v>31</v>
      </c>
    </row>
    <row r="576" spans="1:9" x14ac:dyDescent="0.25">
      <c r="A576" t="s">
        <v>958</v>
      </c>
      <c r="B576" t="s">
        <v>922</v>
      </c>
      <c r="C576" t="s">
        <v>351</v>
      </c>
      <c r="D576" s="3">
        <v>1</v>
      </c>
      <c r="E576" t="s">
        <v>30</v>
      </c>
      <c r="F576" t="s">
        <v>285</v>
      </c>
      <c r="G576">
        <v>0.0001</v>
      </c>
      <c r="H576">
        <v>100000</v>
      </c>
      <c r="I576" t="s">
        <v>31</v>
      </c>
    </row>
    <row r="577" spans="1:9" x14ac:dyDescent="0.25">
      <c r="A577" t="s">
        <v>959</v>
      </c>
      <c r="B577" t="s">
        <v>922</v>
      </c>
      <c r="C577" t="s">
        <v>362</v>
      </c>
      <c r="D577" s="3" t="s">
        <v>159</v>
      </c>
      <c r="E577" t="s">
        <v>81</v>
      </c>
      <c r="F577" t="s">
        <v>31</v>
      </c>
      <c r="G577" t="s">
        <v>31</v>
      </c>
      <c r="H577" t="s">
        <v>31</v>
      </c>
      <c r="I577" t="s">
        <v>31</v>
      </c>
    </row>
    <row r="578" spans="1:9" x14ac:dyDescent="0.25">
      <c r="A578" t="s">
        <v>960</v>
      </c>
      <c r="B578" t="s">
        <v>922</v>
      </c>
      <c r="C578" t="s">
        <v>364</v>
      </c>
      <c r="D578" s="3">
        <v>1</v>
      </c>
      <c r="E578" t="s">
        <v>30</v>
      </c>
      <c r="F578" t="s">
        <v>237</v>
      </c>
      <c r="G578">
        <v>1</v>
      </c>
      <c r="H578">
        <v>4</v>
      </c>
      <c r="I578" t="s">
        <v>31</v>
      </c>
    </row>
    <row r="579" spans="1:9" x14ac:dyDescent="0.25">
      <c r="A579" t="s">
        <v>961</v>
      </c>
      <c r="B579" t="s">
        <v>922</v>
      </c>
      <c r="C579" t="s">
        <v>366</v>
      </c>
      <c r="D579" s="3">
        <v>1</v>
      </c>
      <c r="E579" t="s">
        <v>30</v>
      </c>
      <c r="F579" t="s">
        <v>285</v>
      </c>
      <c r="G579">
        <v>0.0001</v>
      </c>
      <c r="H579">
        <v>100000</v>
      </c>
      <c r="I579" t="s">
        <v>31</v>
      </c>
    </row>
    <row r="580" spans="1:9" x14ac:dyDescent="0.25">
      <c r="A580" t="s">
        <v>962</v>
      </c>
      <c r="B580" t="s">
        <v>922</v>
      </c>
      <c r="C580" t="s">
        <v>368</v>
      </c>
      <c r="D580" s="3" t="s">
        <v>159</v>
      </c>
      <c r="E580" t="s">
        <v>81</v>
      </c>
      <c r="F580" t="s">
        <v>31</v>
      </c>
      <c r="G580" t="s">
        <v>31</v>
      </c>
      <c r="H580" t="s">
        <v>31</v>
      </c>
      <c r="I580" t="s">
        <v>31</v>
      </c>
    </row>
    <row r="581" spans="1:9" x14ac:dyDescent="0.25">
      <c r="A581" t="s">
        <v>963</v>
      </c>
      <c r="B581" t="s">
        <v>922</v>
      </c>
      <c r="C581" t="s">
        <v>370</v>
      </c>
      <c r="D581" s="3">
        <v>2</v>
      </c>
      <c r="E581" t="s">
        <v>30</v>
      </c>
      <c r="F581" t="s">
        <v>237</v>
      </c>
      <c r="G581">
        <v>1</v>
      </c>
      <c r="H581">
        <v>4</v>
      </c>
      <c r="I581" t="s">
        <v>31</v>
      </c>
    </row>
    <row r="582" spans="1:9" x14ac:dyDescent="0.25">
      <c r="A582" t="s">
        <v>964</v>
      </c>
      <c r="B582" t="s">
        <v>922</v>
      </c>
      <c r="C582" t="s">
        <v>372</v>
      </c>
      <c r="D582" s="3">
        <v>1</v>
      </c>
      <c r="E582" t="s">
        <v>30</v>
      </c>
      <c r="F582" t="s">
        <v>285</v>
      </c>
      <c r="G582">
        <v>0.0001</v>
      </c>
      <c r="H582">
        <v>100000</v>
      </c>
      <c r="I582" t="s">
        <v>31</v>
      </c>
    </row>
    <row r="583" spans="1:9" x14ac:dyDescent="0.25">
      <c r="A583" t="s">
        <v>965</v>
      </c>
      <c r="B583" t="s">
        <v>922</v>
      </c>
      <c r="C583" t="s">
        <v>374</v>
      </c>
      <c r="D583" s="3" t="s">
        <v>159</v>
      </c>
      <c r="E583" t="s">
        <v>81</v>
      </c>
      <c r="F583" t="s">
        <v>31</v>
      </c>
      <c r="G583" t="s">
        <v>31</v>
      </c>
      <c r="H583" t="s">
        <v>31</v>
      </c>
      <c r="I583" t="s">
        <v>31</v>
      </c>
    </row>
    <row r="584" spans="1:9" x14ac:dyDescent="0.25">
      <c r="A584" t="s">
        <v>966</v>
      </c>
      <c r="B584" t="s">
        <v>922</v>
      </c>
      <c r="C584" t="s">
        <v>376</v>
      </c>
      <c r="D584" s="3">
        <v>2</v>
      </c>
      <c r="E584" t="s">
        <v>30</v>
      </c>
      <c r="F584" t="s">
        <v>237</v>
      </c>
      <c r="G584">
        <v>1</v>
      </c>
      <c r="H584">
        <v>4</v>
      </c>
      <c r="I584" t="s">
        <v>31</v>
      </c>
    </row>
    <row r="585" spans="1:9" x14ac:dyDescent="0.25">
      <c r="A585" t="s">
        <v>967</v>
      </c>
      <c r="B585" t="s">
        <v>922</v>
      </c>
      <c r="C585" t="s">
        <v>378</v>
      </c>
      <c r="D585" s="3">
        <v>1</v>
      </c>
      <c r="E585" t="s">
        <v>30</v>
      </c>
      <c r="F585" t="s">
        <v>285</v>
      </c>
      <c r="G585">
        <v>0.0001</v>
      </c>
      <c r="H585">
        <v>100000</v>
      </c>
      <c r="I585" t="s">
        <v>31</v>
      </c>
    </row>
    <row r="586" spans="1:9" x14ac:dyDescent="0.25">
      <c r="A586" t="s">
        <v>968</v>
      </c>
      <c r="B586" t="s">
        <v>922</v>
      </c>
      <c r="C586" t="s">
        <v>380</v>
      </c>
      <c r="D586" s="3" t="s">
        <v>167</v>
      </c>
      <c r="E586" t="s">
        <v>81</v>
      </c>
      <c r="F586" t="s">
        <v>31</v>
      </c>
      <c r="G586" t="s">
        <v>31</v>
      </c>
      <c r="H586" t="s">
        <v>31</v>
      </c>
      <c r="I586" t="s">
        <v>31</v>
      </c>
    </row>
    <row r="587" spans="1:9" x14ac:dyDescent="0.25">
      <c r="A587" t="s">
        <v>969</v>
      </c>
      <c r="B587" t="s">
        <v>922</v>
      </c>
      <c r="C587" t="s">
        <v>382</v>
      </c>
      <c r="D587" s="3">
        <v>1</v>
      </c>
      <c r="E587" t="s">
        <v>30</v>
      </c>
      <c r="F587" t="s">
        <v>237</v>
      </c>
      <c r="G587">
        <v>1</v>
      </c>
      <c r="H587">
        <v>4</v>
      </c>
      <c r="I587" t="s">
        <v>31</v>
      </c>
    </row>
    <row r="588" spans="1:9" x14ac:dyDescent="0.25">
      <c r="A588" t="s">
        <v>970</v>
      </c>
      <c r="B588" t="s">
        <v>922</v>
      </c>
      <c r="C588" t="s">
        <v>384</v>
      </c>
      <c r="D588" s="3">
        <v>1</v>
      </c>
      <c r="E588" t="s">
        <v>30</v>
      </c>
      <c r="F588" t="s">
        <v>285</v>
      </c>
      <c r="G588">
        <v>0.0001</v>
      </c>
      <c r="H588">
        <v>100000</v>
      </c>
      <c r="I588" t="s">
        <v>31</v>
      </c>
    </row>
    <row r="589" spans="1:9" x14ac:dyDescent="0.25">
      <c r="A589" t="s">
        <v>971</v>
      </c>
      <c r="B589" t="s">
        <v>922</v>
      </c>
      <c r="C589" t="s">
        <v>386</v>
      </c>
      <c r="D589" s="3" t="s">
        <v>176</v>
      </c>
      <c r="E589" t="s">
        <v>81</v>
      </c>
      <c r="F589" t="s">
        <v>31</v>
      </c>
      <c r="G589" t="s">
        <v>31</v>
      </c>
      <c r="H589" t="s">
        <v>31</v>
      </c>
      <c r="I589" t="s">
        <v>31</v>
      </c>
    </row>
    <row r="590" spans="1:9" x14ac:dyDescent="0.25">
      <c r="A590" t="s">
        <v>972</v>
      </c>
      <c r="B590" t="s">
        <v>922</v>
      </c>
      <c r="C590" t="s">
        <v>388</v>
      </c>
      <c r="D590" s="3">
        <v>1</v>
      </c>
      <c r="E590" t="s">
        <v>30</v>
      </c>
      <c r="F590" t="s">
        <v>237</v>
      </c>
      <c r="G590">
        <v>1</v>
      </c>
      <c r="H590">
        <v>4</v>
      </c>
      <c r="I590" t="s">
        <v>31</v>
      </c>
    </row>
    <row r="591" spans="1:9" x14ac:dyDescent="0.25">
      <c r="A591" t="s">
        <v>973</v>
      </c>
      <c r="B591" t="s">
        <v>922</v>
      </c>
      <c r="C591" t="s">
        <v>390</v>
      </c>
      <c r="D591" s="3">
        <v>1</v>
      </c>
      <c r="E591" t="s">
        <v>30</v>
      </c>
      <c r="F591" t="s">
        <v>285</v>
      </c>
      <c r="G591">
        <v>0.0001</v>
      </c>
      <c r="H591">
        <v>100000</v>
      </c>
      <c r="I591" t="s">
        <v>31</v>
      </c>
    </row>
    <row r="592" spans="1:9" x14ac:dyDescent="0.25">
      <c r="A592" t="s">
        <v>974</v>
      </c>
      <c r="B592" t="s">
        <v>922</v>
      </c>
      <c r="C592" t="s">
        <v>392</v>
      </c>
      <c r="D592" s="3" t="s">
        <v>159</v>
      </c>
      <c r="E592" t="s">
        <v>81</v>
      </c>
      <c r="F592" t="s">
        <v>31</v>
      </c>
      <c r="G592" t="s">
        <v>31</v>
      </c>
      <c r="H592" t="s">
        <v>31</v>
      </c>
      <c r="I592" t="s">
        <v>31</v>
      </c>
    </row>
    <row r="593" spans="1:9" x14ac:dyDescent="0.25">
      <c r="A593" t="s">
        <v>975</v>
      </c>
      <c r="B593" t="s">
        <v>922</v>
      </c>
      <c r="C593" t="s">
        <v>394</v>
      </c>
      <c r="D593" s="3">
        <v>1</v>
      </c>
      <c r="E593" t="s">
        <v>30</v>
      </c>
      <c r="F593" t="s">
        <v>237</v>
      </c>
      <c r="G593">
        <v>1</v>
      </c>
      <c r="H593">
        <v>4</v>
      </c>
      <c r="I593" t="s">
        <v>31</v>
      </c>
    </row>
    <row r="594" spans="1:9" x14ac:dyDescent="0.25">
      <c r="A594" t="s">
        <v>976</v>
      </c>
      <c r="B594" t="s">
        <v>922</v>
      </c>
      <c r="C594" t="s">
        <v>396</v>
      </c>
      <c r="D594" s="3">
        <v>1</v>
      </c>
      <c r="E594" t="s">
        <v>30</v>
      </c>
      <c r="F594" t="s">
        <v>285</v>
      </c>
      <c r="G594">
        <v>0.0001</v>
      </c>
      <c r="H594">
        <v>100000</v>
      </c>
      <c r="I594" t="s">
        <v>31</v>
      </c>
    </row>
    <row r="595" spans="1:9" x14ac:dyDescent="0.25">
      <c r="A595" t="s">
        <v>977</v>
      </c>
      <c r="B595" t="s">
        <v>978</v>
      </c>
      <c r="C595" t="s">
        <v>226</v>
      </c>
      <c r="D595" s="2" t="s">
        <v>978</v>
      </c>
      <c r="E595" t="s">
        <v>81</v>
      </c>
      <c r="F595" t="s">
        <v>31</v>
      </c>
      <c r="G595" t="s">
        <v>31</v>
      </c>
      <c r="H595" t="s">
        <v>31</v>
      </c>
      <c r="I595" t="s">
        <v>32</v>
      </c>
    </row>
    <row r="596" spans="1:9" x14ac:dyDescent="0.25">
      <c r="A596" t="s">
        <v>979</v>
      </c>
      <c r="B596" t="s">
        <v>978</v>
      </c>
      <c r="C596" t="s">
        <v>280</v>
      </c>
      <c r="D596" s="3" t="s">
        <v>161</v>
      </c>
      <c r="E596" t="s">
        <v>81</v>
      </c>
      <c r="F596" t="s">
        <v>31</v>
      </c>
      <c r="G596" t="s">
        <v>31</v>
      </c>
      <c r="H596" t="s">
        <v>31</v>
      </c>
      <c r="I596" t="s">
        <v>31</v>
      </c>
    </row>
    <row r="597" spans="1:9" x14ac:dyDescent="0.25">
      <c r="A597" t="s">
        <v>980</v>
      </c>
      <c r="B597" t="s">
        <v>978</v>
      </c>
      <c r="C597" t="s">
        <v>282</v>
      </c>
      <c r="D597" s="3">
        <v>1</v>
      </c>
      <c r="E597" t="s">
        <v>30</v>
      </c>
      <c r="F597" t="s">
        <v>237</v>
      </c>
      <c r="G597">
        <v>1</v>
      </c>
      <c r="H597">
        <v>4</v>
      </c>
      <c r="I597" t="s">
        <v>31</v>
      </c>
    </row>
    <row r="598" spans="1:9" x14ac:dyDescent="0.25">
      <c r="A598" t="s">
        <v>981</v>
      </c>
      <c r="B598" t="s">
        <v>978</v>
      </c>
      <c r="C598" t="s">
        <v>284</v>
      </c>
      <c r="D598" s="3">
        <v>1</v>
      </c>
      <c r="E598" t="s">
        <v>30</v>
      </c>
      <c r="F598" t="s">
        <v>285</v>
      </c>
      <c r="G598">
        <v>0.0001</v>
      </c>
      <c r="H598">
        <v>100000</v>
      </c>
      <c r="I598" t="s">
        <v>31</v>
      </c>
    </row>
    <row r="599" spans="1:9" x14ac:dyDescent="0.25">
      <c r="A599" t="s">
        <v>982</v>
      </c>
      <c r="B599" t="s">
        <v>978</v>
      </c>
      <c r="C599" t="s">
        <v>287</v>
      </c>
      <c r="D599" s="3" t="s">
        <v>161</v>
      </c>
      <c r="E599" t="s">
        <v>81</v>
      </c>
      <c r="F599" t="s">
        <v>31</v>
      </c>
      <c r="G599" t="s">
        <v>31</v>
      </c>
      <c r="H599" t="s">
        <v>31</v>
      </c>
      <c r="I599" t="s">
        <v>31</v>
      </c>
    </row>
    <row r="600" spans="1:9" x14ac:dyDescent="0.25">
      <c r="A600" t="s">
        <v>983</v>
      </c>
      <c r="B600" t="s">
        <v>978</v>
      </c>
      <c r="C600" t="s">
        <v>289</v>
      </c>
      <c r="D600" s="3">
        <v>2</v>
      </c>
      <c r="E600" t="s">
        <v>30</v>
      </c>
      <c r="F600" t="s">
        <v>237</v>
      </c>
      <c r="G600">
        <v>1</v>
      </c>
      <c r="H600">
        <v>4</v>
      </c>
      <c r="I600" t="s">
        <v>31</v>
      </c>
    </row>
    <row r="601" spans="1:9" x14ac:dyDescent="0.25">
      <c r="A601" t="s">
        <v>984</v>
      </c>
      <c r="B601" t="s">
        <v>978</v>
      </c>
      <c r="C601" t="s">
        <v>291</v>
      </c>
      <c r="D601" s="3">
        <v>1</v>
      </c>
      <c r="E601" t="s">
        <v>30</v>
      </c>
      <c r="F601" t="s">
        <v>285</v>
      </c>
      <c r="G601">
        <v>0.0001</v>
      </c>
      <c r="H601">
        <v>100000</v>
      </c>
      <c r="I601" t="s">
        <v>31</v>
      </c>
    </row>
    <row r="602" spans="1:9" x14ac:dyDescent="0.25">
      <c r="A602" t="s">
        <v>985</v>
      </c>
      <c r="B602" t="s">
        <v>978</v>
      </c>
      <c r="C602" t="s">
        <v>293</v>
      </c>
      <c r="D602" s="3" t="s">
        <v>170</v>
      </c>
      <c r="E602" t="s">
        <v>81</v>
      </c>
      <c r="F602" t="s">
        <v>31</v>
      </c>
      <c r="G602" t="s">
        <v>31</v>
      </c>
      <c r="H602" t="s">
        <v>31</v>
      </c>
      <c r="I602" t="s">
        <v>31</v>
      </c>
    </row>
    <row r="603" spans="1:9" x14ac:dyDescent="0.25">
      <c r="A603" t="s">
        <v>986</v>
      </c>
      <c r="B603" t="s">
        <v>978</v>
      </c>
      <c r="C603" t="s">
        <v>295</v>
      </c>
      <c r="D603" s="3">
        <v>1</v>
      </c>
      <c r="E603" t="s">
        <v>30</v>
      </c>
      <c r="F603" t="s">
        <v>237</v>
      </c>
      <c r="G603">
        <v>1</v>
      </c>
      <c r="H603">
        <v>4</v>
      </c>
      <c r="I603" t="s">
        <v>31</v>
      </c>
    </row>
    <row r="604" spans="1:9" x14ac:dyDescent="0.25">
      <c r="A604" t="s">
        <v>987</v>
      </c>
      <c r="B604" t="s">
        <v>978</v>
      </c>
      <c r="C604" t="s">
        <v>297</v>
      </c>
      <c r="D604" s="3">
        <v>1</v>
      </c>
      <c r="E604" t="s">
        <v>30</v>
      </c>
      <c r="F604" t="s">
        <v>285</v>
      </c>
      <c r="G604">
        <v>0.0001</v>
      </c>
      <c r="H604">
        <v>100000</v>
      </c>
      <c r="I604" t="s">
        <v>31</v>
      </c>
    </row>
    <row r="605" spans="1:9" x14ac:dyDescent="0.25">
      <c r="A605" t="s">
        <v>988</v>
      </c>
      <c r="B605" t="s">
        <v>978</v>
      </c>
      <c r="C605" t="s">
        <v>299</v>
      </c>
      <c r="D605" s="3" t="s">
        <v>164</v>
      </c>
      <c r="E605" t="s">
        <v>81</v>
      </c>
      <c r="F605" t="s">
        <v>31</v>
      </c>
      <c r="G605" t="s">
        <v>31</v>
      </c>
      <c r="H605" t="s">
        <v>31</v>
      </c>
      <c r="I605" t="s">
        <v>31</v>
      </c>
    </row>
    <row r="606" spans="1:9" x14ac:dyDescent="0.25">
      <c r="A606" t="s">
        <v>989</v>
      </c>
      <c r="B606" t="s">
        <v>978</v>
      </c>
      <c r="C606" t="s">
        <v>301</v>
      </c>
      <c r="D606" s="3">
        <v>1</v>
      </c>
      <c r="E606" t="s">
        <v>30</v>
      </c>
      <c r="F606" t="s">
        <v>237</v>
      </c>
      <c r="G606">
        <v>1</v>
      </c>
      <c r="H606">
        <v>4</v>
      </c>
      <c r="I606" t="s">
        <v>31</v>
      </c>
    </row>
    <row r="607" spans="1:9" x14ac:dyDescent="0.25">
      <c r="A607" t="s">
        <v>990</v>
      </c>
      <c r="B607" t="s">
        <v>978</v>
      </c>
      <c r="C607" t="s">
        <v>303</v>
      </c>
      <c r="D607" s="3">
        <v>1</v>
      </c>
      <c r="E607" t="s">
        <v>30</v>
      </c>
      <c r="F607" t="s">
        <v>285</v>
      </c>
      <c r="G607">
        <v>0.0001</v>
      </c>
      <c r="H607">
        <v>100000</v>
      </c>
      <c r="I607" t="s">
        <v>31</v>
      </c>
    </row>
    <row r="608" spans="1:9" x14ac:dyDescent="0.25">
      <c r="A608" t="s">
        <v>991</v>
      </c>
      <c r="B608" t="s">
        <v>978</v>
      </c>
      <c r="C608" t="s">
        <v>305</v>
      </c>
      <c r="D608" s="3" t="s">
        <v>173</v>
      </c>
      <c r="E608" t="s">
        <v>81</v>
      </c>
      <c r="F608" t="s">
        <v>31</v>
      </c>
      <c r="G608" t="s">
        <v>31</v>
      </c>
      <c r="H608" t="s">
        <v>31</v>
      </c>
      <c r="I608" t="s">
        <v>31</v>
      </c>
    </row>
    <row r="609" spans="1:9" x14ac:dyDescent="0.25">
      <c r="A609" t="s">
        <v>992</v>
      </c>
      <c r="B609" t="s">
        <v>978</v>
      </c>
      <c r="C609" t="s">
        <v>307</v>
      </c>
      <c r="D609" s="3">
        <v>1</v>
      </c>
      <c r="E609" t="s">
        <v>30</v>
      </c>
      <c r="F609" t="s">
        <v>237</v>
      </c>
      <c r="G609">
        <v>1</v>
      </c>
      <c r="H609">
        <v>4</v>
      </c>
      <c r="I609" t="s">
        <v>31</v>
      </c>
    </row>
    <row r="610" spans="1:9" x14ac:dyDescent="0.25">
      <c r="A610" t="s">
        <v>993</v>
      </c>
      <c r="B610" t="s">
        <v>978</v>
      </c>
      <c r="C610" t="s">
        <v>309</v>
      </c>
      <c r="D610" s="3">
        <v>1</v>
      </c>
      <c r="E610" t="s">
        <v>30</v>
      </c>
      <c r="F610" t="s">
        <v>285</v>
      </c>
      <c r="G610">
        <v>0.0001</v>
      </c>
      <c r="H610">
        <v>100000</v>
      </c>
      <c r="I610" t="s">
        <v>31</v>
      </c>
    </row>
    <row r="611" spans="1:9" x14ac:dyDescent="0.25">
      <c r="A611" t="s">
        <v>994</v>
      </c>
      <c r="B611" t="s">
        <v>978</v>
      </c>
      <c r="C611" t="s">
        <v>311</v>
      </c>
      <c r="D611" s="3" t="s">
        <v>770</v>
      </c>
      <c r="E611" t="s">
        <v>81</v>
      </c>
      <c r="F611" t="s">
        <v>31</v>
      </c>
      <c r="G611" t="s">
        <v>31</v>
      </c>
      <c r="H611" t="s">
        <v>31</v>
      </c>
      <c r="I611" t="s">
        <v>31</v>
      </c>
    </row>
    <row r="612" spans="1:9" x14ac:dyDescent="0.25">
      <c r="A612" t="s">
        <v>995</v>
      </c>
      <c r="B612" t="s">
        <v>978</v>
      </c>
      <c r="C612" t="s">
        <v>313</v>
      </c>
      <c r="D612" s="3">
        <v>1</v>
      </c>
      <c r="E612" t="s">
        <v>30</v>
      </c>
      <c r="F612" t="s">
        <v>237</v>
      </c>
      <c r="G612">
        <v>1</v>
      </c>
      <c r="H612">
        <v>4</v>
      </c>
      <c r="I612" t="s">
        <v>31</v>
      </c>
    </row>
    <row r="613" spans="1:9" x14ac:dyDescent="0.25">
      <c r="A613" t="s">
        <v>996</v>
      </c>
      <c r="B613" t="s">
        <v>978</v>
      </c>
      <c r="C613" t="s">
        <v>315</v>
      </c>
      <c r="D613" s="3">
        <v>1</v>
      </c>
      <c r="E613" t="s">
        <v>30</v>
      </c>
      <c r="F613" t="s">
        <v>285</v>
      </c>
      <c r="G613">
        <v>0.0001</v>
      </c>
      <c r="H613">
        <v>100000</v>
      </c>
      <c r="I613" t="s">
        <v>31</v>
      </c>
    </row>
    <row r="614" spans="1:9" x14ac:dyDescent="0.25">
      <c r="A614" t="s">
        <v>997</v>
      </c>
      <c r="B614" t="s">
        <v>978</v>
      </c>
      <c r="C614" t="s">
        <v>317</v>
      </c>
      <c r="D614" s="3" t="s">
        <v>161</v>
      </c>
      <c r="E614" t="s">
        <v>81</v>
      </c>
      <c r="F614" t="s">
        <v>31</v>
      </c>
      <c r="G614" t="s">
        <v>31</v>
      </c>
      <c r="H614" t="s">
        <v>31</v>
      </c>
      <c r="I614" t="s">
        <v>31</v>
      </c>
    </row>
    <row r="615" spans="1:9" x14ac:dyDescent="0.25">
      <c r="A615" t="s">
        <v>998</v>
      </c>
      <c r="B615" t="s">
        <v>978</v>
      </c>
      <c r="C615" t="s">
        <v>319</v>
      </c>
      <c r="D615" s="3">
        <v>1</v>
      </c>
      <c r="E615" t="s">
        <v>30</v>
      </c>
      <c r="F615" t="s">
        <v>237</v>
      </c>
      <c r="G615">
        <v>1</v>
      </c>
      <c r="H615">
        <v>4</v>
      </c>
      <c r="I615" t="s">
        <v>31</v>
      </c>
    </row>
    <row r="616" spans="1:9" x14ac:dyDescent="0.25">
      <c r="A616" t="s">
        <v>999</v>
      </c>
      <c r="B616" t="s">
        <v>978</v>
      </c>
      <c r="C616" t="s">
        <v>321</v>
      </c>
      <c r="D616" s="3">
        <v>1</v>
      </c>
      <c r="E616" t="s">
        <v>30</v>
      </c>
      <c r="F616" t="s">
        <v>285</v>
      </c>
      <c r="G616">
        <v>0.0001</v>
      </c>
      <c r="H616">
        <v>100000</v>
      </c>
      <c r="I616" t="s">
        <v>31</v>
      </c>
    </row>
    <row r="617" spans="1:9" x14ac:dyDescent="0.25">
      <c r="A617" t="s">
        <v>1000</v>
      </c>
      <c r="B617" t="s">
        <v>978</v>
      </c>
      <c r="C617" t="s">
        <v>323</v>
      </c>
      <c r="D617" s="3" t="s">
        <v>161</v>
      </c>
      <c r="E617" t="s">
        <v>81</v>
      </c>
      <c r="F617" t="s">
        <v>31</v>
      </c>
      <c r="G617" t="s">
        <v>31</v>
      </c>
      <c r="H617" t="s">
        <v>31</v>
      </c>
      <c r="I617" t="s">
        <v>31</v>
      </c>
    </row>
    <row r="618" spans="1:9" x14ac:dyDescent="0.25">
      <c r="A618" t="s">
        <v>1001</v>
      </c>
      <c r="B618" t="s">
        <v>978</v>
      </c>
      <c r="C618" t="s">
        <v>325</v>
      </c>
      <c r="D618" s="3">
        <v>2</v>
      </c>
      <c r="E618" t="s">
        <v>30</v>
      </c>
      <c r="F618" t="s">
        <v>237</v>
      </c>
      <c r="G618">
        <v>1</v>
      </c>
      <c r="H618">
        <v>4</v>
      </c>
      <c r="I618" t="s">
        <v>31</v>
      </c>
    </row>
    <row r="619" spans="1:9" x14ac:dyDescent="0.25">
      <c r="A619" t="s">
        <v>1002</v>
      </c>
      <c r="B619" t="s">
        <v>978</v>
      </c>
      <c r="C619" t="s">
        <v>327</v>
      </c>
      <c r="D619" s="3">
        <v>1</v>
      </c>
      <c r="E619" t="s">
        <v>30</v>
      </c>
      <c r="F619" t="s">
        <v>285</v>
      </c>
      <c r="G619">
        <v>0.0001</v>
      </c>
      <c r="H619">
        <v>100000</v>
      </c>
      <c r="I619" t="s">
        <v>31</v>
      </c>
    </row>
    <row r="620" spans="1:9" x14ac:dyDescent="0.25">
      <c r="A620" t="s">
        <v>1003</v>
      </c>
      <c r="B620" t="s">
        <v>978</v>
      </c>
      <c r="C620" t="s">
        <v>329</v>
      </c>
      <c r="D620" s="3" t="s">
        <v>170</v>
      </c>
      <c r="E620" t="s">
        <v>81</v>
      </c>
      <c r="F620" t="s">
        <v>31</v>
      </c>
      <c r="G620" t="s">
        <v>31</v>
      </c>
      <c r="H620" t="s">
        <v>31</v>
      </c>
      <c r="I620" t="s">
        <v>31</v>
      </c>
    </row>
    <row r="621" spans="1:9" x14ac:dyDescent="0.25">
      <c r="A621" t="s">
        <v>1004</v>
      </c>
      <c r="B621" t="s">
        <v>978</v>
      </c>
      <c r="C621" t="s">
        <v>331</v>
      </c>
      <c r="D621" s="3">
        <v>1</v>
      </c>
      <c r="E621" t="s">
        <v>30</v>
      </c>
      <c r="F621" t="s">
        <v>237</v>
      </c>
      <c r="G621">
        <v>1</v>
      </c>
      <c r="H621">
        <v>4</v>
      </c>
      <c r="I621" t="s">
        <v>31</v>
      </c>
    </row>
    <row r="622" spans="1:9" x14ac:dyDescent="0.25">
      <c r="A622" t="s">
        <v>1005</v>
      </c>
      <c r="B622" t="s">
        <v>978</v>
      </c>
      <c r="C622" t="s">
        <v>333</v>
      </c>
      <c r="D622" s="3">
        <v>1</v>
      </c>
      <c r="E622" t="s">
        <v>30</v>
      </c>
      <c r="F622" t="s">
        <v>285</v>
      </c>
      <c r="G622">
        <v>0.0001</v>
      </c>
      <c r="H622">
        <v>100000</v>
      </c>
      <c r="I622" t="s">
        <v>31</v>
      </c>
    </row>
    <row r="623" spans="1:9" x14ac:dyDescent="0.25">
      <c r="A623" t="s">
        <v>1006</v>
      </c>
      <c r="B623" t="s">
        <v>978</v>
      </c>
      <c r="C623" t="s">
        <v>335</v>
      </c>
      <c r="D623" s="3" t="s">
        <v>164</v>
      </c>
      <c r="E623" t="s">
        <v>81</v>
      </c>
      <c r="F623" t="s">
        <v>31</v>
      </c>
      <c r="G623" t="s">
        <v>31</v>
      </c>
      <c r="H623" t="s">
        <v>31</v>
      </c>
      <c r="I623" t="s">
        <v>31</v>
      </c>
    </row>
    <row r="624" spans="1:9" x14ac:dyDescent="0.25">
      <c r="A624" t="s">
        <v>1007</v>
      </c>
      <c r="B624" t="s">
        <v>978</v>
      </c>
      <c r="C624" t="s">
        <v>337</v>
      </c>
      <c r="D624" s="3">
        <v>1</v>
      </c>
      <c r="E624" t="s">
        <v>30</v>
      </c>
      <c r="F624" t="s">
        <v>237</v>
      </c>
      <c r="G624">
        <v>1</v>
      </c>
      <c r="H624">
        <v>4</v>
      </c>
      <c r="I624" t="s">
        <v>31</v>
      </c>
    </row>
    <row r="625" spans="1:9" x14ac:dyDescent="0.25">
      <c r="A625" t="s">
        <v>1008</v>
      </c>
      <c r="B625" t="s">
        <v>978</v>
      </c>
      <c r="C625" t="s">
        <v>339</v>
      </c>
      <c r="D625" s="3">
        <v>1</v>
      </c>
      <c r="E625" t="s">
        <v>30</v>
      </c>
      <c r="F625" t="s">
        <v>285</v>
      </c>
      <c r="G625">
        <v>0.0001</v>
      </c>
      <c r="H625">
        <v>100000</v>
      </c>
      <c r="I625" t="s">
        <v>31</v>
      </c>
    </row>
    <row r="626" spans="1:9" x14ac:dyDescent="0.25">
      <c r="A626" t="s">
        <v>1009</v>
      </c>
      <c r="B626" t="s">
        <v>978</v>
      </c>
      <c r="C626" t="s">
        <v>341</v>
      </c>
      <c r="D626" s="3" t="s">
        <v>173</v>
      </c>
      <c r="E626" t="s">
        <v>81</v>
      </c>
      <c r="F626" t="s">
        <v>31</v>
      </c>
      <c r="G626" t="s">
        <v>31</v>
      </c>
      <c r="H626" t="s">
        <v>31</v>
      </c>
      <c r="I626" t="s">
        <v>31</v>
      </c>
    </row>
    <row r="627" spans="1:9" x14ac:dyDescent="0.25">
      <c r="A627" t="s">
        <v>1010</v>
      </c>
      <c r="B627" t="s">
        <v>978</v>
      </c>
      <c r="C627" t="s">
        <v>343</v>
      </c>
      <c r="D627" s="3">
        <v>1</v>
      </c>
      <c r="E627" t="s">
        <v>30</v>
      </c>
      <c r="F627" t="s">
        <v>237</v>
      </c>
      <c r="G627">
        <v>1</v>
      </c>
      <c r="H627">
        <v>4</v>
      </c>
      <c r="I627" t="s">
        <v>31</v>
      </c>
    </row>
    <row r="628" spans="1:9" x14ac:dyDescent="0.25">
      <c r="A628" t="s">
        <v>1011</v>
      </c>
      <c r="B628" t="s">
        <v>978</v>
      </c>
      <c r="C628" t="s">
        <v>345</v>
      </c>
      <c r="D628" s="3">
        <v>1</v>
      </c>
      <c r="E628" t="s">
        <v>30</v>
      </c>
      <c r="F628" t="s">
        <v>285</v>
      </c>
      <c r="G628">
        <v>0.0001</v>
      </c>
      <c r="H628">
        <v>100000</v>
      </c>
      <c r="I628" t="s">
        <v>31</v>
      </c>
    </row>
    <row r="629" spans="1:9" x14ac:dyDescent="0.25">
      <c r="A629" t="s">
        <v>1012</v>
      </c>
      <c r="B629" t="s">
        <v>978</v>
      </c>
      <c r="C629" t="s">
        <v>347</v>
      </c>
      <c r="D629" s="3" t="s">
        <v>770</v>
      </c>
      <c r="E629" t="s">
        <v>81</v>
      </c>
      <c r="F629" t="s">
        <v>31</v>
      </c>
      <c r="G629" t="s">
        <v>31</v>
      </c>
      <c r="H629" t="s">
        <v>31</v>
      </c>
      <c r="I629" t="s">
        <v>31</v>
      </c>
    </row>
    <row r="630" spans="1:9" x14ac:dyDescent="0.25">
      <c r="A630" t="s">
        <v>1013</v>
      </c>
      <c r="B630" t="s">
        <v>978</v>
      </c>
      <c r="C630" t="s">
        <v>349</v>
      </c>
      <c r="D630" s="3">
        <v>1</v>
      </c>
      <c r="E630" t="s">
        <v>30</v>
      </c>
      <c r="F630" t="s">
        <v>237</v>
      </c>
      <c r="G630">
        <v>1</v>
      </c>
      <c r="H630">
        <v>4</v>
      </c>
      <c r="I630" t="s">
        <v>31</v>
      </c>
    </row>
    <row r="631" spans="1:9" x14ac:dyDescent="0.25">
      <c r="A631" t="s">
        <v>1014</v>
      </c>
      <c r="B631" t="s">
        <v>978</v>
      </c>
      <c r="C631" t="s">
        <v>351</v>
      </c>
      <c r="D631" s="3">
        <v>1</v>
      </c>
      <c r="E631" t="s">
        <v>30</v>
      </c>
      <c r="F631" t="s">
        <v>285</v>
      </c>
      <c r="G631">
        <v>0.0001</v>
      </c>
      <c r="H631">
        <v>100000</v>
      </c>
      <c r="I631" t="s">
        <v>31</v>
      </c>
    </row>
    <row r="632" spans="1:9" x14ac:dyDescent="0.25">
      <c r="A632" t="s">
        <v>1015</v>
      </c>
      <c r="B632" t="s">
        <v>978</v>
      </c>
      <c r="C632" t="s">
        <v>362</v>
      </c>
      <c r="D632" s="3" t="s">
        <v>161</v>
      </c>
      <c r="E632" t="s">
        <v>81</v>
      </c>
      <c r="F632" t="s">
        <v>31</v>
      </c>
      <c r="G632" t="s">
        <v>31</v>
      </c>
      <c r="H632" t="s">
        <v>31</v>
      </c>
      <c r="I632" t="s">
        <v>31</v>
      </c>
    </row>
    <row r="633" spans="1:9" x14ac:dyDescent="0.25">
      <c r="A633" t="s">
        <v>1016</v>
      </c>
      <c r="B633" t="s">
        <v>978</v>
      </c>
      <c r="C633" t="s">
        <v>364</v>
      </c>
      <c r="D633" s="3">
        <v>1</v>
      </c>
      <c r="E633" t="s">
        <v>30</v>
      </c>
      <c r="F633" t="s">
        <v>237</v>
      </c>
      <c r="G633">
        <v>1</v>
      </c>
      <c r="H633">
        <v>4</v>
      </c>
      <c r="I633" t="s">
        <v>31</v>
      </c>
    </row>
    <row r="634" spans="1:9" x14ac:dyDescent="0.25">
      <c r="A634" t="s">
        <v>1017</v>
      </c>
      <c r="B634" t="s">
        <v>978</v>
      </c>
      <c r="C634" t="s">
        <v>366</v>
      </c>
      <c r="D634" s="3">
        <v>1</v>
      </c>
      <c r="E634" t="s">
        <v>30</v>
      </c>
      <c r="F634" t="s">
        <v>285</v>
      </c>
      <c r="G634">
        <v>0.0001</v>
      </c>
      <c r="H634">
        <v>100000</v>
      </c>
      <c r="I634" t="s">
        <v>31</v>
      </c>
    </row>
    <row r="635" spans="1:9" x14ac:dyDescent="0.25">
      <c r="A635" t="s">
        <v>1018</v>
      </c>
      <c r="B635" t="s">
        <v>978</v>
      </c>
      <c r="C635" t="s">
        <v>368</v>
      </c>
      <c r="D635" s="3" t="s">
        <v>161</v>
      </c>
      <c r="E635" t="s">
        <v>81</v>
      </c>
      <c r="F635" t="s">
        <v>31</v>
      </c>
      <c r="G635" t="s">
        <v>31</v>
      </c>
      <c r="H635" t="s">
        <v>31</v>
      </c>
      <c r="I635" t="s">
        <v>31</v>
      </c>
    </row>
    <row r="636" spans="1:9" x14ac:dyDescent="0.25">
      <c r="A636" t="s">
        <v>1019</v>
      </c>
      <c r="B636" t="s">
        <v>978</v>
      </c>
      <c r="C636" t="s">
        <v>370</v>
      </c>
      <c r="D636" s="3">
        <v>2</v>
      </c>
      <c r="E636" t="s">
        <v>30</v>
      </c>
      <c r="F636" t="s">
        <v>237</v>
      </c>
      <c r="G636">
        <v>1</v>
      </c>
      <c r="H636">
        <v>4</v>
      </c>
      <c r="I636" t="s">
        <v>31</v>
      </c>
    </row>
    <row r="637" spans="1:9" x14ac:dyDescent="0.25">
      <c r="A637" t="s">
        <v>1020</v>
      </c>
      <c r="B637" t="s">
        <v>978</v>
      </c>
      <c r="C637" t="s">
        <v>372</v>
      </c>
      <c r="D637" s="3">
        <v>1</v>
      </c>
      <c r="E637" t="s">
        <v>30</v>
      </c>
      <c r="F637" t="s">
        <v>285</v>
      </c>
      <c r="G637">
        <v>0.0001</v>
      </c>
      <c r="H637">
        <v>100000</v>
      </c>
      <c r="I637" t="s">
        <v>31</v>
      </c>
    </row>
    <row r="638" spans="1:9" x14ac:dyDescent="0.25">
      <c r="A638" t="s">
        <v>1021</v>
      </c>
      <c r="B638" t="s">
        <v>978</v>
      </c>
      <c r="C638" t="s">
        <v>374</v>
      </c>
      <c r="D638" s="3" t="s">
        <v>170</v>
      </c>
      <c r="E638" t="s">
        <v>81</v>
      </c>
      <c r="F638" t="s">
        <v>31</v>
      </c>
      <c r="G638" t="s">
        <v>31</v>
      </c>
      <c r="H638" t="s">
        <v>31</v>
      </c>
      <c r="I638" t="s">
        <v>31</v>
      </c>
    </row>
    <row r="639" spans="1:9" x14ac:dyDescent="0.25">
      <c r="A639" t="s">
        <v>1022</v>
      </c>
      <c r="B639" t="s">
        <v>978</v>
      </c>
      <c r="C639" t="s">
        <v>376</v>
      </c>
      <c r="D639" s="3">
        <v>1</v>
      </c>
      <c r="E639" t="s">
        <v>30</v>
      </c>
      <c r="F639" t="s">
        <v>237</v>
      </c>
      <c r="G639">
        <v>1</v>
      </c>
      <c r="H639">
        <v>4</v>
      </c>
      <c r="I639" t="s">
        <v>31</v>
      </c>
    </row>
    <row r="640" spans="1:9" x14ac:dyDescent="0.25">
      <c r="A640" t="s">
        <v>1023</v>
      </c>
      <c r="B640" t="s">
        <v>978</v>
      </c>
      <c r="C640" t="s">
        <v>378</v>
      </c>
      <c r="D640" s="3">
        <v>1</v>
      </c>
      <c r="E640" t="s">
        <v>30</v>
      </c>
      <c r="F640" t="s">
        <v>285</v>
      </c>
      <c r="G640">
        <v>0.0001</v>
      </c>
      <c r="H640">
        <v>100000</v>
      </c>
      <c r="I640" t="s">
        <v>31</v>
      </c>
    </row>
    <row r="641" spans="1:9" x14ac:dyDescent="0.25">
      <c r="A641" t="s">
        <v>1024</v>
      </c>
      <c r="B641" t="s">
        <v>978</v>
      </c>
      <c r="C641" t="s">
        <v>380</v>
      </c>
      <c r="D641" s="3" t="s">
        <v>164</v>
      </c>
      <c r="E641" t="s">
        <v>81</v>
      </c>
      <c r="F641" t="s">
        <v>31</v>
      </c>
      <c r="G641" t="s">
        <v>31</v>
      </c>
      <c r="H641" t="s">
        <v>31</v>
      </c>
      <c r="I641" t="s">
        <v>31</v>
      </c>
    </row>
    <row r="642" spans="1:9" x14ac:dyDescent="0.25">
      <c r="A642" t="s">
        <v>1025</v>
      </c>
      <c r="B642" t="s">
        <v>978</v>
      </c>
      <c r="C642" t="s">
        <v>382</v>
      </c>
      <c r="D642" s="3">
        <v>1</v>
      </c>
      <c r="E642" t="s">
        <v>30</v>
      </c>
      <c r="F642" t="s">
        <v>237</v>
      </c>
      <c r="G642">
        <v>1</v>
      </c>
      <c r="H642">
        <v>4</v>
      </c>
      <c r="I642" t="s">
        <v>31</v>
      </c>
    </row>
    <row r="643" spans="1:9" x14ac:dyDescent="0.25">
      <c r="A643" t="s">
        <v>1026</v>
      </c>
      <c r="B643" t="s">
        <v>978</v>
      </c>
      <c r="C643" t="s">
        <v>384</v>
      </c>
      <c r="D643" s="3">
        <v>1</v>
      </c>
      <c r="E643" t="s">
        <v>30</v>
      </c>
      <c r="F643" t="s">
        <v>285</v>
      </c>
      <c r="G643">
        <v>0.0001</v>
      </c>
      <c r="H643">
        <v>100000</v>
      </c>
      <c r="I643" t="s">
        <v>31</v>
      </c>
    </row>
    <row r="644" spans="1:9" x14ac:dyDescent="0.25">
      <c r="A644" t="s">
        <v>1027</v>
      </c>
      <c r="B644" t="s">
        <v>978</v>
      </c>
      <c r="C644" t="s">
        <v>386</v>
      </c>
      <c r="D644" s="3" t="s">
        <v>173</v>
      </c>
      <c r="E644" t="s">
        <v>81</v>
      </c>
      <c r="F644" t="s">
        <v>31</v>
      </c>
      <c r="G644" t="s">
        <v>31</v>
      </c>
      <c r="H644" t="s">
        <v>31</v>
      </c>
      <c r="I644" t="s">
        <v>31</v>
      </c>
    </row>
    <row r="645" spans="1:9" x14ac:dyDescent="0.25">
      <c r="A645" t="s">
        <v>1028</v>
      </c>
      <c r="B645" t="s">
        <v>978</v>
      </c>
      <c r="C645" t="s">
        <v>388</v>
      </c>
      <c r="D645" s="3">
        <v>1</v>
      </c>
      <c r="E645" t="s">
        <v>30</v>
      </c>
      <c r="F645" t="s">
        <v>237</v>
      </c>
      <c r="G645">
        <v>1</v>
      </c>
      <c r="H645">
        <v>4</v>
      </c>
      <c r="I645" t="s">
        <v>31</v>
      </c>
    </row>
    <row r="646" spans="1:9" x14ac:dyDescent="0.25">
      <c r="A646" t="s">
        <v>1029</v>
      </c>
      <c r="B646" t="s">
        <v>978</v>
      </c>
      <c r="C646" t="s">
        <v>390</v>
      </c>
      <c r="D646" s="3">
        <v>1</v>
      </c>
      <c r="E646" t="s">
        <v>30</v>
      </c>
      <c r="F646" t="s">
        <v>285</v>
      </c>
      <c r="G646">
        <v>0.0001</v>
      </c>
      <c r="H646">
        <v>100000</v>
      </c>
      <c r="I646" t="s">
        <v>31</v>
      </c>
    </row>
    <row r="647" spans="1:9" x14ac:dyDescent="0.25">
      <c r="A647" t="s">
        <v>1030</v>
      </c>
      <c r="B647" t="s">
        <v>978</v>
      </c>
      <c r="C647" t="s">
        <v>392</v>
      </c>
      <c r="D647" s="3" t="s">
        <v>770</v>
      </c>
      <c r="E647" t="s">
        <v>81</v>
      </c>
      <c r="F647" t="s">
        <v>31</v>
      </c>
      <c r="G647" t="s">
        <v>31</v>
      </c>
      <c r="H647" t="s">
        <v>31</v>
      </c>
      <c r="I647" t="s">
        <v>31</v>
      </c>
    </row>
    <row r="648" spans="1:9" x14ac:dyDescent="0.25">
      <c r="A648" t="s">
        <v>1031</v>
      </c>
      <c r="B648" t="s">
        <v>978</v>
      </c>
      <c r="C648" t="s">
        <v>394</v>
      </c>
      <c r="D648" s="3">
        <v>1</v>
      </c>
      <c r="E648" t="s">
        <v>30</v>
      </c>
      <c r="F648" t="s">
        <v>237</v>
      </c>
      <c r="G648">
        <v>1</v>
      </c>
      <c r="H648">
        <v>4</v>
      </c>
      <c r="I648" t="s">
        <v>31</v>
      </c>
    </row>
    <row r="649" spans="1:9" x14ac:dyDescent="0.25">
      <c r="A649" t="s">
        <v>1032</v>
      </c>
      <c r="B649" t="s">
        <v>978</v>
      </c>
      <c r="C649" t="s">
        <v>396</v>
      </c>
      <c r="D649" s="3">
        <v>1</v>
      </c>
      <c r="E649" t="s">
        <v>30</v>
      </c>
      <c r="F649" t="s">
        <v>285</v>
      </c>
      <c r="G649">
        <v>0.0001</v>
      </c>
      <c r="H649">
        <v>100000</v>
      </c>
      <c r="I649" t="s">
        <v>31</v>
      </c>
    </row>
  </sheetData>
  <sheetProtection sheet="1" algorithmName="SHA-512" hashValue="7u9vVYRr3wOlS+JD2AEkTPBZJtKFa1qyEOnsuR3D6VNRSVJLQgIuwuBKKFDjmb0bmzV4m4z/xfjOxIFLQgvsIQ==" saltValue="r47rbd1kj0gI59pBLi6pFg==" spinCount="100000"/>
  <autoFilter ref="A1:I1"/>
  <dataValidations count="422">
    <dataValidation type="decimal" showErrorMessage="1" errorStyle="stop" errorTitle="Invalid balance value" error="Use a number between 0.0001 and 100000." sqref="D10">
      <formula1>0.0001</formula1>
      <formula2>100000</formula2>
    </dataValidation>
    <dataValidation type="whole" showErrorMessage="1" errorStyle="stop" errorTitle="Invalid balance value" error="Use an integer between 1 and 4." sqref="D101">
      <formula1>1</formula1>
      <formula2>4</formula2>
    </dataValidation>
    <dataValidation type="decimal" showErrorMessage="1" errorStyle="stop" errorTitle="Invalid balance value" error="Use a number between 0.0001 and 100000." sqref="D102">
      <formula1>0.0001</formula1>
      <formula2>100000</formula2>
    </dataValidation>
    <dataValidation type="whole" showErrorMessage="1" errorStyle="stop" errorTitle="Invalid balance value" error="Use an integer between 1 and 4." sqref="D104">
      <formula1>1</formula1>
      <formula2>4</formula2>
    </dataValidation>
    <dataValidation type="decimal" showErrorMessage="1" errorStyle="stop" errorTitle="Invalid balance value" error="Use a number between 0.0001 and 100000." sqref="D105">
      <formula1>0.0001</formula1>
      <formula2>100000</formula2>
    </dataValidation>
    <dataValidation type="whole" showErrorMessage="1" errorStyle="stop" errorTitle="Invalid balance value" error="Use an integer between 1 and 4." sqref="D107">
      <formula1>1</formula1>
      <formula2>4</formula2>
    </dataValidation>
    <dataValidation type="decimal" showErrorMessage="1" errorStyle="stop" errorTitle="Invalid balance value" error="Use a number between 0.0001 and 100000." sqref="D108">
      <formula1>0.0001</formula1>
      <formula2>100000</formula2>
    </dataValidation>
    <dataValidation type="whole" showErrorMessage="1" errorStyle="stop" errorTitle="Invalid balance value" error="Use an integer between 1 and 4." sqref="D110">
      <formula1>1</formula1>
      <formula2>4</formula2>
    </dataValidation>
    <dataValidation type="decimal" showErrorMessage="1" errorStyle="stop" errorTitle="Invalid balance value" error="Use a number between 0.0001 and 100000." sqref="D111">
      <formula1>0.0001</formula1>
      <formula2>100000</formula2>
    </dataValidation>
    <dataValidation type="whole" showErrorMessage="1" errorStyle="stop" errorTitle="Invalid balance value" error="Use an integer between 1 and 4." sqref="D113">
      <formula1>1</formula1>
      <formula2>4</formula2>
    </dataValidation>
    <dataValidation type="decimal" showErrorMessage="1" errorStyle="stop" errorTitle="Invalid balance value" error="Use a number between 0.0001 and 100000." sqref="D114">
      <formula1>0.0001</formula1>
      <formula2>100000</formula2>
    </dataValidation>
    <dataValidation type="whole" showErrorMessage="1" errorStyle="stop" errorTitle="Invalid balance value" error="Use an integer between 1 and 4." sqref="D116">
      <formula1>1</formula1>
      <formula2>4</formula2>
    </dataValidation>
    <dataValidation type="decimal" showErrorMessage="1" errorStyle="stop" errorTitle="Invalid balance value" error="Use a number between 0.0001 and 100000." sqref="D117">
      <formula1>0.0001</formula1>
      <formula2>100000</formula2>
    </dataValidation>
    <dataValidation type="whole" showErrorMessage="1" errorStyle="stop" errorTitle="Invalid balance value" error="Use an integer between 1 and 4." sqref="D119">
      <formula1>1</formula1>
      <formula2>4</formula2>
    </dataValidation>
    <dataValidation type="whole" showErrorMessage="1" errorStyle="stop" errorTitle="Invalid balance value" error="Use an integer between 1 and 4." sqref="D12">
      <formula1>1</formula1>
      <formula2>4</formula2>
    </dataValidation>
    <dataValidation type="decimal" showErrorMessage="1" errorStyle="stop" errorTitle="Invalid balance value" error="Use a number between 0.0001 and 100000." sqref="D120">
      <formula1>0.0001</formula1>
      <formula2>100000</formula2>
    </dataValidation>
    <dataValidation type="whole" showErrorMessage="1" errorStyle="stop" errorTitle="Invalid balance value" error="Use an integer between 1 and 4." sqref="D122">
      <formula1>1</formula1>
      <formula2>4</formula2>
    </dataValidation>
    <dataValidation type="decimal" showErrorMessage="1" errorStyle="stop" errorTitle="Invalid balance value" error="Use a number between 0.0001 and 100000." sqref="D123">
      <formula1>0.0001</formula1>
      <formula2>100000</formula2>
    </dataValidation>
    <dataValidation type="whole" showErrorMessage="1" errorStyle="stop" errorTitle="Invalid balance value" error="Use an integer between 1 and 4." sqref="D125">
      <formula1>1</formula1>
      <formula2>4</formula2>
    </dataValidation>
    <dataValidation type="decimal" showErrorMessage="1" errorStyle="stop" errorTitle="Invalid balance value" error="Use a number between 0.0001 and 100000." sqref="D126">
      <formula1>0.0001</formula1>
      <formula2>100000</formula2>
    </dataValidation>
    <dataValidation type="whole" showErrorMessage="1" errorStyle="stop" errorTitle="Invalid balance value" error="Use an integer between 1 and 4." sqref="D128">
      <formula1>1</formula1>
      <formula2>4</formula2>
    </dataValidation>
    <dataValidation type="decimal" showErrorMessage="1" errorStyle="stop" errorTitle="Invalid balance value" error="Use a number between 0.0001 and 100000." sqref="D129">
      <formula1>0.0001</formula1>
      <formula2>100000</formula2>
    </dataValidation>
    <dataValidation type="decimal" showErrorMessage="1" errorStyle="stop" errorTitle="Invalid balance value" error="Use a number between 0.0001 and 100000." sqref="D13">
      <formula1>0.0001</formula1>
      <formula2>100000</formula2>
    </dataValidation>
    <dataValidation type="whole" showErrorMessage="1" errorStyle="stop" errorTitle="Invalid balance value" error="Use an integer between 1 and 4." sqref="D131">
      <formula1>1</formula1>
      <formula2>4</formula2>
    </dataValidation>
    <dataValidation type="decimal" showErrorMessage="1" errorStyle="stop" errorTitle="Invalid balance value" error="Use a number between 0.0001 and 100000." sqref="D132">
      <formula1>0.0001</formula1>
      <formula2>100000</formula2>
    </dataValidation>
    <dataValidation type="whole" showErrorMessage="1" errorStyle="stop" errorTitle="Invalid balance value" error="Use an integer between 1 and 4." sqref="D134">
      <formula1>1</formula1>
      <formula2>4</formula2>
    </dataValidation>
    <dataValidation type="decimal" showErrorMessage="1" errorStyle="stop" errorTitle="Invalid balance value" error="Use a number between 0.0001 and 100000." sqref="D135">
      <formula1>0.0001</formula1>
      <formula2>100000</formula2>
    </dataValidation>
    <dataValidation type="whole" showErrorMessage="1" errorStyle="stop" errorTitle="Invalid balance value" error="Use an integer between 1 and 4." sqref="D137">
      <formula1>1</formula1>
      <formula2>4</formula2>
    </dataValidation>
    <dataValidation type="decimal" showErrorMessage="1" errorStyle="stop" errorTitle="Invalid balance value" error="Use a number between 0.0001 and 100000." sqref="D138">
      <formula1>0.0001</formula1>
      <formula2>100000</formula2>
    </dataValidation>
    <dataValidation type="whole" showErrorMessage="1" errorStyle="stop" errorTitle="Invalid balance value" error="Use an integer between 1 and 4." sqref="D140">
      <formula1>1</formula1>
      <formula2>4</formula2>
    </dataValidation>
    <dataValidation type="decimal" showErrorMessage="1" errorStyle="stop" errorTitle="Invalid balance value" error="Use a number between 0.0001 and 100000." sqref="D141">
      <formula1>0.0001</formula1>
      <formula2>100000</formula2>
    </dataValidation>
    <dataValidation type="whole" showErrorMessage="1" errorStyle="stop" errorTitle="Invalid balance value" error="Use an integer between 1 and 4." sqref="D143">
      <formula1>1</formula1>
      <formula2>4</formula2>
    </dataValidation>
    <dataValidation type="decimal" showErrorMessage="1" errorStyle="stop" errorTitle="Invalid balance value" error="Use a number between 0.0001 and 100000." sqref="D144">
      <formula1>0.0001</formula1>
      <formula2>100000</formula2>
    </dataValidation>
    <dataValidation type="whole" showErrorMessage="1" errorStyle="stop" errorTitle="Invalid balance value" error="Use an integer between 1 and 4." sqref="D146">
      <formula1>1</formula1>
      <formula2>4</formula2>
    </dataValidation>
    <dataValidation type="decimal" showErrorMessage="1" errorStyle="stop" errorTitle="Invalid balance value" error="Use a number between 0.0001 and 100000." sqref="D147">
      <formula1>0.0001</formula1>
      <formula2>100000</formula2>
    </dataValidation>
    <dataValidation type="whole" showErrorMessage="1" errorStyle="stop" errorTitle="Invalid balance value" error="Use an integer between 1 and 4." sqref="D149">
      <formula1>1</formula1>
      <formula2>4</formula2>
    </dataValidation>
    <dataValidation type="whole" showErrorMessage="1" errorStyle="stop" errorTitle="Invalid balance value" error="Use an integer between 1 and 4." sqref="D15">
      <formula1>1</formula1>
      <formula2>4</formula2>
    </dataValidation>
    <dataValidation type="decimal" showErrorMessage="1" errorStyle="stop" errorTitle="Invalid balance value" error="Use a number between 0.0001 and 100000." sqref="D150">
      <formula1>0.0001</formula1>
      <formula2>100000</formula2>
    </dataValidation>
    <dataValidation type="whole" showErrorMessage="1" errorStyle="stop" errorTitle="Invalid balance value" error="Use an integer between 1 and 4." sqref="D152">
      <formula1>1</formula1>
      <formula2>4</formula2>
    </dataValidation>
    <dataValidation type="decimal" showErrorMessage="1" errorStyle="stop" errorTitle="Invalid balance value" error="Use a number between 0.0001 and 100000." sqref="D153">
      <formula1>0.0001</formula1>
      <formula2>100000</formula2>
    </dataValidation>
    <dataValidation type="whole" showErrorMessage="1" errorStyle="stop" errorTitle="Invalid balance value" error="Use an integer between 1 and 4." sqref="D155">
      <formula1>1</formula1>
      <formula2>4</formula2>
    </dataValidation>
    <dataValidation type="decimal" showErrorMessage="1" errorStyle="stop" errorTitle="Invalid balance value" error="Use a number between 0.0001 and 100000." sqref="D156">
      <formula1>0.0001</formula1>
      <formula2>100000</formula2>
    </dataValidation>
    <dataValidation type="whole" showErrorMessage="1" errorStyle="stop" errorTitle="Invalid balance value" error="Use an integer between 1 and 4." sqref="D159">
      <formula1>1</formula1>
      <formula2>4</formula2>
    </dataValidation>
    <dataValidation type="decimal" showErrorMessage="1" errorStyle="stop" errorTitle="Invalid balance value" error="Use a number between 0.0001 and 100000." sqref="D16">
      <formula1>0.0001</formula1>
      <formula2>100000</formula2>
    </dataValidation>
    <dataValidation type="decimal" showErrorMessage="1" errorStyle="stop" errorTitle="Invalid balance value" error="Use a number between 0.0001 and 100000." sqref="D160">
      <formula1>0.0001</formula1>
      <formula2>100000</formula2>
    </dataValidation>
    <dataValidation type="whole" showErrorMessage="1" errorStyle="stop" errorTitle="Invalid balance value" error="Use an integer between 1 and 4." sqref="D162">
      <formula1>1</formula1>
      <formula2>4</formula2>
    </dataValidation>
    <dataValidation type="decimal" showErrorMessage="1" errorStyle="stop" errorTitle="Invalid balance value" error="Use a number between 0.0001 and 100000." sqref="D163">
      <formula1>0.0001</formula1>
      <formula2>100000</formula2>
    </dataValidation>
    <dataValidation type="whole" showErrorMessage="1" errorStyle="stop" errorTitle="Invalid balance value" error="Use an integer between 1 and 4." sqref="D165">
      <formula1>1</formula1>
      <formula2>4</formula2>
    </dataValidation>
    <dataValidation type="decimal" showErrorMessage="1" errorStyle="stop" errorTitle="Invalid balance value" error="Use a number between 0.0001 and 100000." sqref="D166">
      <formula1>0.0001</formula1>
      <formula2>100000</formula2>
    </dataValidation>
    <dataValidation type="whole" showErrorMessage="1" errorStyle="stop" errorTitle="Invalid balance value" error="Use an integer between 1 and 4." sqref="D168">
      <formula1>1</formula1>
      <formula2>4</formula2>
    </dataValidation>
    <dataValidation type="decimal" showErrorMessage="1" errorStyle="stop" errorTitle="Invalid balance value" error="Use a number between 0.0001 and 100000." sqref="D169">
      <formula1>0.0001</formula1>
      <formula2>100000</formula2>
    </dataValidation>
    <dataValidation type="whole" showErrorMessage="1" errorStyle="stop" errorTitle="Invalid balance value" error="Use an integer between 1 and 4." sqref="D171">
      <formula1>1</formula1>
      <formula2>4</formula2>
    </dataValidation>
    <dataValidation type="decimal" showErrorMessage="1" errorStyle="stop" errorTitle="Invalid balance value" error="Use a number between 0.0001 and 100000." sqref="D172">
      <formula1>0.0001</formula1>
      <formula2>100000</formula2>
    </dataValidation>
    <dataValidation type="whole" showErrorMessage="1" errorStyle="stop" errorTitle="Invalid balance value" error="Use an integer between 1 and 4." sqref="D174">
      <formula1>1</formula1>
      <formula2>4</formula2>
    </dataValidation>
    <dataValidation type="decimal" showErrorMessage="1" errorStyle="stop" errorTitle="Invalid balance value" error="Use a number between 0.0001 and 100000." sqref="D175">
      <formula1>0.0001</formula1>
      <formula2>100000</formula2>
    </dataValidation>
    <dataValidation type="whole" showErrorMessage="1" errorStyle="stop" errorTitle="Invalid balance value" error="Use an integer between 1 and 4." sqref="D177">
      <formula1>1</formula1>
      <formula2>4</formula2>
    </dataValidation>
    <dataValidation type="decimal" showErrorMessage="1" errorStyle="stop" errorTitle="Invalid balance value" error="Use a number between 0.0001 and 100000." sqref="D178">
      <formula1>0.0001</formula1>
      <formula2>100000</formula2>
    </dataValidation>
    <dataValidation type="whole" showErrorMessage="1" errorStyle="stop" errorTitle="Invalid balance value" error="Use an integer between 1 and 4." sqref="D18">
      <formula1>1</formula1>
      <formula2>4</formula2>
    </dataValidation>
    <dataValidation type="whole" showErrorMessage="1" errorStyle="stop" errorTitle="Invalid balance value" error="Use an integer between 1 and 4." sqref="D180">
      <formula1>1</formula1>
      <formula2>4</formula2>
    </dataValidation>
    <dataValidation type="decimal" showErrorMessage="1" errorStyle="stop" errorTitle="Invalid balance value" error="Use a number between 0.0001 and 100000." sqref="D181">
      <formula1>0.0001</formula1>
      <formula2>100000</formula2>
    </dataValidation>
    <dataValidation type="whole" showErrorMessage="1" errorStyle="stop" errorTitle="Invalid balance value" error="Use an integer between 1 and 4." sqref="D183">
      <formula1>1</formula1>
      <formula2>4</formula2>
    </dataValidation>
    <dataValidation type="decimal" showErrorMessage="1" errorStyle="stop" errorTitle="Invalid balance value" error="Use a number between 0.0001 and 100000." sqref="D184">
      <formula1>0.0001</formula1>
      <formula2>100000</formula2>
    </dataValidation>
    <dataValidation type="whole" showErrorMessage="1" errorStyle="stop" errorTitle="Invalid balance value" error="Use an integer between 1 and 4." sqref="D186">
      <formula1>1</formula1>
      <formula2>4</formula2>
    </dataValidation>
    <dataValidation type="decimal" showErrorMessage="1" errorStyle="stop" errorTitle="Invalid balance value" error="Use a number between 0.0001 and 100000." sqref="D187">
      <formula1>0.0001</formula1>
      <formula2>100000</formula2>
    </dataValidation>
    <dataValidation type="whole" showErrorMessage="1" errorStyle="stop" errorTitle="Invalid balance value" error="Use an integer between 1 and 4." sqref="D189">
      <formula1>1</formula1>
      <formula2>4</formula2>
    </dataValidation>
    <dataValidation type="decimal" showErrorMessage="1" errorStyle="stop" errorTitle="Invalid balance value" error="Use a number between 0.0001 and 100000." sqref="D19">
      <formula1>0.0001</formula1>
      <formula2>100000</formula2>
    </dataValidation>
    <dataValidation type="decimal" showErrorMessage="1" errorStyle="stop" errorTitle="Invalid balance value" error="Use a number between 0.0001 and 100000." sqref="D190">
      <formula1>0.0001</formula1>
      <formula2>100000</formula2>
    </dataValidation>
    <dataValidation type="whole" showErrorMessage="1" errorStyle="stop" errorTitle="Invalid balance value" error="Use an integer between 1 and 4." sqref="D192">
      <formula1>1</formula1>
      <formula2>4</formula2>
    </dataValidation>
    <dataValidation type="decimal" showErrorMessage="1" errorStyle="stop" errorTitle="Invalid balance value" error="Use a number between 0.0001 and 100000." sqref="D193">
      <formula1>0.0001</formula1>
      <formula2>100000</formula2>
    </dataValidation>
    <dataValidation type="whole" showErrorMessage="1" errorStyle="stop" errorTitle="Invalid balance value" error="Use an integer between 1 and 4." sqref="D195">
      <formula1>1</formula1>
      <formula2>4</formula2>
    </dataValidation>
    <dataValidation type="decimal" showErrorMessage="1" errorStyle="stop" errorTitle="Invalid balance value" error="Use a number between 0.0001 and 100000." sqref="D196">
      <formula1>0.0001</formula1>
      <formula2>100000</formula2>
    </dataValidation>
    <dataValidation type="whole" showErrorMessage="1" errorStyle="stop" errorTitle="Invalid balance value" error="Use an integer between 1 and 4." sqref="D198">
      <formula1>1</formula1>
      <formula2>4</formula2>
    </dataValidation>
    <dataValidation type="decimal" showErrorMessage="1" errorStyle="stop" errorTitle="Invalid balance value" error="Use a number between 0.0001 and 100000." sqref="D199">
      <formula1>0.0001</formula1>
      <formula2>100000</formula2>
    </dataValidation>
    <dataValidation type="whole" showErrorMessage="1" errorStyle="stop" errorTitle="Invalid balance value" error="Use an integer between 1 and 4." sqref="D201">
      <formula1>1</formula1>
      <formula2>4</formula2>
    </dataValidation>
    <dataValidation type="decimal" showErrorMessage="1" errorStyle="stop" errorTitle="Invalid balance value" error="Use a number between 0.0001 and 100000." sqref="D202">
      <formula1>0.0001</formula1>
      <formula2>100000</formula2>
    </dataValidation>
    <dataValidation type="whole" showErrorMessage="1" errorStyle="stop" errorTitle="Invalid balance value" error="Use an integer between 1 and 4." sqref="D204">
      <formula1>1</formula1>
      <formula2>4</formula2>
    </dataValidation>
    <dataValidation type="decimal" showErrorMessage="1" errorStyle="stop" errorTitle="Invalid balance value" error="Use a number between 0.0001 and 100000." sqref="D205">
      <formula1>0.0001</formula1>
      <formula2>100000</formula2>
    </dataValidation>
    <dataValidation type="whole" showErrorMessage="1" errorStyle="stop" errorTitle="Invalid balance value" error="Use an integer between 1 and 4." sqref="D207">
      <formula1>1</formula1>
      <formula2>4</formula2>
    </dataValidation>
    <dataValidation type="decimal" showErrorMessage="1" errorStyle="stop" errorTitle="Invalid balance value" error="Use a number between 0.0001 and 100000." sqref="D208">
      <formula1>0.0001</formula1>
      <formula2>100000</formula2>
    </dataValidation>
    <dataValidation type="whole" showErrorMessage="1" errorStyle="stop" errorTitle="Invalid balance value" error="Use an integer between 1 and 4." sqref="D21">
      <formula1>1</formula1>
      <formula2>4</formula2>
    </dataValidation>
    <dataValidation type="whole" showErrorMessage="1" errorStyle="stop" errorTitle="Invalid balance value" error="Use an integer between 1 and 4." sqref="D210">
      <formula1>1</formula1>
      <formula2>4</formula2>
    </dataValidation>
    <dataValidation type="decimal" showErrorMessage="1" errorStyle="stop" errorTitle="Invalid balance value" error="Use a number between 0.0001 and 100000." sqref="D211">
      <formula1>0.0001</formula1>
      <formula2>100000</formula2>
    </dataValidation>
    <dataValidation type="whole" showErrorMessage="1" errorStyle="stop" errorTitle="Invalid balance value" error="Use an integer between 1 and 4." sqref="D213">
      <formula1>1</formula1>
      <formula2>4</formula2>
    </dataValidation>
    <dataValidation type="decimal" showErrorMessage="1" errorStyle="stop" errorTitle="Invalid balance value" error="Use a number between 0.0001 and 100000." sqref="D214">
      <formula1>0.0001</formula1>
      <formula2>100000</formula2>
    </dataValidation>
    <dataValidation type="whole" showErrorMessage="1" errorStyle="stop" errorTitle="Invalid balance value" error="Use an integer between 1 and 4." sqref="D217">
      <formula1>1</formula1>
      <formula2>4</formula2>
    </dataValidation>
    <dataValidation type="decimal" showErrorMessage="1" errorStyle="stop" errorTitle="Invalid balance value" error="Use a number between 0.0001 and 100000." sqref="D218">
      <formula1>0.0001</formula1>
      <formula2>100000</formula2>
    </dataValidation>
    <dataValidation type="decimal" showErrorMessage="1" errorStyle="stop" errorTitle="Invalid balance value" error="Use a number between 0.0001 and 100000." sqref="D22">
      <formula1>0.0001</formula1>
      <formula2>100000</formula2>
    </dataValidation>
    <dataValidation type="whole" showErrorMessage="1" errorStyle="stop" errorTitle="Invalid balance value" error="Use an integer between 1 and 4." sqref="D220">
      <formula1>1</formula1>
      <formula2>4</formula2>
    </dataValidation>
    <dataValidation type="decimal" showErrorMessage="1" errorStyle="stop" errorTitle="Invalid balance value" error="Use a number between 0.0001 and 100000." sqref="D221">
      <formula1>0.0001</formula1>
      <formula2>100000</formula2>
    </dataValidation>
    <dataValidation type="whole" showErrorMessage="1" errorStyle="stop" errorTitle="Invalid balance value" error="Use an integer between 1 and 4." sqref="D223">
      <formula1>1</formula1>
      <formula2>4</formula2>
    </dataValidation>
    <dataValidation type="decimal" showErrorMessage="1" errorStyle="stop" errorTitle="Invalid balance value" error="Use a number between 0.0001 and 100000." sqref="D224">
      <formula1>0.0001</formula1>
      <formula2>100000</formula2>
    </dataValidation>
    <dataValidation type="whole" showErrorMessage="1" errorStyle="stop" errorTitle="Invalid balance value" error="Use an integer between 1 and 4." sqref="D226">
      <formula1>1</formula1>
      <formula2>4</formula2>
    </dataValidation>
    <dataValidation type="decimal" showErrorMessage="1" errorStyle="stop" errorTitle="Invalid balance value" error="Use a number between 0.0001 and 100000." sqref="D227">
      <formula1>0.0001</formula1>
      <formula2>100000</formula2>
    </dataValidation>
    <dataValidation type="whole" showErrorMessage="1" errorStyle="stop" errorTitle="Invalid balance value" error="Use an integer between 1 and 4." sqref="D229">
      <formula1>1</formula1>
      <formula2>4</formula2>
    </dataValidation>
    <dataValidation type="decimal" showErrorMessage="1" errorStyle="stop" errorTitle="Invalid balance value" error="Use a number between 0.0001 and 100000." sqref="D230">
      <formula1>0.0001</formula1>
      <formula2>100000</formula2>
    </dataValidation>
    <dataValidation type="whole" showErrorMessage="1" errorStyle="stop" errorTitle="Invalid balance value" error="Use an integer between 1 and 4." sqref="D232">
      <formula1>1</formula1>
      <formula2>4</formula2>
    </dataValidation>
    <dataValidation type="decimal" showErrorMessage="1" errorStyle="stop" errorTitle="Invalid balance value" error="Use a number between 0.0001 and 100000." sqref="D233">
      <formula1>0.0001</formula1>
      <formula2>100000</formula2>
    </dataValidation>
    <dataValidation type="whole" showErrorMessage="1" errorStyle="stop" errorTitle="Invalid balance value" error="Use an integer between 1 and 4." sqref="D235">
      <formula1>1</formula1>
      <formula2>4</formula2>
    </dataValidation>
    <dataValidation type="decimal" showErrorMessage="1" errorStyle="stop" errorTitle="Invalid balance value" error="Use a number between 0.0001 and 100000." sqref="D236">
      <formula1>0.0001</formula1>
      <formula2>100000</formula2>
    </dataValidation>
    <dataValidation type="whole" showErrorMessage="1" errorStyle="stop" errorTitle="Invalid balance value" error="Use an integer between 1 and 4." sqref="D238">
      <formula1>1</formula1>
      <formula2>4</formula2>
    </dataValidation>
    <dataValidation type="decimal" showErrorMessage="1" errorStyle="stop" errorTitle="Invalid balance value" error="Use a number between 0.0001 and 100000." sqref="D239">
      <formula1>0.0001</formula1>
      <formula2>100000</formula2>
    </dataValidation>
    <dataValidation type="whole" showErrorMessage="1" errorStyle="stop" errorTitle="Invalid balance value" error="Use an integer between 1 and 4." sqref="D24">
      <formula1>1</formula1>
      <formula2>4</formula2>
    </dataValidation>
    <dataValidation type="whole" showErrorMessage="1" errorStyle="stop" errorTitle="Invalid balance value" error="Use an integer between 1 and 4." sqref="D241">
      <formula1>1</formula1>
      <formula2>4</formula2>
    </dataValidation>
    <dataValidation type="decimal" showErrorMessage="1" errorStyle="stop" errorTitle="Invalid balance value" error="Use a number between 0.0001 and 100000." sqref="D242">
      <formula1>0.0001</formula1>
      <formula2>100000</formula2>
    </dataValidation>
    <dataValidation type="whole" showErrorMessage="1" errorStyle="stop" errorTitle="Invalid balance value" error="Use an integer between 1 and 4." sqref="D245">
      <formula1>1</formula1>
      <formula2>4</formula2>
    </dataValidation>
    <dataValidation type="decimal" showErrorMessage="1" errorStyle="stop" errorTitle="Invalid balance value" error="Use a number between 0.0001 and 100000." sqref="D246">
      <formula1>0.0001</formula1>
      <formula2>100000</formula2>
    </dataValidation>
    <dataValidation type="whole" showErrorMessage="1" errorStyle="stop" errorTitle="Invalid balance value" error="Use an integer between 1 and 4." sqref="D248">
      <formula1>1</formula1>
      <formula2>4</formula2>
    </dataValidation>
    <dataValidation type="decimal" showErrorMessage="1" errorStyle="stop" errorTitle="Invalid balance value" error="Use a number between 0.0001 and 100000." sqref="D249">
      <formula1>0.0001</formula1>
      <formula2>100000</formula2>
    </dataValidation>
    <dataValidation type="decimal" showErrorMessage="1" errorStyle="stop" errorTitle="Invalid balance value" error="Use a number between 0.0001 and 100000." sqref="D25">
      <formula1>0.0001</formula1>
      <formula2>100000</formula2>
    </dataValidation>
    <dataValidation type="whole" showErrorMessage="1" errorStyle="stop" errorTitle="Invalid balance value" error="Use an integer between 1 and 4." sqref="D251">
      <formula1>1</formula1>
      <formula2>4</formula2>
    </dataValidation>
    <dataValidation type="decimal" showErrorMessage="1" errorStyle="stop" errorTitle="Invalid balance value" error="Use a number between 0.0001 and 100000." sqref="D252">
      <formula1>0.0001</formula1>
      <formula2>100000</formula2>
    </dataValidation>
    <dataValidation type="whole" showErrorMessage="1" errorStyle="stop" errorTitle="Invalid balance value" error="Use an integer between 1 and 4." sqref="D254">
      <formula1>1</formula1>
      <formula2>4</formula2>
    </dataValidation>
    <dataValidation type="decimal" showErrorMessage="1" errorStyle="stop" errorTitle="Invalid balance value" error="Use a number between 0.0001 and 100000." sqref="D255">
      <formula1>0.0001</formula1>
      <formula2>100000</formula2>
    </dataValidation>
    <dataValidation type="whole" showErrorMessage="1" errorStyle="stop" errorTitle="Invalid balance value" error="Use an integer between 1 and 4." sqref="D257">
      <formula1>1</formula1>
      <formula2>4</formula2>
    </dataValidation>
    <dataValidation type="decimal" showErrorMessage="1" errorStyle="stop" errorTitle="Invalid balance value" error="Use a number between 0.0001 and 100000." sqref="D258">
      <formula1>0.0001</formula1>
      <formula2>100000</formula2>
    </dataValidation>
    <dataValidation type="whole" showErrorMessage="1" errorStyle="stop" errorTitle="Invalid balance value" error="Use an integer between 1 and 4." sqref="D260">
      <formula1>1</formula1>
      <formula2>4</formula2>
    </dataValidation>
    <dataValidation type="decimal" showErrorMessage="1" errorStyle="stop" errorTitle="Invalid balance value" error="Use a number between 0.0001 and 100000." sqref="D261">
      <formula1>0.0001</formula1>
      <formula2>100000</formula2>
    </dataValidation>
    <dataValidation type="whole" showErrorMessage="1" errorStyle="stop" errorTitle="Invalid balance value" error="Use an integer between 1 and 4." sqref="D264">
      <formula1>1</formula1>
      <formula2>4</formula2>
    </dataValidation>
    <dataValidation type="decimal" showErrorMessage="1" errorStyle="stop" errorTitle="Invalid balance value" error="Use a number between 0.0001 and 100000." sqref="D265">
      <formula1>0.0001</formula1>
      <formula2>100000</formula2>
    </dataValidation>
    <dataValidation type="whole" showErrorMessage="1" errorStyle="stop" errorTitle="Invalid balance value" error="Use an integer between 1 and 4." sqref="D267">
      <formula1>1</formula1>
      <formula2>4</formula2>
    </dataValidation>
    <dataValidation type="decimal" showErrorMessage="1" errorStyle="stop" errorTitle="Invalid balance value" error="Use a number between 0.0001 and 100000." sqref="D268">
      <formula1>0.0001</formula1>
      <formula2>100000</formula2>
    </dataValidation>
    <dataValidation type="whole" showErrorMessage="1" errorStyle="stop" errorTitle="Invalid balance value" error="Use an integer between 1 and 4." sqref="D27">
      <formula1>1</formula1>
      <formula2>4</formula2>
    </dataValidation>
    <dataValidation type="whole" showErrorMessage="1" errorStyle="stop" errorTitle="Invalid balance value" error="Use an integer between 1 and 4." sqref="D270">
      <formula1>1</formula1>
      <formula2>4</formula2>
    </dataValidation>
    <dataValidation type="decimal" showErrorMessage="1" errorStyle="stop" errorTitle="Invalid balance value" error="Use a number between 0.0001 and 100000." sqref="D271">
      <formula1>0.0001</formula1>
      <formula2>100000</formula2>
    </dataValidation>
    <dataValidation type="whole" showErrorMessage="1" errorStyle="stop" errorTitle="Invalid balance value" error="Use an integer between 1 and 4." sqref="D273">
      <formula1>1</formula1>
      <formula2>4</formula2>
    </dataValidation>
    <dataValidation type="decimal" showErrorMessage="1" errorStyle="stop" errorTitle="Invalid balance value" error="Use a number between 0.0001 and 100000." sqref="D274">
      <formula1>0.0001</formula1>
      <formula2>100000</formula2>
    </dataValidation>
    <dataValidation type="whole" showErrorMessage="1" errorStyle="stop" errorTitle="Invalid balance value" error="Use an integer between 1 and 4." sqref="D276">
      <formula1>1</formula1>
      <formula2>4</formula2>
    </dataValidation>
    <dataValidation type="decimal" showErrorMessage="1" errorStyle="stop" errorTitle="Invalid balance value" error="Use a number between 0.0001 and 100000." sqref="D277">
      <formula1>0.0001</formula1>
      <formula2>100000</formula2>
    </dataValidation>
    <dataValidation type="decimal" showErrorMessage="1" errorStyle="stop" errorTitle="Invalid balance value" error="Use a number between 0.0001 and 100000." sqref="D28">
      <formula1>0.0001</formula1>
      <formula2>100000</formula2>
    </dataValidation>
    <dataValidation type="whole" showErrorMessage="1" errorStyle="stop" errorTitle="Invalid balance value" error="Use an integer between 1 and 4." sqref="D280">
      <formula1>1</formula1>
      <formula2>4</formula2>
    </dataValidation>
    <dataValidation type="decimal" showErrorMessage="1" errorStyle="stop" errorTitle="Invalid balance value" error="Use a number between 0.0001 and 100000." sqref="D281">
      <formula1>0.0001</formula1>
      <formula2>100000</formula2>
    </dataValidation>
    <dataValidation type="whole" showErrorMessage="1" errorStyle="stop" errorTitle="Invalid balance value" error="Use an integer between 1 and 4." sqref="D283">
      <formula1>1</formula1>
      <formula2>4</formula2>
    </dataValidation>
    <dataValidation type="decimal" showErrorMessage="1" errorStyle="stop" errorTitle="Invalid balance value" error="Use a number between 0.0001 and 100000." sqref="D284">
      <formula1>0.0001</formula1>
      <formula2>100000</formula2>
    </dataValidation>
    <dataValidation type="whole" showErrorMessage="1" errorStyle="stop" errorTitle="Invalid balance value" error="Use an integer between 1 and 4." sqref="D286">
      <formula1>1</formula1>
      <formula2>4</formula2>
    </dataValidation>
    <dataValidation type="decimal" showErrorMessage="1" errorStyle="stop" errorTitle="Invalid balance value" error="Use a number between 0.0001 and 100000." sqref="D287">
      <formula1>0.0001</formula1>
      <formula2>100000</formula2>
    </dataValidation>
    <dataValidation type="whole" showErrorMessage="1" errorStyle="stop" errorTitle="Invalid balance value" error="Use an integer between 1 and 4." sqref="D289">
      <formula1>1</formula1>
      <formula2>4</formula2>
    </dataValidation>
    <dataValidation type="decimal" showErrorMessage="1" errorStyle="stop" errorTitle="Invalid balance value" error="Use a number between 0.0001 and 100000." sqref="D290">
      <formula1>0.0001</formula1>
      <formula2>100000</formula2>
    </dataValidation>
    <dataValidation type="whole" showErrorMessage="1" errorStyle="stop" errorTitle="Invalid balance value" error="Use an integer between 1 and 4." sqref="D292">
      <formula1>1</formula1>
      <formula2>4</formula2>
    </dataValidation>
    <dataValidation type="decimal" showErrorMessage="1" errorStyle="stop" errorTitle="Invalid balance value" error="Use a number between 0.0001 and 100000." sqref="D293">
      <formula1>0.0001</formula1>
      <formula2>100000</formula2>
    </dataValidation>
    <dataValidation type="whole" showErrorMessage="1" errorStyle="stop" errorTitle="Invalid balance value" error="Use an integer between 1 and 4." sqref="D295">
      <formula1>1</formula1>
      <formula2>4</formula2>
    </dataValidation>
    <dataValidation type="decimal" showErrorMessage="1" errorStyle="stop" errorTitle="Invalid balance value" error="Use a number between 0.0001 and 100000." sqref="D296">
      <formula1>0.0001</formula1>
      <formula2>100000</formula2>
    </dataValidation>
    <dataValidation type="whole" showErrorMessage="1" errorStyle="stop" errorTitle="Invalid balance value" error="Use an integer between 1 and 4." sqref="D299">
      <formula1>1</formula1>
      <formula2>4</formula2>
    </dataValidation>
    <dataValidation type="whole" showErrorMessage="1" errorStyle="stop" errorTitle="Invalid balance value" error="Use an integer between 1 and 4." sqref="D3">
      <formula1>1</formula1>
      <formula2>4</formula2>
    </dataValidation>
    <dataValidation type="whole" showErrorMessage="1" errorStyle="stop" errorTitle="Invalid balance value" error="Use an integer between 1 and 4." sqref="D30">
      <formula1>1</formula1>
      <formula2>4</formula2>
    </dataValidation>
    <dataValidation type="decimal" showErrorMessage="1" errorStyle="stop" errorTitle="Invalid balance value" error="Use a number between 0.0001 and 100000." sqref="D300">
      <formula1>0.0001</formula1>
      <formula2>100000</formula2>
    </dataValidation>
    <dataValidation type="whole" showErrorMessage="1" errorStyle="stop" errorTitle="Invalid balance value" error="Use an integer between 1 and 4." sqref="D302">
      <formula1>1</formula1>
      <formula2>4</formula2>
    </dataValidation>
    <dataValidation type="decimal" showErrorMessage="1" errorStyle="stop" errorTitle="Invalid balance value" error="Use a number between 0.0001 and 100000." sqref="D303">
      <formula1>0.0001</formula1>
      <formula2>100000</formula2>
    </dataValidation>
    <dataValidation type="whole" showErrorMessage="1" errorStyle="stop" errorTitle="Invalid balance value" error="Use an integer between 1 and 4." sqref="D305">
      <formula1>1</formula1>
      <formula2>4</formula2>
    </dataValidation>
    <dataValidation type="decimal" showErrorMessage="1" errorStyle="stop" errorTitle="Invalid balance value" error="Use a number between 0.0001 and 100000." sqref="D306">
      <formula1>0.0001</formula1>
      <formula2>100000</formula2>
    </dataValidation>
    <dataValidation type="whole" showErrorMessage="1" errorStyle="stop" errorTitle="Invalid balance value" error="Use an integer between 1 and 4." sqref="D308">
      <formula1>1</formula1>
      <formula2>4</formula2>
    </dataValidation>
    <dataValidation type="decimal" showErrorMessage="1" errorStyle="stop" errorTitle="Invalid balance value" error="Use a number between 0.0001 and 100000." sqref="D309">
      <formula1>0.0001</formula1>
      <formula2>100000</formula2>
    </dataValidation>
    <dataValidation type="decimal" showErrorMessage="1" errorStyle="stop" errorTitle="Invalid balance value" error="Use a number between 0.0001 and 100000." sqref="D31">
      <formula1>0.0001</formula1>
      <formula2>100000</formula2>
    </dataValidation>
    <dataValidation type="whole" showErrorMessage="1" errorStyle="stop" errorTitle="Invalid balance value" error="Use an integer between 1 and 4." sqref="D312">
      <formula1>1</formula1>
      <formula2>4</formula2>
    </dataValidation>
    <dataValidation type="decimal" showErrorMessage="1" errorStyle="stop" errorTitle="Invalid balance value" error="Use a number between 0.0001 and 100000." sqref="D313">
      <formula1>0.0001</formula1>
      <formula2>100000</formula2>
    </dataValidation>
    <dataValidation type="whole" showErrorMessage="1" errorStyle="stop" errorTitle="Invalid balance value" error="Use an integer between 1 and 4." sqref="D315">
      <formula1>1</formula1>
      <formula2>4</formula2>
    </dataValidation>
    <dataValidation type="decimal" showErrorMessage="1" errorStyle="stop" errorTitle="Invalid balance value" error="Use a number between 0.0001 and 100000." sqref="D316">
      <formula1>0.0001</formula1>
      <formula2>100000</formula2>
    </dataValidation>
    <dataValidation type="whole" showErrorMessage="1" errorStyle="stop" errorTitle="Invalid balance value" error="Use an integer between 1 and 4." sqref="D318">
      <formula1>1</formula1>
      <formula2>4</formula2>
    </dataValidation>
    <dataValidation type="decimal" showErrorMessage="1" errorStyle="stop" errorTitle="Invalid balance value" error="Use a number between 0.0001 and 100000." sqref="D319">
      <formula1>0.0001</formula1>
      <formula2>100000</formula2>
    </dataValidation>
    <dataValidation type="whole" showErrorMessage="1" errorStyle="stop" errorTitle="Invalid balance value" error="Use an integer between 1 and 4." sqref="D322">
      <formula1>1</formula1>
      <formula2>4</formula2>
    </dataValidation>
    <dataValidation type="decimal" showErrorMessage="1" errorStyle="stop" errorTitle="Invalid balance value" error="Use a number between 0.0001 and 100000." sqref="D323">
      <formula1>0.0001</formula1>
      <formula2>100000</formula2>
    </dataValidation>
    <dataValidation type="whole" showErrorMessage="1" errorStyle="stop" errorTitle="Invalid balance value" error="Use an integer between 1 and 4." sqref="D325">
      <formula1>1</formula1>
      <formula2>4</formula2>
    </dataValidation>
    <dataValidation type="decimal" showErrorMessage="1" errorStyle="stop" errorTitle="Invalid balance value" error="Use a number between 0.0001 and 100000." sqref="D326">
      <formula1>0.0001</formula1>
      <formula2>100000</formula2>
    </dataValidation>
    <dataValidation type="whole" showErrorMessage="1" errorStyle="stop" errorTitle="Invalid balance value" error="Use an integer between 1 and 4." sqref="D328">
      <formula1>1</formula1>
      <formula2>4</formula2>
    </dataValidation>
    <dataValidation type="decimal" showErrorMessage="1" errorStyle="stop" errorTitle="Invalid balance value" error="Use a number between 0.0001 and 100000." sqref="D329">
      <formula1>0.0001</formula1>
      <formula2>100000</formula2>
    </dataValidation>
    <dataValidation type="whole" showErrorMessage="1" errorStyle="stop" errorTitle="Invalid balance value" error="Use an integer between 1 and 4." sqref="D33">
      <formula1>1</formula1>
      <formula2>4</formula2>
    </dataValidation>
    <dataValidation type="whole" showErrorMessage="1" errorStyle="stop" errorTitle="Invalid balance value" error="Use an integer between 1 and 4." sqref="D331">
      <formula1>1</formula1>
      <formula2>4</formula2>
    </dataValidation>
    <dataValidation type="decimal" showErrorMessage="1" errorStyle="stop" errorTitle="Invalid balance value" error="Use a number between 0.0001 and 100000." sqref="D332">
      <formula1>0.0001</formula1>
      <formula2>100000</formula2>
    </dataValidation>
    <dataValidation type="whole" showErrorMessage="1" errorStyle="stop" errorTitle="Invalid balance value" error="Use an integer between 1 and 4." sqref="D334">
      <formula1>1</formula1>
      <formula2>4</formula2>
    </dataValidation>
    <dataValidation type="decimal" showErrorMessage="1" errorStyle="stop" errorTitle="Invalid balance value" error="Use a number between 0.0001 and 100000." sqref="D335">
      <formula1>0.0001</formula1>
      <formula2>100000</formula2>
    </dataValidation>
    <dataValidation type="whole" showErrorMessage="1" errorStyle="stop" errorTitle="Invalid balance value" error="Use an integer between 1 and 4." sqref="D337">
      <formula1>1</formula1>
      <formula2>4</formula2>
    </dataValidation>
    <dataValidation type="decimal" showErrorMessage="1" errorStyle="stop" errorTitle="Invalid balance value" error="Use a number between 0.0001 and 100000." sqref="D338">
      <formula1>0.0001</formula1>
      <formula2>100000</formula2>
    </dataValidation>
    <dataValidation type="decimal" showErrorMessage="1" errorStyle="stop" errorTitle="Invalid balance value" error="Use a number between 0.0001 and 100000." sqref="D34">
      <formula1>0.0001</formula1>
      <formula2>100000</formula2>
    </dataValidation>
    <dataValidation type="whole" showErrorMessage="1" errorStyle="stop" errorTitle="Invalid balance value" error="Use an integer between 1 and 4." sqref="D340">
      <formula1>1</formula1>
      <formula2>4</formula2>
    </dataValidation>
    <dataValidation type="decimal" showErrorMessage="1" errorStyle="stop" errorTitle="Invalid balance value" error="Use a number between 0.0001 and 100000." sqref="D341">
      <formula1>0.0001</formula1>
      <formula2>100000</formula2>
    </dataValidation>
    <dataValidation type="whole" showErrorMessage="1" errorStyle="stop" errorTitle="Invalid balance value" error="Use an integer between 1 and 4." sqref="D343">
      <formula1>1</formula1>
      <formula2>4</formula2>
    </dataValidation>
    <dataValidation type="decimal" showErrorMessage="1" errorStyle="stop" errorTitle="Invalid balance value" error="Use a number between 0.0001 and 100000." sqref="D344">
      <formula1>0.0001</formula1>
      <formula2>100000</formula2>
    </dataValidation>
    <dataValidation type="whole" showErrorMessage="1" errorStyle="stop" errorTitle="Invalid balance value" error="Use an integer between 1 and 4." sqref="D346">
      <formula1>1</formula1>
      <formula2>4</formula2>
    </dataValidation>
    <dataValidation type="decimal" showErrorMessage="1" errorStyle="stop" errorTitle="Invalid balance value" error="Use a number between 0.0001 and 100000." sqref="D347">
      <formula1>0.0001</formula1>
      <formula2>100000</formula2>
    </dataValidation>
    <dataValidation type="whole" showErrorMessage="1" errorStyle="stop" errorTitle="Invalid balance value" error="Use an integer between 1 and 4." sqref="D349">
      <formula1>1</formula1>
      <formula2>4</formula2>
    </dataValidation>
    <dataValidation type="decimal" showErrorMessage="1" errorStyle="stop" errorTitle="Invalid balance value" error="Use a number between 0.0001 and 100000." sqref="D350">
      <formula1>0.0001</formula1>
      <formula2>100000</formula2>
    </dataValidation>
    <dataValidation type="whole" showErrorMessage="1" errorStyle="stop" errorTitle="Invalid balance value" error="Use an integer between 1 and 4." sqref="D352">
      <formula1>1</formula1>
      <formula2>4</formula2>
    </dataValidation>
    <dataValidation type="decimal" showErrorMessage="1" errorStyle="stop" errorTitle="Invalid balance value" error="Use a number between 0.0001 and 100000." sqref="D353">
      <formula1>0.0001</formula1>
      <formula2>100000</formula2>
    </dataValidation>
    <dataValidation type="whole" showErrorMessage="1" errorStyle="stop" errorTitle="Invalid balance value" error="Use an integer between 1 and 4." sqref="D355">
      <formula1>1</formula1>
      <formula2>4</formula2>
    </dataValidation>
    <dataValidation type="decimal" showErrorMessage="1" errorStyle="stop" errorTitle="Invalid balance value" error="Use a number between 0.0001 and 100000." sqref="D356">
      <formula1>0.0001</formula1>
      <formula2>100000</formula2>
    </dataValidation>
    <dataValidation type="whole" showErrorMessage="1" errorStyle="stop" errorTitle="Invalid balance value" error="Use an integer between 1 and 4." sqref="D358">
      <formula1>1</formula1>
      <formula2>4</formula2>
    </dataValidation>
    <dataValidation type="decimal" showErrorMessage="1" errorStyle="stop" errorTitle="Invalid balance value" error="Use a number between 0.0001 and 100000." sqref="D359">
      <formula1>0.0001</formula1>
      <formula2>100000</formula2>
    </dataValidation>
    <dataValidation type="whole" showErrorMessage="1" errorStyle="stop" errorTitle="Invalid balance value" error="Use an integer between 1 and 4." sqref="D36">
      <formula1>1</formula1>
      <formula2>4</formula2>
    </dataValidation>
    <dataValidation type="whole" showErrorMessage="1" errorStyle="stop" errorTitle="Invalid balance value" error="Use an integer between 1 and 4." sqref="D361">
      <formula1>1</formula1>
      <formula2>4</formula2>
    </dataValidation>
    <dataValidation type="decimal" showErrorMessage="1" errorStyle="stop" errorTitle="Invalid balance value" error="Use a number between 0.0001 and 100000." sqref="D362">
      <formula1>0.0001</formula1>
      <formula2>100000</formula2>
    </dataValidation>
    <dataValidation type="whole" showErrorMessage="1" errorStyle="stop" errorTitle="Invalid balance value" error="Use an integer between 1 and 4." sqref="D364">
      <formula1>1</formula1>
      <formula2>4</formula2>
    </dataValidation>
    <dataValidation type="decimal" showErrorMessage="1" errorStyle="stop" errorTitle="Invalid balance value" error="Use a number between 0.0001 and 100000." sqref="D365">
      <formula1>0.0001</formula1>
      <formula2>100000</formula2>
    </dataValidation>
    <dataValidation type="whole" showErrorMessage="1" errorStyle="stop" errorTitle="Invalid balance value" error="Use an integer between 1 and 4." sqref="D367">
      <formula1>1</formula1>
      <formula2>4</formula2>
    </dataValidation>
    <dataValidation type="decimal" showErrorMessage="1" errorStyle="stop" errorTitle="Invalid balance value" error="Use a number between 0.0001 and 100000." sqref="D368">
      <formula1>0.0001</formula1>
      <formula2>100000</formula2>
    </dataValidation>
    <dataValidation type="decimal" showErrorMessage="1" errorStyle="stop" errorTitle="Invalid balance value" error="Use a number between 0.0001 and 100000." sqref="D37">
      <formula1>0.0001</formula1>
      <formula2>100000</formula2>
    </dataValidation>
    <dataValidation type="whole" showErrorMessage="1" errorStyle="stop" errorTitle="Invalid balance value" error="Use an integer between 1 and 4." sqref="D370">
      <formula1>1</formula1>
      <formula2>4</formula2>
    </dataValidation>
    <dataValidation type="decimal" showErrorMessage="1" errorStyle="stop" errorTitle="Invalid balance value" error="Use a number between 0.0001 and 100000." sqref="D371">
      <formula1>0.0001</formula1>
      <formula2>100000</formula2>
    </dataValidation>
    <dataValidation type="whole" showErrorMessage="1" errorStyle="stop" errorTitle="Invalid balance value" error="Use an integer between 1 and 4." sqref="D373">
      <formula1>1</formula1>
      <formula2>4</formula2>
    </dataValidation>
    <dataValidation type="decimal" showErrorMessage="1" errorStyle="stop" errorTitle="Invalid balance value" error="Use a number between 0.0001 and 100000." sqref="D374">
      <formula1>0.0001</formula1>
      <formula2>100000</formula2>
    </dataValidation>
    <dataValidation type="whole" showErrorMessage="1" errorStyle="stop" errorTitle="Invalid balance value" error="Use an integer between 1 and 4." sqref="D377">
      <formula1>1</formula1>
      <formula2>4</formula2>
    </dataValidation>
    <dataValidation type="decimal" showErrorMessage="1" errorStyle="stop" errorTitle="Invalid balance value" error="Use a number between 0.0001 and 100000." sqref="D378">
      <formula1>0.0001</formula1>
      <formula2>100000</formula2>
    </dataValidation>
    <dataValidation type="whole" showErrorMessage="1" errorStyle="stop" errorTitle="Invalid balance value" error="Use an integer between 1 and 4." sqref="D380">
      <formula1>1</formula1>
      <formula2>4</formula2>
    </dataValidation>
    <dataValidation type="decimal" showErrorMessage="1" errorStyle="stop" errorTitle="Invalid balance value" error="Use a number between 0.0001 and 100000." sqref="D381">
      <formula1>0.0001</formula1>
      <formula2>100000</formula2>
    </dataValidation>
    <dataValidation type="whole" showErrorMessage="1" errorStyle="stop" errorTitle="Invalid balance value" error="Use an integer between 1 and 4." sqref="D383">
      <formula1>1</formula1>
      <formula2>4</formula2>
    </dataValidation>
    <dataValidation type="decimal" showErrorMessage="1" errorStyle="stop" errorTitle="Invalid balance value" error="Use a number between 0.0001 and 100000." sqref="D384">
      <formula1>0.0001</formula1>
      <formula2>100000</formula2>
    </dataValidation>
    <dataValidation type="whole" showErrorMessage="1" errorStyle="stop" errorTitle="Invalid balance value" error="Use an integer between 1 and 4." sqref="D386">
      <formula1>1</formula1>
      <formula2>4</formula2>
    </dataValidation>
    <dataValidation type="decimal" showErrorMessage="1" errorStyle="stop" errorTitle="Invalid balance value" error="Use a number between 0.0001 and 100000." sqref="D387">
      <formula1>0.0001</formula1>
      <formula2>100000</formula2>
    </dataValidation>
    <dataValidation type="whole" showErrorMessage="1" errorStyle="stop" errorTitle="Invalid balance value" error="Use an integer between 1 and 4." sqref="D389">
      <formula1>1</formula1>
      <formula2>4</formula2>
    </dataValidation>
    <dataValidation type="whole" showErrorMessage="1" errorStyle="stop" errorTitle="Invalid balance value" error="Use an integer between 1 and 4." sqref="D39">
      <formula1>1</formula1>
      <formula2>4</formula2>
    </dataValidation>
    <dataValidation type="decimal" showErrorMessage="1" errorStyle="stop" errorTitle="Invalid balance value" error="Use a number between 0.0001 and 100000." sqref="D390">
      <formula1>0.0001</formula1>
      <formula2>100000</formula2>
    </dataValidation>
    <dataValidation type="whole" showErrorMessage="1" errorStyle="stop" errorTitle="Invalid balance value" error="Use an integer between 1 and 4." sqref="D392">
      <formula1>1</formula1>
      <formula2>4</formula2>
    </dataValidation>
    <dataValidation type="decimal" showErrorMessage="1" errorStyle="stop" errorTitle="Invalid balance value" error="Use a number between 0.0001 and 100000." sqref="D393">
      <formula1>0.0001</formula1>
      <formula2>100000</formula2>
    </dataValidation>
    <dataValidation type="whole" showErrorMessage="1" errorStyle="stop" errorTitle="Invalid balance value" error="Use an integer between 1 and 4." sqref="D395">
      <formula1>1</formula1>
      <formula2>4</formula2>
    </dataValidation>
    <dataValidation type="decimal" showErrorMessage="1" errorStyle="stop" errorTitle="Invalid balance value" error="Use a number between 0.0001 and 100000." sqref="D396">
      <formula1>0.0001</formula1>
      <formula2>100000</formula2>
    </dataValidation>
    <dataValidation type="whole" showErrorMessage="1" errorStyle="stop" errorTitle="Invalid balance value" error="Use an integer between 1 and 4." sqref="D398">
      <formula1>1</formula1>
      <formula2>4</formula2>
    </dataValidation>
    <dataValidation type="decimal" showErrorMessage="1" errorStyle="stop" errorTitle="Invalid balance value" error="Use a number between 0.0001 and 100000." sqref="D399">
      <formula1>0.0001</formula1>
      <formula2>100000</formula2>
    </dataValidation>
    <dataValidation type="decimal" showErrorMessage="1" errorStyle="stop" errorTitle="Invalid balance value" error="Use a number between 0.0001 and 100000." sqref="D4">
      <formula1>0.0001</formula1>
      <formula2>100000</formula2>
    </dataValidation>
    <dataValidation type="decimal" showErrorMessage="1" errorStyle="stop" errorTitle="Invalid balance value" error="Use a number between 0.0001 and 100000." sqref="D40">
      <formula1>0.0001</formula1>
      <formula2>100000</formula2>
    </dataValidation>
    <dataValidation type="whole" showErrorMessage="1" errorStyle="stop" errorTitle="Invalid balance value" error="Use an integer between 1 and 4." sqref="D401">
      <formula1>1</formula1>
      <formula2>4</formula2>
    </dataValidation>
    <dataValidation type="decimal" showErrorMessage="1" errorStyle="stop" errorTitle="Invalid balance value" error="Use a number between 0.0001 and 100000." sqref="D402">
      <formula1>0.0001</formula1>
      <formula2>100000</formula2>
    </dataValidation>
    <dataValidation type="whole" showErrorMessage="1" errorStyle="stop" errorTitle="Invalid balance value" error="Use an integer between 1 and 4." sqref="D404">
      <formula1>1</formula1>
      <formula2>4</formula2>
    </dataValidation>
    <dataValidation type="decimal" showErrorMessage="1" errorStyle="stop" errorTitle="Invalid balance value" error="Use a number between 0.0001 and 100000." sqref="D405">
      <formula1>0.0001</formula1>
      <formula2>100000</formula2>
    </dataValidation>
    <dataValidation type="whole" showErrorMessage="1" errorStyle="stop" errorTitle="Invalid balance value" error="Use an integer between 1 and 4." sqref="D407">
      <formula1>1</formula1>
      <formula2>4</formula2>
    </dataValidation>
    <dataValidation type="decimal" showErrorMessage="1" errorStyle="stop" errorTitle="Invalid balance value" error="Use a number between 0.0001 and 100000." sqref="D408">
      <formula1>0.0001</formula1>
      <formula2>100000</formula2>
    </dataValidation>
    <dataValidation type="whole" showErrorMessage="1" errorStyle="stop" errorTitle="Invalid balance value" error="Use an integer between 1 and 4." sqref="D410">
      <formula1>1</formula1>
      <formula2>4</formula2>
    </dataValidation>
    <dataValidation type="decimal" showErrorMessage="1" errorStyle="stop" errorTitle="Invalid balance value" error="Use a number between 0.0001 and 100000." sqref="D411">
      <formula1>0.0001</formula1>
      <formula2>100000</formula2>
    </dataValidation>
    <dataValidation type="whole" showErrorMessage="1" errorStyle="stop" errorTitle="Invalid balance value" error="Use an integer between 1 and 4." sqref="D413">
      <formula1>1</formula1>
      <formula2>4</formula2>
    </dataValidation>
    <dataValidation type="decimal" showErrorMessage="1" errorStyle="stop" errorTitle="Invalid balance value" error="Use a number between 0.0001 and 100000." sqref="D414">
      <formula1>0.0001</formula1>
      <formula2>100000</formula2>
    </dataValidation>
    <dataValidation type="whole" showErrorMessage="1" errorStyle="stop" errorTitle="Invalid balance value" error="Use an integer between 1 and 4." sqref="D416">
      <formula1>1</formula1>
      <formula2>4</formula2>
    </dataValidation>
    <dataValidation type="decimal" showErrorMessage="1" errorStyle="stop" errorTitle="Invalid balance value" error="Use a number between 0.0001 and 100000." sqref="D417">
      <formula1>0.0001</formula1>
      <formula2>100000</formula2>
    </dataValidation>
    <dataValidation type="whole" showErrorMessage="1" errorStyle="stop" errorTitle="Invalid balance value" error="Use an integer between 1 and 4." sqref="D419">
      <formula1>1</formula1>
      <formula2>4</formula2>
    </dataValidation>
    <dataValidation type="decimal" showErrorMessage="1" errorStyle="stop" errorTitle="Invalid balance value" error="Use a number between 0.0001 and 100000." sqref="D420">
      <formula1>0.0001</formula1>
      <formula2>100000</formula2>
    </dataValidation>
    <dataValidation type="whole" showErrorMessage="1" errorStyle="stop" errorTitle="Invalid balance value" error="Use an integer between 1 and 4." sqref="D422">
      <formula1>1</formula1>
      <formula2>4</formula2>
    </dataValidation>
    <dataValidation type="decimal" showErrorMessage="1" errorStyle="stop" errorTitle="Invalid balance value" error="Use a number between 0.0001 and 100000." sqref="D423">
      <formula1>0.0001</formula1>
      <formula2>100000</formula2>
    </dataValidation>
    <dataValidation type="whole" showErrorMessage="1" errorStyle="stop" errorTitle="Invalid balance value" error="Use an integer between 1 and 4." sqref="D425">
      <formula1>1</formula1>
      <formula2>4</formula2>
    </dataValidation>
    <dataValidation type="decimal" showErrorMessage="1" errorStyle="stop" errorTitle="Invalid balance value" error="Use a number between 0.0001 and 100000." sqref="D426">
      <formula1>0.0001</formula1>
      <formula2>100000</formula2>
    </dataValidation>
    <dataValidation type="whole" showErrorMessage="1" errorStyle="stop" errorTitle="Invalid balance value" error="Use an integer between 1 and 4." sqref="D428">
      <formula1>1</formula1>
      <formula2>4</formula2>
    </dataValidation>
    <dataValidation type="decimal" showErrorMessage="1" errorStyle="stop" errorTitle="Invalid balance value" error="Use a number between 0.0001 and 100000." sqref="D429">
      <formula1>0.0001</formula1>
      <formula2>100000</formula2>
    </dataValidation>
    <dataValidation type="whole" showErrorMessage="1" errorStyle="stop" errorTitle="Invalid balance value" error="Use an integer between 1 and 4." sqref="D43">
      <formula1>1</formula1>
      <formula2>4</formula2>
    </dataValidation>
    <dataValidation type="whole" showErrorMessage="1" errorStyle="stop" errorTitle="Invalid balance value" error="Use an integer between 1 and 4." sqref="D432">
      <formula1>1</formula1>
      <formula2>4</formula2>
    </dataValidation>
    <dataValidation type="decimal" showErrorMessage="1" errorStyle="stop" errorTitle="Invalid balance value" error="Use a number between 0.0001 and 100000." sqref="D433">
      <formula1>0.0001</formula1>
      <formula2>100000</formula2>
    </dataValidation>
    <dataValidation type="whole" showErrorMessage="1" errorStyle="stop" errorTitle="Invalid balance value" error="Use an integer between 1 and 4." sqref="D435">
      <formula1>1</formula1>
      <formula2>4</formula2>
    </dataValidation>
    <dataValidation type="decimal" showErrorMessage="1" errorStyle="stop" errorTitle="Invalid balance value" error="Use a number between 0.0001 and 100000." sqref="D436">
      <formula1>0.0001</formula1>
      <formula2>100000</formula2>
    </dataValidation>
    <dataValidation type="whole" showErrorMessage="1" errorStyle="stop" errorTitle="Invalid balance value" error="Use an integer between 1 and 4." sqref="D438">
      <formula1>1</formula1>
      <formula2>4</formula2>
    </dataValidation>
    <dataValidation type="decimal" showErrorMessage="1" errorStyle="stop" errorTitle="Invalid balance value" error="Use a number between 0.0001 and 100000." sqref="D439">
      <formula1>0.0001</formula1>
      <formula2>100000</formula2>
    </dataValidation>
    <dataValidation type="decimal" showErrorMessage="1" errorStyle="stop" errorTitle="Invalid balance value" error="Use a number between 0.0001 and 100000." sqref="D44">
      <formula1>0.0001</formula1>
      <formula2>100000</formula2>
    </dataValidation>
    <dataValidation type="whole" showErrorMessage="1" errorStyle="stop" errorTitle="Invalid balance value" error="Use an integer between 1 and 4." sqref="D441">
      <formula1>1</formula1>
      <formula2>4</formula2>
    </dataValidation>
    <dataValidation type="decimal" showErrorMessage="1" errorStyle="stop" errorTitle="Invalid balance value" error="Use a number between 0.0001 and 100000." sqref="D442">
      <formula1>0.0001</formula1>
      <formula2>100000</formula2>
    </dataValidation>
    <dataValidation type="whole" showErrorMessage="1" errorStyle="stop" errorTitle="Invalid balance value" error="Use an integer between 1 and 4." sqref="D444">
      <formula1>1</formula1>
      <formula2>4</formula2>
    </dataValidation>
    <dataValidation type="decimal" showErrorMessage="1" errorStyle="stop" errorTitle="Invalid balance value" error="Use a number between 0.0001 and 100000." sqref="D445">
      <formula1>0.0001</formula1>
      <formula2>100000</formula2>
    </dataValidation>
    <dataValidation type="whole" showErrorMessage="1" errorStyle="stop" errorTitle="Invalid balance value" error="Use an integer between 1 and 4." sqref="D447">
      <formula1>1</formula1>
      <formula2>4</formula2>
    </dataValidation>
    <dataValidation type="decimal" showErrorMessage="1" errorStyle="stop" errorTitle="Invalid balance value" error="Use a number between 0.0001 and 100000." sqref="D448">
      <formula1>0.0001</formula1>
      <formula2>100000</formula2>
    </dataValidation>
    <dataValidation type="whole" showErrorMessage="1" errorStyle="stop" errorTitle="Invalid balance value" error="Use an integer between 1 and 4." sqref="D450">
      <formula1>1</formula1>
      <formula2>4</formula2>
    </dataValidation>
    <dataValidation type="decimal" showErrorMessage="1" errorStyle="stop" errorTitle="Invalid balance value" error="Use a number between 0.0001 and 100000." sqref="D451">
      <formula1>0.0001</formula1>
      <formula2>100000</formula2>
    </dataValidation>
    <dataValidation type="whole" showErrorMessage="1" errorStyle="stop" errorTitle="Invalid balance value" error="Use an integer between 1 and 4." sqref="D453">
      <formula1>1</formula1>
      <formula2>4</formula2>
    </dataValidation>
    <dataValidation type="decimal" showErrorMessage="1" errorStyle="stop" errorTitle="Invalid balance value" error="Use a number between 0.0001 and 100000." sqref="D454">
      <formula1>0.0001</formula1>
      <formula2>100000</formula2>
    </dataValidation>
    <dataValidation type="whole" showErrorMessage="1" errorStyle="stop" errorTitle="Invalid balance value" error="Use an integer between 1 and 4." sqref="D456">
      <formula1>1</formula1>
      <formula2>4</formula2>
    </dataValidation>
    <dataValidation type="decimal" showErrorMessage="1" errorStyle="stop" errorTitle="Invalid balance value" error="Use a number between 0.0001 and 100000." sqref="D457">
      <formula1>0.0001</formula1>
      <formula2>100000</formula2>
    </dataValidation>
    <dataValidation type="whole" showErrorMessage="1" errorStyle="stop" errorTitle="Invalid balance value" error="Use an integer between 1 and 4." sqref="D459">
      <formula1>1</formula1>
      <formula2>4</formula2>
    </dataValidation>
    <dataValidation type="whole" showErrorMessage="1" errorStyle="stop" errorTitle="Invalid balance value" error="Use an integer between 1 and 4." sqref="D46">
      <formula1>1</formula1>
      <formula2>4</formula2>
    </dataValidation>
    <dataValidation type="decimal" showErrorMessage="1" errorStyle="stop" errorTitle="Invalid balance value" error="Use a number between 0.0001 and 100000." sqref="D460">
      <formula1>0.0001</formula1>
      <formula2>100000</formula2>
    </dataValidation>
    <dataValidation type="whole" showErrorMessage="1" errorStyle="stop" errorTitle="Invalid balance value" error="Use an integer between 1 and 4." sqref="D462">
      <formula1>1</formula1>
      <formula2>4</formula2>
    </dataValidation>
    <dataValidation type="decimal" showErrorMessage="1" errorStyle="stop" errorTitle="Invalid balance value" error="Use a number between 0.0001 and 100000." sqref="D463">
      <formula1>0.0001</formula1>
      <formula2>100000</formula2>
    </dataValidation>
    <dataValidation type="whole" showErrorMessage="1" errorStyle="stop" errorTitle="Invalid balance value" error="Use an integer between 1 and 4." sqref="D465">
      <formula1>1</formula1>
      <formula2>4</formula2>
    </dataValidation>
    <dataValidation type="decimal" showErrorMessage="1" errorStyle="stop" errorTitle="Invalid balance value" error="Use a number between 0.0001 and 100000." sqref="D466">
      <formula1>0.0001</formula1>
      <formula2>100000</formula2>
    </dataValidation>
    <dataValidation type="whole" showErrorMessage="1" errorStyle="stop" errorTitle="Invalid balance value" error="Use an integer between 1 and 4." sqref="D468">
      <formula1>1</formula1>
      <formula2>4</formula2>
    </dataValidation>
    <dataValidation type="decimal" showErrorMessage="1" errorStyle="stop" errorTitle="Invalid balance value" error="Use a number between 0.0001 and 100000." sqref="D469">
      <formula1>0.0001</formula1>
      <formula2>100000</formula2>
    </dataValidation>
    <dataValidation type="decimal" showErrorMessage="1" errorStyle="stop" errorTitle="Invalid balance value" error="Use a number between 0.0001 and 100000." sqref="D47">
      <formula1>0.0001</formula1>
      <formula2>100000</formula2>
    </dataValidation>
    <dataValidation type="whole" showErrorMessage="1" errorStyle="stop" errorTitle="Invalid balance value" error="Use an integer between 1 and 4." sqref="D471">
      <formula1>1</formula1>
      <formula2>4</formula2>
    </dataValidation>
    <dataValidation type="decimal" showErrorMessage="1" errorStyle="stop" errorTitle="Invalid balance value" error="Use a number between 0.0001 and 100000." sqref="D472">
      <formula1>0.0001</formula1>
      <formula2>100000</formula2>
    </dataValidation>
    <dataValidation type="whole" showErrorMessage="1" errorStyle="stop" errorTitle="Invalid balance value" error="Use an integer between 1 and 4." sqref="D474">
      <formula1>1</formula1>
      <formula2>4</formula2>
    </dataValidation>
    <dataValidation type="decimal" showErrorMessage="1" errorStyle="stop" errorTitle="Invalid balance value" error="Use a number between 0.0001 and 100000." sqref="D475">
      <formula1>0.0001</formula1>
      <formula2>100000</formula2>
    </dataValidation>
    <dataValidation type="whole" showErrorMessage="1" errorStyle="stop" errorTitle="Invalid balance value" error="Use an integer between 1 and 4." sqref="D477">
      <formula1>1</formula1>
      <formula2>4</formula2>
    </dataValidation>
    <dataValidation type="decimal" showErrorMessage="1" errorStyle="stop" errorTitle="Invalid balance value" error="Use a number between 0.0001 and 100000." sqref="D478">
      <formula1>0.0001</formula1>
      <formula2>100000</formula2>
    </dataValidation>
    <dataValidation type="whole" showErrorMessage="1" errorStyle="stop" errorTitle="Invalid balance value" error="Use an integer between 1 and 4." sqref="D480">
      <formula1>1</formula1>
      <formula2>4</formula2>
    </dataValidation>
    <dataValidation type="decimal" showErrorMessage="1" errorStyle="stop" errorTitle="Invalid balance value" error="Use a number between 0.0001 and 100000." sqref="D481">
      <formula1>0.0001</formula1>
      <formula2>100000</formula2>
    </dataValidation>
    <dataValidation type="whole" showErrorMessage="1" errorStyle="stop" errorTitle="Invalid balance value" error="Use an integer between 1 and 4." sqref="D483">
      <formula1>1</formula1>
      <formula2>4</formula2>
    </dataValidation>
    <dataValidation type="decimal" showErrorMessage="1" errorStyle="stop" errorTitle="Invalid balance value" error="Use a number between 0.0001 and 100000." sqref="D484">
      <formula1>0.0001</formula1>
      <formula2>100000</formula2>
    </dataValidation>
    <dataValidation type="whole" showErrorMessage="1" errorStyle="stop" errorTitle="Invalid balance value" error="Use an integer between 1 and 4." sqref="D487">
      <formula1>1</formula1>
      <formula2>4</formula2>
    </dataValidation>
    <dataValidation type="decimal" showErrorMessage="1" errorStyle="stop" errorTitle="Invalid balance value" error="Use a number between 0.0001 and 100000." sqref="D488">
      <formula1>0.0001</formula1>
      <formula2>100000</formula2>
    </dataValidation>
    <dataValidation type="whole" showErrorMessage="1" errorStyle="stop" errorTitle="Invalid balance value" error="Use an integer between 1 and 4." sqref="D49">
      <formula1>1</formula1>
      <formula2>4</formula2>
    </dataValidation>
    <dataValidation type="whole" showErrorMessage="1" errorStyle="stop" errorTitle="Invalid balance value" error="Use an integer between 1 and 4." sqref="D490">
      <formula1>1</formula1>
      <formula2>4</formula2>
    </dataValidation>
    <dataValidation type="decimal" showErrorMessage="1" errorStyle="stop" errorTitle="Invalid balance value" error="Use a number between 0.0001 and 100000." sqref="D491">
      <formula1>0.0001</formula1>
      <formula2>100000</formula2>
    </dataValidation>
    <dataValidation type="whole" showErrorMessage="1" errorStyle="stop" errorTitle="Invalid balance value" error="Use an integer between 1 and 4." sqref="D493">
      <formula1>1</formula1>
      <formula2>4</formula2>
    </dataValidation>
    <dataValidation type="decimal" showErrorMessage="1" errorStyle="stop" errorTitle="Invalid balance value" error="Use a number between 0.0001 and 100000." sqref="D494">
      <formula1>0.0001</formula1>
      <formula2>100000</formula2>
    </dataValidation>
    <dataValidation type="whole" showErrorMessage="1" errorStyle="stop" errorTitle="Invalid balance value" error="Use an integer between 1 and 4." sqref="D496">
      <formula1>1</formula1>
      <formula2>4</formula2>
    </dataValidation>
    <dataValidation type="decimal" showErrorMessage="1" errorStyle="stop" errorTitle="Invalid balance value" error="Use a number between 0.0001 and 100000." sqref="D497">
      <formula1>0.0001</formula1>
      <formula2>100000</formula2>
    </dataValidation>
    <dataValidation type="whole" showErrorMessage="1" errorStyle="stop" errorTitle="Invalid balance value" error="Use an integer between 1 and 4." sqref="D499">
      <formula1>1</formula1>
      <formula2>4</formula2>
    </dataValidation>
    <dataValidation type="decimal" showErrorMessage="1" errorStyle="stop" errorTitle="Invalid balance value" error="Use a number between 0.0001 and 100000." sqref="D50">
      <formula1>0.0001</formula1>
      <formula2>100000</formula2>
    </dataValidation>
    <dataValidation type="decimal" showErrorMessage="1" errorStyle="stop" errorTitle="Invalid balance value" error="Use a number between 0.0001 and 100000." sqref="D500">
      <formula1>0.0001</formula1>
      <formula2>100000</formula2>
    </dataValidation>
    <dataValidation type="whole" showErrorMessage="1" errorStyle="stop" errorTitle="Invalid balance value" error="Use an integer between 1 and 4." sqref="D502">
      <formula1>1</formula1>
      <formula2>4</formula2>
    </dataValidation>
    <dataValidation type="decimal" showErrorMessage="1" errorStyle="stop" errorTitle="Invalid balance value" error="Use a number between 0.0001 and 100000." sqref="D503">
      <formula1>0.0001</formula1>
      <formula2>100000</formula2>
    </dataValidation>
    <dataValidation type="whole" showErrorMessage="1" errorStyle="stop" errorTitle="Invalid balance value" error="Use an integer between 1 and 4." sqref="D505">
      <formula1>1</formula1>
      <formula2>4</formula2>
    </dataValidation>
    <dataValidation type="decimal" showErrorMessage="1" errorStyle="stop" errorTitle="Invalid balance value" error="Use a number between 0.0001 and 100000." sqref="D506">
      <formula1>0.0001</formula1>
      <formula2>100000</formula2>
    </dataValidation>
    <dataValidation type="whole" showErrorMessage="1" errorStyle="stop" errorTitle="Invalid balance value" error="Use an integer between 1 and 4." sqref="D508">
      <formula1>1</formula1>
      <formula2>4</formula2>
    </dataValidation>
    <dataValidation type="decimal" showErrorMessage="1" errorStyle="stop" errorTitle="Invalid balance value" error="Use a number between 0.0001 and 100000." sqref="D509">
      <formula1>0.0001</formula1>
      <formula2>100000</formula2>
    </dataValidation>
    <dataValidation type="whole" showErrorMessage="1" errorStyle="stop" errorTitle="Invalid balance value" error="Use an integer between 1 and 4." sqref="D511">
      <formula1>1</formula1>
      <formula2>4</formula2>
    </dataValidation>
    <dataValidation type="decimal" showErrorMessage="1" errorStyle="stop" errorTitle="Invalid balance value" error="Use a number between 0.0001 and 100000." sqref="D512">
      <formula1>0.0001</formula1>
      <formula2>100000</formula2>
    </dataValidation>
    <dataValidation type="whole" showErrorMessage="1" errorStyle="stop" errorTitle="Invalid balance value" error="Use an integer between 1 and 4." sqref="D514">
      <formula1>1</formula1>
      <formula2>4</formula2>
    </dataValidation>
    <dataValidation type="decimal" showErrorMessage="1" errorStyle="stop" errorTitle="Invalid balance value" error="Use a number between 0.0001 and 100000." sqref="D515">
      <formula1>0.0001</formula1>
      <formula2>100000</formula2>
    </dataValidation>
    <dataValidation type="whole" showErrorMessage="1" errorStyle="stop" errorTitle="Invalid balance value" error="Use an integer between 1 and 4." sqref="D517">
      <formula1>1</formula1>
      <formula2>4</formula2>
    </dataValidation>
    <dataValidation type="decimal" showErrorMessage="1" errorStyle="stop" errorTitle="Invalid balance value" error="Use a number between 0.0001 and 100000." sqref="D518">
      <formula1>0.0001</formula1>
      <formula2>100000</formula2>
    </dataValidation>
    <dataValidation type="whole" showErrorMessage="1" errorStyle="stop" errorTitle="Invalid balance value" error="Use an integer between 1 and 4." sqref="D52">
      <formula1>1</formula1>
      <formula2>4</formula2>
    </dataValidation>
    <dataValidation type="whole" showErrorMessage="1" errorStyle="stop" errorTitle="Invalid balance value" error="Use an integer between 1 and 4." sqref="D520">
      <formula1>1</formula1>
      <formula2>4</formula2>
    </dataValidation>
    <dataValidation type="decimal" showErrorMessage="1" errorStyle="stop" errorTitle="Invalid balance value" error="Use a number between 0.0001 and 100000." sqref="D521">
      <formula1>0.0001</formula1>
      <formula2>100000</formula2>
    </dataValidation>
    <dataValidation type="whole" showErrorMessage="1" errorStyle="stop" errorTitle="Invalid balance value" error="Use an integer between 1 and 4." sqref="D523">
      <formula1>1</formula1>
      <formula2>4</formula2>
    </dataValidation>
    <dataValidation type="decimal" showErrorMessage="1" errorStyle="stop" errorTitle="Invalid balance value" error="Use a number between 0.0001 and 100000." sqref="D524">
      <formula1>0.0001</formula1>
      <formula2>100000</formula2>
    </dataValidation>
    <dataValidation type="whole" showErrorMessage="1" errorStyle="stop" errorTitle="Invalid balance value" error="Use an integer between 1 and 4." sqref="D526">
      <formula1>1</formula1>
      <formula2>4</formula2>
    </dataValidation>
    <dataValidation type="decimal" showErrorMessage="1" errorStyle="stop" errorTitle="Invalid balance value" error="Use a number between 0.0001 and 100000." sqref="D527">
      <formula1>0.0001</formula1>
      <formula2>100000</formula2>
    </dataValidation>
    <dataValidation type="whole" showErrorMessage="1" errorStyle="stop" errorTitle="Invalid balance value" error="Use an integer between 1 and 4." sqref="D529">
      <formula1>1</formula1>
      <formula2>4</formula2>
    </dataValidation>
    <dataValidation type="decimal" showErrorMessage="1" errorStyle="stop" errorTitle="Invalid balance value" error="Use a number between 0.0001 and 100000." sqref="D53">
      <formula1>0.0001</formula1>
      <formula2>100000</formula2>
    </dataValidation>
    <dataValidation type="decimal" showErrorMessage="1" errorStyle="stop" errorTitle="Invalid balance value" error="Use a number between 0.0001 and 100000." sqref="D530">
      <formula1>0.0001</formula1>
      <formula2>100000</formula2>
    </dataValidation>
    <dataValidation type="whole" showErrorMessage="1" errorStyle="stop" errorTitle="Invalid balance value" error="Use an integer between 1 and 4." sqref="D532">
      <formula1>1</formula1>
      <formula2>4</formula2>
    </dataValidation>
    <dataValidation type="decimal" showErrorMessage="1" errorStyle="stop" errorTitle="Invalid balance value" error="Use a number between 0.0001 and 100000." sqref="D533">
      <formula1>0.0001</formula1>
      <formula2>100000</formula2>
    </dataValidation>
    <dataValidation type="whole" showErrorMessage="1" errorStyle="stop" errorTitle="Invalid balance value" error="Use an integer between 1 and 4." sqref="D535">
      <formula1>1</formula1>
      <formula2>4</formula2>
    </dataValidation>
    <dataValidation type="decimal" showErrorMessage="1" errorStyle="stop" errorTitle="Invalid balance value" error="Use a number between 0.0001 and 100000." sqref="D536">
      <formula1>0.0001</formula1>
      <formula2>100000</formula2>
    </dataValidation>
    <dataValidation type="whole" showErrorMessage="1" errorStyle="stop" errorTitle="Invalid balance value" error="Use an integer between 1 and 4." sqref="D538">
      <formula1>1</formula1>
      <formula2>4</formula2>
    </dataValidation>
    <dataValidation type="decimal" showErrorMessage="1" errorStyle="stop" errorTitle="Invalid balance value" error="Use a number between 0.0001 and 100000." sqref="D539">
      <formula1>0.0001</formula1>
      <formula2>100000</formula2>
    </dataValidation>
    <dataValidation type="whole" showErrorMessage="1" errorStyle="stop" errorTitle="Invalid balance value" error="Use an integer between 1 and 4." sqref="D542">
      <formula1>1</formula1>
      <formula2>4</formula2>
    </dataValidation>
    <dataValidation type="decimal" showErrorMessage="1" errorStyle="stop" errorTitle="Invalid balance value" error="Use a number between 0.0001 and 100000." sqref="D543">
      <formula1>0.0001</formula1>
      <formula2>100000</formula2>
    </dataValidation>
    <dataValidation type="whole" showErrorMessage="1" errorStyle="stop" errorTitle="Invalid balance value" error="Use an integer between 1 and 4." sqref="D545">
      <formula1>1</formula1>
      <formula2>4</formula2>
    </dataValidation>
    <dataValidation type="decimal" showErrorMessage="1" errorStyle="stop" errorTitle="Invalid balance value" error="Use a number between 0.0001 and 100000." sqref="D546">
      <formula1>0.0001</formula1>
      <formula2>100000</formula2>
    </dataValidation>
    <dataValidation type="whole" showErrorMessage="1" errorStyle="stop" errorTitle="Invalid balance value" error="Use an integer between 1 and 4." sqref="D548">
      <formula1>1</formula1>
      <formula2>4</formula2>
    </dataValidation>
    <dataValidation type="decimal" showErrorMessage="1" errorStyle="stop" errorTitle="Invalid balance value" error="Use a number between 0.0001 and 100000." sqref="D549">
      <formula1>0.0001</formula1>
      <formula2>100000</formula2>
    </dataValidation>
    <dataValidation type="whole" showErrorMessage="1" errorStyle="stop" errorTitle="Invalid balance value" error="Use an integer between 1 and 4." sqref="D55">
      <formula1>1</formula1>
      <formula2>4</formula2>
    </dataValidation>
    <dataValidation type="whole" showErrorMessage="1" errorStyle="stop" errorTitle="Invalid balance value" error="Use an integer between 1 and 4." sqref="D551">
      <formula1>1</formula1>
      <formula2>4</formula2>
    </dataValidation>
    <dataValidation type="decimal" showErrorMessage="1" errorStyle="stop" errorTitle="Invalid balance value" error="Use a number between 0.0001 and 100000." sqref="D552">
      <formula1>0.0001</formula1>
      <formula2>100000</formula2>
    </dataValidation>
    <dataValidation type="whole" showErrorMessage="1" errorStyle="stop" errorTitle="Invalid balance value" error="Use an integer between 1 and 4." sqref="D554">
      <formula1>1</formula1>
      <formula2>4</formula2>
    </dataValidation>
    <dataValidation type="decimal" showErrorMessage="1" errorStyle="stop" errorTitle="Invalid balance value" error="Use a number between 0.0001 and 100000." sqref="D555">
      <formula1>0.0001</formula1>
      <formula2>100000</formula2>
    </dataValidation>
    <dataValidation type="whole" showErrorMessage="1" errorStyle="stop" errorTitle="Invalid balance value" error="Use an integer between 1 and 4." sqref="D557">
      <formula1>1</formula1>
      <formula2>4</formula2>
    </dataValidation>
    <dataValidation type="decimal" showErrorMessage="1" errorStyle="stop" errorTitle="Invalid balance value" error="Use a number between 0.0001 and 100000." sqref="D558">
      <formula1>0.0001</formula1>
      <formula2>100000</formula2>
    </dataValidation>
    <dataValidation type="decimal" showErrorMessage="1" errorStyle="stop" errorTitle="Invalid balance value" error="Use a number between 0.0001 and 100000." sqref="D56">
      <formula1>0.0001</formula1>
      <formula2>100000</formula2>
    </dataValidation>
    <dataValidation type="whole" showErrorMessage="1" errorStyle="stop" errorTitle="Invalid balance value" error="Use an integer between 1 and 4." sqref="D560">
      <formula1>1</formula1>
      <formula2>4</formula2>
    </dataValidation>
    <dataValidation type="decimal" showErrorMessage="1" errorStyle="stop" errorTitle="Invalid balance value" error="Use a number between 0.0001 and 100000." sqref="D561">
      <formula1>0.0001</formula1>
      <formula2>100000</formula2>
    </dataValidation>
    <dataValidation type="whole" showErrorMessage="1" errorStyle="stop" errorTitle="Invalid balance value" error="Use an integer between 1 and 4." sqref="D563">
      <formula1>1</formula1>
      <formula2>4</formula2>
    </dataValidation>
    <dataValidation type="decimal" showErrorMessage="1" errorStyle="stop" errorTitle="Invalid balance value" error="Use a number between 0.0001 and 100000." sqref="D564">
      <formula1>0.0001</formula1>
      <formula2>100000</formula2>
    </dataValidation>
    <dataValidation type="whole" showErrorMessage="1" errorStyle="stop" errorTitle="Invalid balance value" error="Use an integer between 1 and 4." sqref="D566">
      <formula1>1</formula1>
      <formula2>4</formula2>
    </dataValidation>
    <dataValidation type="decimal" showErrorMessage="1" errorStyle="stop" errorTitle="Invalid balance value" error="Use a number between 0.0001 and 100000." sqref="D567">
      <formula1>0.0001</formula1>
      <formula2>100000</formula2>
    </dataValidation>
    <dataValidation type="whole" showErrorMessage="1" errorStyle="stop" errorTitle="Invalid balance value" error="Use an integer between 1 and 4." sqref="D569">
      <formula1>1</formula1>
      <formula2>4</formula2>
    </dataValidation>
    <dataValidation type="decimal" showErrorMessage="1" errorStyle="stop" errorTitle="Invalid balance value" error="Use a number between 0.0001 and 100000." sqref="D570">
      <formula1>0.0001</formula1>
      <formula2>100000</formula2>
    </dataValidation>
    <dataValidation type="whole" showErrorMessage="1" errorStyle="stop" errorTitle="Invalid balance value" error="Use an integer between 1 and 4." sqref="D572">
      <formula1>1</formula1>
      <formula2>4</formula2>
    </dataValidation>
    <dataValidation type="decimal" showErrorMessage="1" errorStyle="stop" errorTitle="Invalid balance value" error="Use a number between 0.0001 and 100000." sqref="D573">
      <formula1>0.0001</formula1>
      <formula2>100000</formula2>
    </dataValidation>
    <dataValidation type="whole" showErrorMessage="1" errorStyle="stop" errorTitle="Invalid balance value" error="Use an integer between 1 and 4." sqref="D575">
      <formula1>1</formula1>
      <formula2>4</formula2>
    </dataValidation>
    <dataValidation type="decimal" showErrorMessage="1" errorStyle="stop" errorTitle="Invalid balance value" error="Use a number between 0.0001 and 100000." sqref="D576">
      <formula1>0.0001</formula1>
      <formula2>100000</formula2>
    </dataValidation>
    <dataValidation type="whole" showErrorMessage="1" errorStyle="stop" errorTitle="Invalid balance value" error="Use an integer between 1 and 4." sqref="D578">
      <formula1>1</formula1>
      <formula2>4</formula2>
    </dataValidation>
    <dataValidation type="decimal" showErrorMessage="1" errorStyle="stop" errorTitle="Invalid balance value" error="Use a number between 0.0001 and 100000." sqref="D579">
      <formula1>0.0001</formula1>
      <formula2>100000</formula2>
    </dataValidation>
    <dataValidation type="whole" showErrorMessage="1" errorStyle="stop" errorTitle="Invalid balance value" error="Use an integer between 1 and 4." sqref="D58">
      <formula1>1</formula1>
      <formula2>4</formula2>
    </dataValidation>
    <dataValidation type="whole" showErrorMessage="1" errorStyle="stop" errorTitle="Invalid balance value" error="Use an integer between 1 and 4." sqref="D581">
      <formula1>1</formula1>
      <formula2>4</formula2>
    </dataValidation>
    <dataValidation type="decimal" showErrorMessage="1" errorStyle="stop" errorTitle="Invalid balance value" error="Use a number between 0.0001 and 100000." sqref="D582">
      <formula1>0.0001</formula1>
      <formula2>100000</formula2>
    </dataValidation>
    <dataValidation type="whole" showErrorMessage="1" errorStyle="stop" errorTitle="Invalid balance value" error="Use an integer between 1 and 4." sqref="D584">
      <formula1>1</formula1>
      <formula2>4</formula2>
    </dataValidation>
    <dataValidation type="decimal" showErrorMessage="1" errorStyle="stop" errorTitle="Invalid balance value" error="Use a number between 0.0001 and 100000." sqref="D585">
      <formula1>0.0001</formula1>
      <formula2>100000</formula2>
    </dataValidation>
    <dataValidation type="whole" showErrorMessage="1" errorStyle="stop" errorTitle="Invalid balance value" error="Use an integer between 1 and 4." sqref="D587">
      <formula1>1</formula1>
      <formula2>4</formula2>
    </dataValidation>
    <dataValidation type="decimal" showErrorMessage="1" errorStyle="stop" errorTitle="Invalid balance value" error="Use a number between 0.0001 and 100000." sqref="D588">
      <formula1>0.0001</formula1>
      <formula2>100000</formula2>
    </dataValidation>
    <dataValidation type="decimal" showErrorMessage="1" errorStyle="stop" errorTitle="Invalid balance value" error="Use a number between 0.0001 and 100000." sqref="D59">
      <formula1>0.0001</formula1>
      <formula2>100000</formula2>
    </dataValidation>
    <dataValidation type="whole" showErrorMessage="1" errorStyle="stop" errorTitle="Invalid balance value" error="Use an integer between 1 and 4." sqref="D590">
      <formula1>1</formula1>
      <formula2>4</formula2>
    </dataValidation>
    <dataValidation type="decimal" showErrorMessage="1" errorStyle="stop" errorTitle="Invalid balance value" error="Use a number between 0.0001 and 100000." sqref="D591">
      <formula1>0.0001</formula1>
      <formula2>100000</formula2>
    </dataValidation>
    <dataValidation type="whole" showErrorMessage="1" errorStyle="stop" errorTitle="Invalid balance value" error="Use an integer between 1 and 4." sqref="D593">
      <formula1>1</formula1>
      <formula2>4</formula2>
    </dataValidation>
    <dataValidation type="decimal" showErrorMessage="1" errorStyle="stop" errorTitle="Invalid balance value" error="Use a number between 0.0001 and 100000." sqref="D594">
      <formula1>0.0001</formula1>
      <formula2>100000</formula2>
    </dataValidation>
    <dataValidation type="whole" showErrorMessage="1" errorStyle="stop" errorTitle="Invalid balance value" error="Use an integer between 1 and 4." sqref="D597">
      <formula1>1</formula1>
      <formula2>4</formula2>
    </dataValidation>
    <dataValidation type="decimal" showErrorMessage="1" errorStyle="stop" errorTitle="Invalid balance value" error="Use a number between 0.0001 and 100000." sqref="D598">
      <formula1>0.0001</formula1>
      <formula2>100000</formula2>
    </dataValidation>
    <dataValidation type="whole" showErrorMessage="1" errorStyle="stop" errorTitle="Invalid balance value" error="Use an integer between 1 and 4." sqref="D6">
      <formula1>1</formula1>
      <formula2>4</formula2>
    </dataValidation>
    <dataValidation type="whole" showErrorMessage="1" errorStyle="stop" errorTitle="Invalid balance value" error="Use an integer between 1 and 4." sqref="D600">
      <formula1>1</formula1>
      <formula2>4</formula2>
    </dataValidation>
    <dataValidation type="decimal" showErrorMessage="1" errorStyle="stop" errorTitle="Invalid balance value" error="Use a number between 0.0001 and 100000." sqref="D601">
      <formula1>0.0001</formula1>
      <formula2>100000</formula2>
    </dataValidation>
    <dataValidation type="whole" showErrorMessage="1" errorStyle="stop" errorTitle="Invalid balance value" error="Use an integer between 1 and 4." sqref="D603">
      <formula1>1</formula1>
      <formula2>4</formula2>
    </dataValidation>
    <dataValidation type="decimal" showErrorMessage="1" errorStyle="stop" errorTitle="Invalid balance value" error="Use a number between 0.0001 and 100000." sqref="D604">
      <formula1>0.0001</formula1>
      <formula2>100000</formula2>
    </dataValidation>
    <dataValidation type="whole" showErrorMessage="1" errorStyle="stop" errorTitle="Invalid balance value" error="Use an integer between 1 and 4." sqref="D606">
      <formula1>1</formula1>
      <formula2>4</formula2>
    </dataValidation>
    <dataValidation type="decimal" showErrorMessage="1" errorStyle="stop" errorTitle="Invalid balance value" error="Use a number between 0.0001 and 100000." sqref="D607">
      <formula1>0.0001</formula1>
      <formula2>100000</formula2>
    </dataValidation>
    <dataValidation type="whole" showErrorMessage="1" errorStyle="stop" errorTitle="Invalid balance value" error="Use an integer between 1 and 4." sqref="D609">
      <formula1>1</formula1>
      <formula2>4</formula2>
    </dataValidation>
    <dataValidation type="whole" showErrorMessage="1" errorStyle="stop" errorTitle="Invalid balance value" error="Use an integer between 1 and 4." sqref="D61">
      <formula1>1</formula1>
      <formula2>4</formula2>
    </dataValidation>
    <dataValidation type="decimal" showErrorMessage="1" errorStyle="stop" errorTitle="Invalid balance value" error="Use a number between 0.0001 and 100000." sqref="D610">
      <formula1>0.0001</formula1>
      <formula2>100000</formula2>
    </dataValidation>
    <dataValidation type="whole" showErrorMessage="1" errorStyle="stop" errorTitle="Invalid balance value" error="Use an integer between 1 and 4." sqref="D612">
      <formula1>1</formula1>
      <formula2>4</formula2>
    </dataValidation>
    <dataValidation type="decimal" showErrorMessage="1" errorStyle="stop" errorTitle="Invalid balance value" error="Use a number between 0.0001 and 100000." sqref="D613">
      <formula1>0.0001</formula1>
      <formula2>100000</formula2>
    </dataValidation>
    <dataValidation type="whole" showErrorMessage="1" errorStyle="stop" errorTitle="Invalid balance value" error="Use an integer between 1 and 4." sqref="D615">
      <formula1>1</formula1>
      <formula2>4</formula2>
    </dataValidation>
    <dataValidation type="decimal" showErrorMessage="1" errorStyle="stop" errorTitle="Invalid balance value" error="Use a number between 0.0001 and 100000." sqref="D616">
      <formula1>0.0001</formula1>
      <formula2>100000</formula2>
    </dataValidation>
    <dataValidation type="whole" showErrorMessage="1" errorStyle="stop" errorTitle="Invalid balance value" error="Use an integer between 1 and 4." sqref="D618">
      <formula1>1</formula1>
      <formula2>4</formula2>
    </dataValidation>
    <dataValidation type="decimal" showErrorMessage="1" errorStyle="stop" errorTitle="Invalid balance value" error="Use a number between 0.0001 and 100000." sqref="D619">
      <formula1>0.0001</formula1>
      <formula2>100000</formula2>
    </dataValidation>
    <dataValidation type="decimal" showErrorMessage="1" errorStyle="stop" errorTitle="Invalid balance value" error="Use a number between 0.0001 and 100000." sqref="D62">
      <formula1>0.0001</formula1>
      <formula2>100000</formula2>
    </dataValidation>
    <dataValidation type="whole" showErrorMessage="1" errorStyle="stop" errorTitle="Invalid balance value" error="Use an integer between 1 and 4." sqref="D621">
      <formula1>1</formula1>
      <formula2>4</formula2>
    </dataValidation>
    <dataValidation type="decimal" showErrorMessage="1" errorStyle="stop" errorTitle="Invalid balance value" error="Use a number between 0.0001 and 100000." sqref="D622">
      <formula1>0.0001</formula1>
      <formula2>100000</formula2>
    </dataValidation>
    <dataValidation type="whole" showErrorMessage="1" errorStyle="stop" errorTitle="Invalid balance value" error="Use an integer between 1 and 4." sqref="D624">
      <formula1>1</formula1>
      <formula2>4</formula2>
    </dataValidation>
    <dataValidation type="decimal" showErrorMessage="1" errorStyle="stop" errorTitle="Invalid balance value" error="Use a number between 0.0001 and 100000." sqref="D625">
      <formula1>0.0001</formula1>
      <formula2>100000</formula2>
    </dataValidation>
    <dataValidation type="whole" showErrorMessage="1" errorStyle="stop" errorTitle="Invalid balance value" error="Use an integer between 1 and 4." sqref="D627">
      <formula1>1</formula1>
      <formula2>4</formula2>
    </dataValidation>
    <dataValidation type="decimal" showErrorMessage="1" errorStyle="stop" errorTitle="Invalid balance value" error="Use a number between 0.0001 and 100000." sqref="D628">
      <formula1>0.0001</formula1>
      <formula2>100000</formula2>
    </dataValidation>
    <dataValidation type="whole" showErrorMessage="1" errorStyle="stop" errorTitle="Invalid balance value" error="Use an integer between 1 and 4." sqref="D630">
      <formula1>1</formula1>
      <formula2>4</formula2>
    </dataValidation>
    <dataValidation type="decimal" showErrorMessage="1" errorStyle="stop" errorTitle="Invalid balance value" error="Use a number between 0.0001 and 100000." sqref="D631">
      <formula1>0.0001</formula1>
      <formula2>100000</formula2>
    </dataValidation>
    <dataValidation type="whole" showErrorMessage="1" errorStyle="stop" errorTitle="Invalid balance value" error="Use an integer between 1 and 4." sqref="D633">
      <formula1>1</formula1>
      <formula2>4</formula2>
    </dataValidation>
    <dataValidation type="decimal" showErrorMessage="1" errorStyle="stop" errorTitle="Invalid balance value" error="Use a number between 0.0001 and 100000." sqref="D634">
      <formula1>0.0001</formula1>
      <formula2>100000</formula2>
    </dataValidation>
    <dataValidation type="whole" showErrorMessage="1" errorStyle="stop" errorTitle="Invalid balance value" error="Use an integer between 1 and 4." sqref="D636">
      <formula1>1</formula1>
      <formula2>4</formula2>
    </dataValidation>
    <dataValidation type="decimal" showErrorMessage="1" errorStyle="stop" errorTitle="Invalid balance value" error="Use a number between 0.0001 and 100000." sqref="D637">
      <formula1>0.0001</formula1>
      <formula2>100000</formula2>
    </dataValidation>
    <dataValidation type="whole" showErrorMessage="1" errorStyle="stop" errorTitle="Invalid balance value" error="Use an integer between 1 and 4." sqref="D639">
      <formula1>1</formula1>
      <formula2>4</formula2>
    </dataValidation>
    <dataValidation type="whole" showErrorMessage="1" errorStyle="stop" errorTitle="Invalid balance value" error="Use an integer between 1 and 4." sqref="D64">
      <formula1>1</formula1>
      <formula2>4</formula2>
    </dataValidation>
    <dataValidation type="decimal" showErrorMessage="1" errorStyle="stop" errorTitle="Invalid balance value" error="Use a number between 0.0001 and 100000." sqref="D640">
      <formula1>0.0001</formula1>
      <formula2>100000</formula2>
    </dataValidation>
    <dataValidation type="whole" showErrorMessage="1" errorStyle="stop" errorTitle="Invalid balance value" error="Use an integer between 1 and 4." sqref="D642">
      <formula1>1</formula1>
      <formula2>4</formula2>
    </dataValidation>
    <dataValidation type="decimal" showErrorMessage="1" errorStyle="stop" errorTitle="Invalid balance value" error="Use a number between 0.0001 and 100000." sqref="D643">
      <formula1>0.0001</formula1>
      <formula2>100000</formula2>
    </dataValidation>
    <dataValidation type="whole" showErrorMessage="1" errorStyle="stop" errorTitle="Invalid balance value" error="Use an integer between 1 and 4." sqref="D645">
      <formula1>1</formula1>
      <formula2>4</formula2>
    </dataValidation>
    <dataValidation type="decimal" showErrorMessage="1" errorStyle="stop" errorTitle="Invalid balance value" error="Use a number between 0.0001 and 100000." sqref="D646">
      <formula1>0.0001</formula1>
      <formula2>100000</formula2>
    </dataValidation>
    <dataValidation type="whole" showErrorMessage="1" errorStyle="stop" errorTitle="Invalid balance value" error="Use an integer between 1 and 4." sqref="D648">
      <formula1>1</formula1>
      <formula2>4</formula2>
    </dataValidation>
    <dataValidation type="decimal" showErrorMessage="1" errorStyle="stop" errorTitle="Invalid balance value" error="Use a number between 0.0001 and 100000." sqref="D649">
      <formula1>0.0001</formula1>
      <formula2>100000</formula2>
    </dataValidation>
    <dataValidation type="decimal" showErrorMessage="1" errorStyle="stop" errorTitle="Invalid balance value" error="Use a number between 0.0001 and 100000." sqref="D65">
      <formula1>0.0001</formula1>
      <formula2>100000</formula2>
    </dataValidation>
    <dataValidation type="whole" showErrorMessage="1" errorStyle="stop" errorTitle="Invalid balance value" error="Use an integer between 1 and 4." sqref="D67">
      <formula1>1</formula1>
      <formula2>4</formula2>
    </dataValidation>
    <dataValidation type="decimal" showErrorMessage="1" errorStyle="stop" errorTitle="Invalid balance value" error="Use a number between 0.0001 and 100000." sqref="D68">
      <formula1>0.0001</formula1>
      <formula2>100000</formula2>
    </dataValidation>
    <dataValidation type="decimal" showErrorMessage="1" errorStyle="stop" errorTitle="Invalid balance value" error="Use a number between 0.0001 and 100000." sqref="D7">
      <formula1>0.0001</formula1>
      <formula2>100000</formula2>
    </dataValidation>
    <dataValidation type="whole" showErrorMessage="1" errorStyle="stop" errorTitle="Invalid balance value" error="Use an integer between 1 and 4." sqref="D70">
      <formula1>1</formula1>
      <formula2>4</formula2>
    </dataValidation>
    <dataValidation type="decimal" showErrorMessage="1" errorStyle="stop" errorTitle="Invalid balance value" error="Use a number between 0.0001 and 100000." sqref="D71">
      <formula1>0.0001</formula1>
      <formula2>100000</formula2>
    </dataValidation>
    <dataValidation type="whole" showErrorMessage="1" errorStyle="stop" errorTitle="Invalid balance value" error="Use an integer between 1 and 4." sqref="D73">
      <formula1>1</formula1>
      <formula2>4</formula2>
    </dataValidation>
    <dataValidation type="decimal" showErrorMessage="1" errorStyle="stop" errorTitle="Invalid balance value" error="Use a number between 0.0001 and 100000." sqref="D74">
      <formula1>0.0001</formula1>
      <formula2>100000</formula2>
    </dataValidation>
    <dataValidation type="whole" showErrorMessage="1" errorStyle="stop" errorTitle="Invalid balance value" error="Use an integer between 1 and 4." sqref="D76">
      <formula1>1</formula1>
      <formula2>4</formula2>
    </dataValidation>
    <dataValidation type="decimal" showErrorMessage="1" errorStyle="stop" errorTitle="Invalid balance value" error="Use a number between 0.0001 and 100000." sqref="D77">
      <formula1>0.0001</formula1>
      <formula2>100000</formula2>
    </dataValidation>
    <dataValidation type="whole" showErrorMessage="1" errorStyle="stop" errorTitle="Invalid balance value" error="Use an integer between 1 and 4." sqref="D79">
      <formula1>1</formula1>
      <formula2>4</formula2>
    </dataValidation>
    <dataValidation type="decimal" showErrorMessage="1" errorStyle="stop" errorTitle="Invalid balance value" error="Use a number between 0.0001 and 100000." sqref="D80">
      <formula1>0.0001</formula1>
      <formula2>100000</formula2>
    </dataValidation>
    <dataValidation type="whole" showErrorMessage="1" errorStyle="stop" errorTitle="Invalid balance value" error="Use an integer between 1 and 4." sqref="D82">
      <formula1>1</formula1>
      <formula2>4</formula2>
    </dataValidation>
    <dataValidation type="decimal" showErrorMessage="1" errorStyle="stop" errorTitle="Invalid balance value" error="Use a number between 0.0001 and 100000." sqref="D83">
      <formula1>0.0001</formula1>
      <formula2>100000</formula2>
    </dataValidation>
    <dataValidation type="whole" showErrorMessage="1" errorStyle="stop" errorTitle="Invalid balance value" error="Use an integer between 1 and 4." sqref="D85">
      <formula1>1</formula1>
      <formula2>4</formula2>
    </dataValidation>
    <dataValidation type="decimal" showErrorMessage="1" errorStyle="stop" errorTitle="Invalid balance value" error="Use a number between 0.0001 and 100000." sqref="D86">
      <formula1>0.0001</formula1>
      <formula2>100000</formula2>
    </dataValidation>
    <dataValidation type="whole" showErrorMessage="1" errorStyle="stop" errorTitle="Invalid balance value" error="Use an integer between 1 and 4." sqref="D88">
      <formula1>1</formula1>
      <formula2>4</formula2>
    </dataValidation>
    <dataValidation type="decimal" showErrorMessage="1" errorStyle="stop" errorTitle="Invalid balance value" error="Use a number between 0.0001 and 100000." sqref="D89">
      <formula1>0.0001</formula1>
      <formula2>100000</formula2>
    </dataValidation>
    <dataValidation type="whole" showErrorMessage="1" errorStyle="stop" errorTitle="Invalid balance value" error="Use an integer between 1 and 4." sqref="D9">
      <formula1>1</formula1>
      <formula2>4</formula2>
    </dataValidation>
    <dataValidation type="whole" showErrorMessage="1" errorStyle="stop" errorTitle="Invalid balance value" error="Use an integer between 1 and 4." sqref="D91">
      <formula1>1</formula1>
      <formula2>4</formula2>
    </dataValidation>
    <dataValidation type="decimal" showErrorMessage="1" errorStyle="stop" errorTitle="Invalid balance value" error="Use a number between 0.0001 and 100000." sqref="D92">
      <formula1>0.0001</formula1>
      <formula2>100000</formula2>
    </dataValidation>
    <dataValidation type="whole" showErrorMessage="1" errorStyle="stop" errorTitle="Invalid balance value" error="Use an integer between 1 and 4." sqref="D94">
      <formula1>1</formula1>
      <formula2>4</formula2>
    </dataValidation>
    <dataValidation type="decimal" showErrorMessage="1" errorStyle="stop" errorTitle="Invalid balance value" error="Use a number between 0.0001 and 100000." sqref="D95">
      <formula1>0.0001</formula1>
      <formula2>100000</formula2>
    </dataValidation>
    <dataValidation type="whole" showErrorMessage="1" errorStyle="stop" errorTitle="Invalid balance value" error="Use an integer between 1 and 4." sqref="D97">
      <formula1>1</formula1>
      <formula2>4</formula2>
    </dataValidation>
    <dataValidation type="decimal" showErrorMessage="1" errorStyle="stop" errorTitle="Invalid balance value" error="Use a number between 0.0001 and 100000." sqref="D98">
      <formula1>0.0001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1033</v>
      </c>
      <c r="B2" t="s">
        <v>1034</v>
      </c>
      <c r="C2" t="s">
        <v>228</v>
      </c>
      <c r="D2" s="3" t="s">
        <v>1035</v>
      </c>
      <c r="E2" t="s">
        <v>81</v>
      </c>
      <c r="F2" t="s">
        <v>31</v>
      </c>
      <c r="G2" t="s">
        <v>31</v>
      </c>
      <c r="H2" t="s">
        <v>31</v>
      </c>
      <c r="I2" t="s">
        <v>31</v>
      </c>
    </row>
    <row r="3" spans="1:9" x14ac:dyDescent="0.25">
      <c r="A3" t="s">
        <v>1036</v>
      </c>
      <c r="B3" t="s">
        <v>1034</v>
      </c>
      <c r="C3" t="s">
        <v>1037</v>
      </c>
      <c r="D3" s="3" t="s">
        <v>1038</v>
      </c>
      <c r="E3" t="s">
        <v>81</v>
      </c>
      <c r="F3" t="s">
        <v>31</v>
      </c>
      <c r="G3" t="s">
        <v>31</v>
      </c>
      <c r="H3" t="s">
        <v>31</v>
      </c>
      <c r="I3" t="s">
        <v>31</v>
      </c>
    </row>
    <row r="4" spans="1:9" x14ac:dyDescent="0.25">
      <c r="A4" t="s">
        <v>1039</v>
      </c>
      <c r="B4" t="s">
        <v>1034</v>
      </c>
      <c r="C4" t="s">
        <v>1040</v>
      </c>
      <c r="D4" s="3" t="s">
        <v>1041</v>
      </c>
      <c r="E4" t="s">
        <v>81</v>
      </c>
      <c r="F4" t="s">
        <v>31</v>
      </c>
      <c r="G4" t="s">
        <v>31</v>
      </c>
      <c r="H4" t="s">
        <v>31</v>
      </c>
      <c r="I4" t="s">
        <v>31</v>
      </c>
    </row>
    <row r="5" spans="1:9" x14ac:dyDescent="0.25">
      <c r="A5" t="s">
        <v>1042</v>
      </c>
      <c r="B5" t="s">
        <v>1034</v>
      </c>
      <c r="C5" t="s">
        <v>1043</v>
      </c>
      <c r="D5" s="3" t="s">
        <v>1044</v>
      </c>
      <c r="E5" t="s">
        <v>81</v>
      </c>
      <c r="F5" t="s">
        <v>31</v>
      </c>
      <c r="G5" t="s">
        <v>31</v>
      </c>
      <c r="H5" t="s">
        <v>31</v>
      </c>
      <c r="I5" t="s">
        <v>31</v>
      </c>
    </row>
    <row r="6" spans="1:9" x14ac:dyDescent="0.25">
      <c r="A6" t="s">
        <v>1045</v>
      </c>
      <c r="B6" t="s">
        <v>1034</v>
      </c>
      <c r="C6" t="s">
        <v>226</v>
      </c>
      <c r="D6" s="2" t="s">
        <v>1034</v>
      </c>
      <c r="E6" t="s">
        <v>81</v>
      </c>
      <c r="F6" t="s">
        <v>31</v>
      </c>
      <c r="G6" t="s">
        <v>31</v>
      </c>
      <c r="H6" t="s">
        <v>31</v>
      </c>
      <c r="I6" t="s">
        <v>32</v>
      </c>
    </row>
    <row r="7" spans="1:9" x14ac:dyDescent="0.25">
      <c r="A7" t="s">
        <v>1046</v>
      </c>
      <c r="B7" t="s">
        <v>1034</v>
      </c>
      <c r="C7" t="s">
        <v>170</v>
      </c>
      <c r="D7" s="3">
        <v>16</v>
      </c>
      <c r="E7" t="s">
        <v>30</v>
      </c>
      <c r="F7" t="s">
        <v>31</v>
      </c>
      <c r="G7">
        <v>0</v>
      </c>
      <c r="H7">
        <v>100000</v>
      </c>
      <c r="I7" t="s">
        <v>31</v>
      </c>
    </row>
    <row r="8" spans="1:9" x14ac:dyDescent="0.25">
      <c r="A8" t="s">
        <v>1047</v>
      </c>
      <c r="B8" t="s">
        <v>1048</v>
      </c>
      <c r="C8" t="s">
        <v>228</v>
      </c>
      <c r="D8" s="3" t="s">
        <v>1049</v>
      </c>
      <c r="E8" t="s">
        <v>81</v>
      </c>
      <c r="F8" t="s">
        <v>31</v>
      </c>
      <c r="G8" t="s">
        <v>31</v>
      </c>
      <c r="H8" t="s">
        <v>31</v>
      </c>
      <c r="I8" t="s">
        <v>31</v>
      </c>
    </row>
    <row r="9" spans="1:9" x14ac:dyDescent="0.25">
      <c r="A9" t="s">
        <v>1050</v>
      </c>
      <c r="B9" t="s">
        <v>1048</v>
      </c>
      <c r="C9" t="s">
        <v>1037</v>
      </c>
      <c r="D9" s="3" t="s">
        <v>1051</v>
      </c>
      <c r="E9" t="s">
        <v>81</v>
      </c>
      <c r="F9" t="s">
        <v>31</v>
      </c>
      <c r="G9" t="s">
        <v>31</v>
      </c>
      <c r="H9" t="s">
        <v>31</v>
      </c>
      <c r="I9" t="s">
        <v>31</v>
      </c>
    </row>
    <row r="10" spans="1:9" x14ac:dyDescent="0.25">
      <c r="A10" t="s">
        <v>1052</v>
      </c>
      <c r="B10" t="s">
        <v>1048</v>
      </c>
      <c r="C10" t="s">
        <v>1040</v>
      </c>
      <c r="D10" s="3" t="s">
        <v>1053</v>
      </c>
      <c r="E10" t="s">
        <v>81</v>
      </c>
      <c r="F10" t="s">
        <v>31</v>
      </c>
      <c r="G10" t="s">
        <v>31</v>
      </c>
      <c r="H10" t="s">
        <v>31</v>
      </c>
      <c r="I10" t="s">
        <v>31</v>
      </c>
    </row>
    <row r="11" spans="1:9" x14ac:dyDescent="0.25">
      <c r="A11" t="s">
        <v>1054</v>
      </c>
      <c r="B11" t="s">
        <v>1048</v>
      </c>
      <c r="C11" t="s">
        <v>1055</v>
      </c>
      <c r="D11" s="3" t="b">
        <v>1</v>
      </c>
      <c r="E11" t="s">
        <v>88</v>
      </c>
      <c r="F11" t="s">
        <v>31</v>
      </c>
      <c r="G11" t="s">
        <v>31</v>
      </c>
      <c r="H11" t="s">
        <v>31</v>
      </c>
      <c r="I11" t="s">
        <v>31</v>
      </c>
    </row>
    <row r="12" spans="1:9" x14ac:dyDescent="0.25">
      <c r="A12" t="s">
        <v>1056</v>
      </c>
      <c r="B12" t="s">
        <v>1048</v>
      </c>
      <c r="C12" t="s">
        <v>1043</v>
      </c>
      <c r="D12" s="3" t="s">
        <v>1057</v>
      </c>
      <c r="E12" t="s">
        <v>81</v>
      </c>
      <c r="F12" t="s">
        <v>31</v>
      </c>
      <c r="G12" t="s">
        <v>31</v>
      </c>
      <c r="H12" t="s">
        <v>31</v>
      </c>
      <c r="I12" t="s">
        <v>31</v>
      </c>
    </row>
    <row r="13" spans="1:9" x14ac:dyDescent="0.25">
      <c r="A13" t="s">
        <v>1058</v>
      </c>
      <c r="B13" t="s">
        <v>1048</v>
      </c>
      <c r="C13" t="s">
        <v>226</v>
      </c>
      <c r="D13" s="2" t="s">
        <v>1048</v>
      </c>
      <c r="E13" t="s">
        <v>81</v>
      </c>
      <c r="F13" t="s">
        <v>31</v>
      </c>
      <c r="G13" t="s">
        <v>31</v>
      </c>
      <c r="H13" t="s">
        <v>31</v>
      </c>
      <c r="I13" t="s">
        <v>32</v>
      </c>
    </row>
    <row r="14" spans="1:9" x14ac:dyDescent="0.25">
      <c r="A14" t="s">
        <v>1059</v>
      </c>
      <c r="B14" t="s">
        <v>1060</v>
      </c>
      <c r="C14" t="s">
        <v>228</v>
      </c>
      <c r="D14" s="3" t="s">
        <v>1061</v>
      </c>
      <c r="E14" t="s">
        <v>81</v>
      </c>
      <c r="F14" t="s">
        <v>31</v>
      </c>
      <c r="G14" t="s">
        <v>31</v>
      </c>
      <c r="H14" t="s">
        <v>31</v>
      </c>
      <c r="I14" t="s">
        <v>31</v>
      </c>
    </row>
    <row r="15" spans="1:9" x14ac:dyDescent="0.25">
      <c r="A15" t="s">
        <v>1062</v>
      </c>
      <c r="B15" t="s">
        <v>1060</v>
      </c>
      <c r="C15" t="s">
        <v>1037</v>
      </c>
      <c r="D15" s="3" t="s">
        <v>1063</v>
      </c>
      <c r="E15" t="s">
        <v>81</v>
      </c>
      <c r="F15" t="s">
        <v>31</v>
      </c>
      <c r="G15" t="s">
        <v>31</v>
      </c>
      <c r="H15" t="s">
        <v>31</v>
      </c>
      <c r="I15" t="s">
        <v>31</v>
      </c>
    </row>
    <row r="16" spans="1:9" x14ac:dyDescent="0.25">
      <c r="A16" t="s">
        <v>1064</v>
      </c>
      <c r="B16" t="s">
        <v>1060</v>
      </c>
      <c r="C16" t="s">
        <v>1040</v>
      </c>
      <c r="D16" s="3" t="s">
        <v>1065</v>
      </c>
      <c r="E16" t="s">
        <v>81</v>
      </c>
      <c r="F16" t="s">
        <v>31</v>
      </c>
      <c r="G16" t="s">
        <v>31</v>
      </c>
      <c r="H16" t="s">
        <v>31</v>
      </c>
      <c r="I16" t="s">
        <v>31</v>
      </c>
    </row>
    <row r="17" spans="1:9" x14ac:dyDescent="0.25">
      <c r="A17" t="s">
        <v>1066</v>
      </c>
      <c r="B17" t="s">
        <v>1060</v>
      </c>
      <c r="C17" t="s">
        <v>1055</v>
      </c>
      <c r="D17" s="3" t="b">
        <v>1</v>
      </c>
      <c r="E17" t="s">
        <v>88</v>
      </c>
      <c r="F17" t="s">
        <v>31</v>
      </c>
      <c r="G17" t="s">
        <v>31</v>
      </c>
      <c r="H17" t="s">
        <v>31</v>
      </c>
      <c r="I17" t="s">
        <v>31</v>
      </c>
    </row>
    <row r="18" spans="1:9" x14ac:dyDescent="0.25">
      <c r="A18" t="s">
        <v>1067</v>
      </c>
      <c r="B18" t="s">
        <v>1060</v>
      </c>
      <c r="C18" t="s">
        <v>1043</v>
      </c>
      <c r="D18" s="3" t="s">
        <v>1068</v>
      </c>
      <c r="E18" t="s">
        <v>81</v>
      </c>
      <c r="F18" t="s">
        <v>31</v>
      </c>
      <c r="G18" t="s">
        <v>31</v>
      </c>
      <c r="H18" t="s">
        <v>31</v>
      </c>
      <c r="I18" t="s">
        <v>31</v>
      </c>
    </row>
    <row r="19" spans="1:9" x14ac:dyDescent="0.25">
      <c r="A19" t="s">
        <v>1069</v>
      </c>
      <c r="B19" t="s">
        <v>1060</v>
      </c>
      <c r="C19" t="s">
        <v>226</v>
      </c>
      <c r="D19" s="2" t="s">
        <v>1060</v>
      </c>
      <c r="E19" t="s">
        <v>81</v>
      </c>
      <c r="F19" t="s">
        <v>31</v>
      </c>
      <c r="G19" t="s">
        <v>31</v>
      </c>
      <c r="H19" t="s">
        <v>31</v>
      </c>
      <c r="I19" t="s">
        <v>32</v>
      </c>
    </row>
    <row r="20" spans="1:9" x14ac:dyDescent="0.25">
      <c r="A20" t="s">
        <v>1070</v>
      </c>
      <c r="B20" t="s">
        <v>1060</v>
      </c>
      <c r="C20" t="s">
        <v>173</v>
      </c>
      <c r="D20" s="3">
        <v>5</v>
      </c>
      <c r="E20" t="s">
        <v>30</v>
      </c>
      <c r="F20" t="s">
        <v>31</v>
      </c>
      <c r="G20">
        <v>0</v>
      </c>
      <c r="H20">
        <v>100000</v>
      </c>
      <c r="I20" t="s">
        <v>31</v>
      </c>
    </row>
    <row r="21" spans="1:9" x14ac:dyDescent="0.25">
      <c r="A21" t="s">
        <v>1071</v>
      </c>
      <c r="B21" t="s">
        <v>1072</v>
      </c>
      <c r="C21" t="s">
        <v>228</v>
      </c>
      <c r="D21" s="3" t="s">
        <v>1073</v>
      </c>
      <c r="E21" t="s">
        <v>81</v>
      </c>
      <c r="F21" t="s">
        <v>31</v>
      </c>
      <c r="G21" t="s">
        <v>31</v>
      </c>
      <c r="H21" t="s">
        <v>31</v>
      </c>
      <c r="I21" t="s">
        <v>31</v>
      </c>
    </row>
    <row r="22" spans="1:9" x14ac:dyDescent="0.25">
      <c r="A22" t="s">
        <v>1074</v>
      </c>
      <c r="B22" t="s">
        <v>1072</v>
      </c>
      <c r="C22" t="s">
        <v>1037</v>
      </c>
      <c r="D22" s="3" t="s">
        <v>1075</v>
      </c>
      <c r="E22" t="s">
        <v>81</v>
      </c>
      <c r="F22" t="s">
        <v>31</v>
      </c>
      <c r="G22" t="s">
        <v>31</v>
      </c>
      <c r="H22" t="s">
        <v>31</v>
      </c>
      <c r="I22" t="s">
        <v>31</v>
      </c>
    </row>
    <row r="23" spans="1:9" x14ac:dyDescent="0.25">
      <c r="A23" t="s">
        <v>1076</v>
      </c>
      <c r="B23" t="s">
        <v>1072</v>
      </c>
      <c r="C23" t="s">
        <v>1040</v>
      </c>
      <c r="D23" s="3" t="s">
        <v>1077</v>
      </c>
      <c r="E23" t="s">
        <v>81</v>
      </c>
      <c r="F23" t="s">
        <v>31</v>
      </c>
      <c r="G23" t="s">
        <v>31</v>
      </c>
      <c r="H23" t="s">
        <v>31</v>
      </c>
      <c r="I23" t="s">
        <v>31</v>
      </c>
    </row>
    <row r="24" spans="1:9" x14ac:dyDescent="0.25">
      <c r="A24" t="s">
        <v>1078</v>
      </c>
      <c r="B24" t="s">
        <v>1072</v>
      </c>
      <c r="C24" t="s">
        <v>1043</v>
      </c>
      <c r="D24" s="3" t="s">
        <v>1079</v>
      </c>
      <c r="E24" t="s">
        <v>81</v>
      </c>
      <c r="F24" t="s">
        <v>31</v>
      </c>
      <c r="G24" t="s">
        <v>31</v>
      </c>
      <c r="H24" t="s">
        <v>31</v>
      </c>
      <c r="I24" t="s">
        <v>31</v>
      </c>
    </row>
    <row r="25" spans="1:9" x14ac:dyDescent="0.25">
      <c r="A25" t="s">
        <v>1080</v>
      </c>
      <c r="B25" t="s">
        <v>1072</v>
      </c>
      <c r="C25" t="s">
        <v>226</v>
      </c>
      <c r="D25" s="2" t="s">
        <v>1072</v>
      </c>
      <c r="E25" t="s">
        <v>81</v>
      </c>
      <c r="F25" t="s">
        <v>31</v>
      </c>
      <c r="G25" t="s">
        <v>31</v>
      </c>
      <c r="H25" t="s">
        <v>31</v>
      </c>
      <c r="I25" t="s">
        <v>32</v>
      </c>
    </row>
    <row r="26" spans="1:9" x14ac:dyDescent="0.25">
      <c r="A26" t="s">
        <v>1081</v>
      </c>
      <c r="B26" t="s">
        <v>1082</v>
      </c>
      <c r="C26" t="s">
        <v>228</v>
      </c>
      <c r="D26" s="3" t="s">
        <v>1083</v>
      </c>
      <c r="E26" t="s">
        <v>81</v>
      </c>
      <c r="F26" t="s">
        <v>31</v>
      </c>
      <c r="G26" t="s">
        <v>31</v>
      </c>
      <c r="H26" t="s">
        <v>31</v>
      </c>
      <c r="I26" t="s">
        <v>31</v>
      </c>
    </row>
    <row r="27" spans="1:9" x14ac:dyDescent="0.25">
      <c r="A27" t="s">
        <v>1084</v>
      </c>
      <c r="B27" t="s">
        <v>1082</v>
      </c>
      <c r="C27" t="s">
        <v>1037</v>
      </c>
      <c r="D27" s="3" t="s">
        <v>1085</v>
      </c>
      <c r="E27" t="s">
        <v>81</v>
      </c>
      <c r="F27" t="s">
        <v>31</v>
      </c>
      <c r="G27" t="s">
        <v>31</v>
      </c>
      <c r="H27" t="s">
        <v>31</v>
      </c>
      <c r="I27" t="s">
        <v>31</v>
      </c>
    </row>
    <row r="28" spans="1:9" x14ac:dyDescent="0.25">
      <c r="A28" t="s">
        <v>1086</v>
      </c>
      <c r="B28" t="s">
        <v>1082</v>
      </c>
      <c r="C28" t="s">
        <v>1040</v>
      </c>
      <c r="D28" s="3" t="s">
        <v>1041</v>
      </c>
      <c r="E28" t="s">
        <v>81</v>
      </c>
      <c r="F28" t="s">
        <v>31</v>
      </c>
      <c r="G28" t="s">
        <v>31</v>
      </c>
      <c r="H28" t="s">
        <v>31</v>
      </c>
      <c r="I28" t="s">
        <v>31</v>
      </c>
    </row>
    <row r="29" spans="1:9" x14ac:dyDescent="0.25">
      <c r="A29" t="s">
        <v>1087</v>
      </c>
      <c r="B29" t="s">
        <v>1082</v>
      </c>
      <c r="C29" t="s">
        <v>1043</v>
      </c>
      <c r="D29" s="3" t="s">
        <v>1044</v>
      </c>
      <c r="E29" t="s">
        <v>81</v>
      </c>
      <c r="F29" t="s">
        <v>31</v>
      </c>
      <c r="G29" t="s">
        <v>31</v>
      </c>
      <c r="H29" t="s">
        <v>31</v>
      </c>
      <c r="I29" t="s">
        <v>31</v>
      </c>
    </row>
    <row r="30" spans="1:9" x14ac:dyDescent="0.25">
      <c r="A30" t="s">
        <v>1088</v>
      </c>
      <c r="B30" t="s">
        <v>1082</v>
      </c>
      <c r="C30" t="s">
        <v>226</v>
      </c>
      <c r="D30" s="2" t="s">
        <v>1082</v>
      </c>
      <c r="E30" t="s">
        <v>81</v>
      </c>
      <c r="F30" t="s">
        <v>31</v>
      </c>
      <c r="G30" t="s">
        <v>31</v>
      </c>
      <c r="H30" t="s">
        <v>31</v>
      </c>
      <c r="I30" t="s">
        <v>32</v>
      </c>
    </row>
    <row r="31" spans="1:9" x14ac:dyDescent="0.25">
      <c r="A31" t="s">
        <v>1089</v>
      </c>
      <c r="B31" t="s">
        <v>1082</v>
      </c>
      <c r="C31" t="s">
        <v>170</v>
      </c>
      <c r="D31" s="3">
        <v>8</v>
      </c>
      <c r="E31" t="s">
        <v>30</v>
      </c>
      <c r="F31" t="s">
        <v>31</v>
      </c>
      <c r="G31">
        <v>0</v>
      </c>
      <c r="H31">
        <v>100000</v>
      </c>
      <c r="I31" t="s">
        <v>31</v>
      </c>
    </row>
    <row r="32" spans="1:9" x14ac:dyDescent="0.25">
      <c r="A32" t="s">
        <v>1090</v>
      </c>
      <c r="B32" t="s">
        <v>1091</v>
      </c>
      <c r="C32" t="s">
        <v>228</v>
      </c>
      <c r="D32" s="3" t="s">
        <v>1092</v>
      </c>
      <c r="E32" t="s">
        <v>81</v>
      </c>
      <c r="F32" t="s">
        <v>31</v>
      </c>
      <c r="G32" t="s">
        <v>31</v>
      </c>
      <c r="H32" t="s">
        <v>31</v>
      </c>
      <c r="I32" t="s">
        <v>31</v>
      </c>
    </row>
    <row r="33" spans="1:9" x14ac:dyDescent="0.25">
      <c r="A33" t="s">
        <v>1093</v>
      </c>
      <c r="B33" t="s">
        <v>1091</v>
      </c>
      <c r="C33" t="s">
        <v>1037</v>
      </c>
      <c r="D33" s="3" t="s">
        <v>1094</v>
      </c>
      <c r="E33" t="s">
        <v>81</v>
      </c>
      <c r="F33" t="s">
        <v>31</v>
      </c>
      <c r="G33" t="s">
        <v>31</v>
      </c>
      <c r="H33" t="s">
        <v>31</v>
      </c>
      <c r="I33" t="s">
        <v>31</v>
      </c>
    </row>
    <row r="34" spans="1:9" x14ac:dyDescent="0.25">
      <c r="A34" t="s">
        <v>1095</v>
      </c>
      <c r="B34" t="s">
        <v>1091</v>
      </c>
      <c r="C34" t="s">
        <v>1040</v>
      </c>
      <c r="D34" s="3" t="s">
        <v>1096</v>
      </c>
      <c r="E34" t="s">
        <v>81</v>
      </c>
      <c r="F34" t="s">
        <v>31</v>
      </c>
      <c r="G34" t="s">
        <v>31</v>
      </c>
      <c r="H34" t="s">
        <v>31</v>
      </c>
      <c r="I34" t="s">
        <v>31</v>
      </c>
    </row>
    <row r="35" spans="1:9" x14ac:dyDescent="0.25">
      <c r="A35" t="s">
        <v>1097</v>
      </c>
      <c r="B35" t="s">
        <v>1091</v>
      </c>
      <c r="C35" t="s">
        <v>1043</v>
      </c>
      <c r="D35" s="3" t="s">
        <v>1098</v>
      </c>
      <c r="E35" t="s">
        <v>81</v>
      </c>
      <c r="F35" t="s">
        <v>31</v>
      </c>
      <c r="G35" t="s">
        <v>31</v>
      </c>
      <c r="H35" t="s">
        <v>31</v>
      </c>
      <c r="I35" t="s">
        <v>31</v>
      </c>
    </row>
    <row r="36" spans="1:9" x14ac:dyDescent="0.25">
      <c r="A36" t="s">
        <v>1099</v>
      </c>
      <c r="B36" t="s">
        <v>1091</v>
      </c>
      <c r="C36" t="s">
        <v>226</v>
      </c>
      <c r="D36" s="2" t="s">
        <v>1091</v>
      </c>
      <c r="E36" t="s">
        <v>81</v>
      </c>
      <c r="F36" t="s">
        <v>31</v>
      </c>
      <c r="G36" t="s">
        <v>31</v>
      </c>
      <c r="H36" t="s">
        <v>31</v>
      </c>
      <c r="I36" t="s">
        <v>32</v>
      </c>
    </row>
    <row r="37" spans="1:9" x14ac:dyDescent="0.25">
      <c r="A37" t="s">
        <v>1100</v>
      </c>
      <c r="B37" t="s">
        <v>1091</v>
      </c>
      <c r="C37" t="s">
        <v>170</v>
      </c>
      <c r="D37" s="3">
        <v>6</v>
      </c>
      <c r="E37" t="s">
        <v>30</v>
      </c>
      <c r="F37" t="s">
        <v>31</v>
      </c>
      <c r="G37">
        <v>0</v>
      </c>
      <c r="H37">
        <v>100000</v>
      </c>
      <c r="I37" t="s">
        <v>31</v>
      </c>
    </row>
    <row r="38" spans="1:9" x14ac:dyDescent="0.25">
      <c r="A38" t="s">
        <v>1101</v>
      </c>
      <c r="B38" t="s">
        <v>1102</v>
      </c>
      <c r="C38" t="s">
        <v>228</v>
      </c>
      <c r="D38" s="3" t="s">
        <v>1103</v>
      </c>
      <c r="E38" t="s">
        <v>81</v>
      </c>
      <c r="F38" t="s">
        <v>31</v>
      </c>
      <c r="G38" t="s">
        <v>31</v>
      </c>
      <c r="H38" t="s">
        <v>31</v>
      </c>
      <c r="I38" t="s">
        <v>31</v>
      </c>
    </row>
    <row r="39" spans="1:9" x14ac:dyDescent="0.25">
      <c r="A39" t="s">
        <v>1104</v>
      </c>
      <c r="B39" t="s">
        <v>1102</v>
      </c>
      <c r="C39" t="s">
        <v>1037</v>
      </c>
      <c r="D39" s="3" t="s">
        <v>189</v>
      </c>
      <c r="E39" t="s">
        <v>81</v>
      </c>
      <c r="F39" t="s">
        <v>31</v>
      </c>
      <c r="G39" t="s">
        <v>31</v>
      </c>
      <c r="H39" t="s">
        <v>31</v>
      </c>
      <c r="I39" t="s">
        <v>31</v>
      </c>
    </row>
    <row r="40" spans="1:9" x14ac:dyDescent="0.25">
      <c r="A40" t="s">
        <v>1105</v>
      </c>
      <c r="B40" t="s">
        <v>1102</v>
      </c>
      <c r="C40" t="s">
        <v>1040</v>
      </c>
      <c r="D40" s="3" t="s">
        <v>1106</v>
      </c>
      <c r="E40" t="s">
        <v>81</v>
      </c>
      <c r="F40" t="s">
        <v>31</v>
      </c>
      <c r="G40" t="s">
        <v>31</v>
      </c>
      <c r="H40" t="s">
        <v>31</v>
      </c>
      <c r="I40" t="s">
        <v>31</v>
      </c>
    </row>
    <row r="41" spans="1:9" x14ac:dyDescent="0.25">
      <c r="A41" t="s">
        <v>1107</v>
      </c>
      <c r="B41" t="s">
        <v>1102</v>
      </c>
      <c r="C41" t="s">
        <v>1055</v>
      </c>
      <c r="D41" s="3" t="b">
        <v>1</v>
      </c>
      <c r="E41" t="s">
        <v>88</v>
      </c>
      <c r="F41" t="s">
        <v>31</v>
      </c>
      <c r="G41" t="s">
        <v>31</v>
      </c>
      <c r="H41" t="s">
        <v>31</v>
      </c>
      <c r="I41" t="s">
        <v>31</v>
      </c>
    </row>
    <row r="42" spans="1:9" x14ac:dyDescent="0.25">
      <c r="A42" t="s">
        <v>1108</v>
      </c>
      <c r="B42" t="s">
        <v>1102</v>
      </c>
      <c r="C42" t="s">
        <v>1043</v>
      </c>
      <c r="D42" s="3" t="s">
        <v>1109</v>
      </c>
      <c r="E42" t="s">
        <v>81</v>
      </c>
      <c r="F42" t="s">
        <v>31</v>
      </c>
      <c r="G42" t="s">
        <v>31</v>
      </c>
      <c r="H42" t="s">
        <v>31</v>
      </c>
      <c r="I42" t="s">
        <v>31</v>
      </c>
    </row>
    <row r="43" spans="1:9" x14ac:dyDescent="0.25">
      <c r="A43" t="s">
        <v>1110</v>
      </c>
      <c r="B43" t="s">
        <v>1102</v>
      </c>
      <c r="C43" t="s">
        <v>226</v>
      </c>
      <c r="D43" s="2" t="s">
        <v>1102</v>
      </c>
      <c r="E43" t="s">
        <v>81</v>
      </c>
      <c r="F43" t="s">
        <v>31</v>
      </c>
      <c r="G43" t="s">
        <v>31</v>
      </c>
      <c r="H43" t="s">
        <v>31</v>
      </c>
      <c r="I43" t="s">
        <v>32</v>
      </c>
    </row>
    <row r="44" spans="1:9" x14ac:dyDescent="0.25">
      <c r="A44" t="s">
        <v>1111</v>
      </c>
      <c r="B44" t="s">
        <v>1102</v>
      </c>
      <c r="C44" t="s">
        <v>167</v>
      </c>
      <c r="D44" s="3">
        <v>2</v>
      </c>
      <c r="E44" t="s">
        <v>30</v>
      </c>
      <c r="F44" t="s">
        <v>31</v>
      </c>
      <c r="G44">
        <v>0</v>
      </c>
      <c r="H44">
        <v>100000</v>
      </c>
      <c r="I44" t="s">
        <v>31</v>
      </c>
    </row>
    <row r="45" spans="1:9" x14ac:dyDescent="0.25">
      <c r="A45" t="s">
        <v>1112</v>
      </c>
      <c r="B45" t="s">
        <v>1113</v>
      </c>
      <c r="C45" t="s">
        <v>228</v>
      </c>
      <c r="D45" s="3" t="s">
        <v>1114</v>
      </c>
      <c r="E45" t="s">
        <v>81</v>
      </c>
      <c r="F45" t="s">
        <v>31</v>
      </c>
      <c r="G45" t="s">
        <v>31</v>
      </c>
      <c r="H45" t="s">
        <v>31</v>
      </c>
      <c r="I45" t="s">
        <v>31</v>
      </c>
    </row>
    <row r="46" spans="1:9" x14ac:dyDescent="0.25">
      <c r="A46" t="s">
        <v>1115</v>
      </c>
      <c r="B46" t="s">
        <v>1113</v>
      </c>
      <c r="C46" t="s">
        <v>1037</v>
      </c>
      <c r="D46" s="3" t="s">
        <v>1116</v>
      </c>
      <c r="E46" t="s">
        <v>81</v>
      </c>
      <c r="F46" t="s">
        <v>31</v>
      </c>
      <c r="G46" t="s">
        <v>31</v>
      </c>
      <c r="H46" t="s">
        <v>31</v>
      </c>
      <c r="I46" t="s">
        <v>31</v>
      </c>
    </row>
    <row r="47" spans="1:9" x14ac:dyDescent="0.25">
      <c r="A47" t="s">
        <v>1117</v>
      </c>
      <c r="B47" t="s">
        <v>1113</v>
      </c>
      <c r="C47" t="s">
        <v>1040</v>
      </c>
      <c r="D47" s="3" t="s">
        <v>1118</v>
      </c>
      <c r="E47" t="s">
        <v>81</v>
      </c>
      <c r="F47" t="s">
        <v>31</v>
      </c>
      <c r="G47" t="s">
        <v>31</v>
      </c>
      <c r="H47" t="s">
        <v>31</v>
      </c>
      <c r="I47" t="s">
        <v>31</v>
      </c>
    </row>
    <row r="48" spans="1:9" x14ac:dyDescent="0.25">
      <c r="A48" t="s">
        <v>1119</v>
      </c>
      <c r="B48" t="s">
        <v>1113</v>
      </c>
      <c r="C48" t="s">
        <v>1055</v>
      </c>
      <c r="D48" s="3" t="b">
        <v>1</v>
      </c>
      <c r="E48" t="s">
        <v>88</v>
      </c>
      <c r="F48" t="s">
        <v>31</v>
      </c>
      <c r="G48" t="s">
        <v>31</v>
      </c>
      <c r="H48" t="s">
        <v>31</v>
      </c>
      <c r="I48" t="s">
        <v>31</v>
      </c>
    </row>
    <row r="49" spans="1:9" x14ac:dyDescent="0.25">
      <c r="A49" t="s">
        <v>1120</v>
      </c>
      <c r="B49" t="s">
        <v>1113</v>
      </c>
      <c r="C49" t="s">
        <v>1043</v>
      </c>
      <c r="D49" s="3" t="s">
        <v>1121</v>
      </c>
      <c r="E49" t="s">
        <v>81</v>
      </c>
      <c r="F49" t="s">
        <v>31</v>
      </c>
      <c r="G49" t="s">
        <v>31</v>
      </c>
      <c r="H49" t="s">
        <v>31</v>
      </c>
      <c r="I49" t="s">
        <v>31</v>
      </c>
    </row>
    <row r="50" spans="1:9" x14ac:dyDescent="0.25">
      <c r="A50" t="s">
        <v>1122</v>
      </c>
      <c r="B50" t="s">
        <v>1113</v>
      </c>
      <c r="C50" t="s">
        <v>226</v>
      </c>
      <c r="D50" s="2" t="s">
        <v>1113</v>
      </c>
      <c r="E50" t="s">
        <v>81</v>
      </c>
      <c r="F50" t="s">
        <v>31</v>
      </c>
      <c r="G50" t="s">
        <v>31</v>
      </c>
      <c r="H50" t="s">
        <v>31</v>
      </c>
      <c r="I50" t="s">
        <v>32</v>
      </c>
    </row>
    <row r="51" spans="1:9" x14ac:dyDescent="0.25">
      <c r="A51" t="s">
        <v>1123</v>
      </c>
      <c r="B51" t="s">
        <v>1113</v>
      </c>
      <c r="C51" t="s">
        <v>192</v>
      </c>
      <c r="D51" s="3">
        <v>2</v>
      </c>
      <c r="E51" t="s">
        <v>30</v>
      </c>
      <c r="F51" t="s">
        <v>31</v>
      </c>
      <c r="G51">
        <v>0</v>
      </c>
      <c r="H51">
        <v>100000</v>
      </c>
      <c r="I51" t="s">
        <v>31</v>
      </c>
    </row>
    <row r="52" spans="1:9" x14ac:dyDescent="0.25">
      <c r="A52" t="s">
        <v>1124</v>
      </c>
      <c r="B52" t="s">
        <v>1125</v>
      </c>
      <c r="C52" t="s">
        <v>228</v>
      </c>
      <c r="D52" s="3" t="s">
        <v>1126</v>
      </c>
      <c r="E52" t="s">
        <v>81</v>
      </c>
      <c r="F52" t="s">
        <v>31</v>
      </c>
      <c r="G52" t="s">
        <v>31</v>
      </c>
      <c r="H52" t="s">
        <v>31</v>
      </c>
      <c r="I52" t="s">
        <v>31</v>
      </c>
    </row>
    <row r="53" spans="1:9" x14ac:dyDescent="0.25">
      <c r="A53" t="s">
        <v>1127</v>
      </c>
      <c r="B53" t="s">
        <v>1125</v>
      </c>
      <c r="C53" t="s">
        <v>1037</v>
      </c>
      <c r="D53" s="3" t="s">
        <v>1128</v>
      </c>
      <c r="E53" t="s">
        <v>81</v>
      </c>
      <c r="F53" t="s">
        <v>31</v>
      </c>
      <c r="G53" t="s">
        <v>31</v>
      </c>
      <c r="H53" t="s">
        <v>31</v>
      </c>
      <c r="I53" t="s">
        <v>31</v>
      </c>
    </row>
    <row r="54" spans="1:9" x14ac:dyDescent="0.25">
      <c r="A54" t="s">
        <v>1129</v>
      </c>
      <c r="B54" t="s">
        <v>1125</v>
      </c>
      <c r="C54" t="s">
        <v>1040</v>
      </c>
      <c r="D54" s="3" t="s">
        <v>1130</v>
      </c>
      <c r="E54" t="s">
        <v>81</v>
      </c>
      <c r="F54" t="s">
        <v>31</v>
      </c>
      <c r="G54" t="s">
        <v>31</v>
      </c>
      <c r="H54" t="s">
        <v>31</v>
      </c>
      <c r="I54" t="s">
        <v>31</v>
      </c>
    </row>
    <row r="55" spans="1:9" x14ac:dyDescent="0.25">
      <c r="A55" t="s">
        <v>1131</v>
      </c>
      <c r="B55" t="s">
        <v>1125</v>
      </c>
      <c r="C55" t="s">
        <v>1055</v>
      </c>
      <c r="D55" s="3" t="b">
        <v>1</v>
      </c>
      <c r="E55" t="s">
        <v>88</v>
      </c>
      <c r="F55" t="s">
        <v>31</v>
      </c>
      <c r="G55" t="s">
        <v>31</v>
      </c>
      <c r="H55" t="s">
        <v>31</v>
      </c>
      <c r="I55" t="s">
        <v>31</v>
      </c>
    </row>
    <row r="56" spans="1:9" x14ac:dyDescent="0.25">
      <c r="A56" t="s">
        <v>1132</v>
      </c>
      <c r="B56" t="s">
        <v>1125</v>
      </c>
      <c r="C56" t="s">
        <v>1043</v>
      </c>
      <c r="D56" s="3" t="s">
        <v>1133</v>
      </c>
      <c r="E56" t="s">
        <v>81</v>
      </c>
      <c r="F56" t="s">
        <v>31</v>
      </c>
      <c r="G56" t="s">
        <v>31</v>
      </c>
      <c r="H56" t="s">
        <v>31</v>
      </c>
      <c r="I56" t="s">
        <v>31</v>
      </c>
    </row>
    <row r="57" spans="1:9" x14ac:dyDescent="0.25">
      <c r="A57" t="s">
        <v>1134</v>
      </c>
      <c r="B57" t="s">
        <v>1125</v>
      </c>
      <c r="C57" t="s">
        <v>226</v>
      </c>
      <c r="D57" s="2" t="s">
        <v>1125</v>
      </c>
      <c r="E57" t="s">
        <v>81</v>
      </c>
      <c r="F57" t="s">
        <v>31</v>
      </c>
      <c r="G57" t="s">
        <v>31</v>
      </c>
      <c r="H57" t="s">
        <v>31</v>
      </c>
      <c r="I57" t="s">
        <v>32</v>
      </c>
    </row>
    <row r="58" spans="1:9" x14ac:dyDescent="0.25">
      <c r="A58" t="s">
        <v>1135</v>
      </c>
      <c r="B58" t="s">
        <v>1125</v>
      </c>
      <c r="C58" t="s">
        <v>176</v>
      </c>
      <c r="D58" s="3">
        <v>2</v>
      </c>
      <c r="E58" t="s">
        <v>30</v>
      </c>
      <c r="F58" t="s">
        <v>31</v>
      </c>
      <c r="G58">
        <v>0</v>
      </c>
      <c r="H58">
        <v>100000</v>
      </c>
      <c r="I58" t="s">
        <v>31</v>
      </c>
    </row>
    <row r="59" spans="1:9" x14ac:dyDescent="0.25">
      <c r="A59" t="s">
        <v>1136</v>
      </c>
      <c r="B59" t="s">
        <v>1137</v>
      </c>
      <c r="C59" t="s">
        <v>228</v>
      </c>
      <c r="D59" s="3" t="s">
        <v>1138</v>
      </c>
      <c r="E59" t="s">
        <v>81</v>
      </c>
      <c r="F59" t="s">
        <v>31</v>
      </c>
      <c r="G59" t="s">
        <v>31</v>
      </c>
      <c r="H59" t="s">
        <v>31</v>
      </c>
      <c r="I59" t="s">
        <v>31</v>
      </c>
    </row>
    <row r="60" spans="1:9" x14ac:dyDescent="0.25">
      <c r="A60" t="s">
        <v>1139</v>
      </c>
      <c r="B60" t="s">
        <v>1137</v>
      </c>
      <c r="C60" t="s">
        <v>1037</v>
      </c>
      <c r="D60" s="3" t="s">
        <v>189</v>
      </c>
      <c r="E60" t="s">
        <v>81</v>
      </c>
      <c r="F60" t="s">
        <v>31</v>
      </c>
      <c r="G60" t="s">
        <v>31</v>
      </c>
      <c r="H60" t="s">
        <v>31</v>
      </c>
      <c r="I60" t="s">
        <v>31</v>
      </c>
    </row>
    <row r="61" spans="1:9" x14ac:dyDescent="0.25">
      <c r="A61" t="s">
        <v>1140</v>
      </c>
      <c r="B61" t="s">
        <v>1137</v>
      </c>
      <c r="C61" t="s">
        <v>1040</v>
      </c>
      <c r="D61" s="3" t="s">
        <v>1141</v>
      </c>
      <c r="E61" t="s">
        <v>81</v>
      </c>
      <c r="F61" t="s">
        <v>31</v>
      </c>
      <c r="G61" t="s">
        <v>31</v>
      </c>
      <c r="H61" t="s">
        <v>31</v>
      </c>
      <c r="I61" t="s">
        <v>31</v>
      </c>
    </row>
    <row r="62" spans="1:9" x14ac:dyDescent="0.25">
      <c r="A62" t="s">
        <v>1142</v>
      </c>
      <c r="B62" t="s">
        <v>1137</v>
      </c>
      <c r="C62" t="s">
        <v>1055</v>
      </c>
      <c r="D62" s="3" t="b">
        <v>1</v>
      </c>
      <c r="E62" t="s">
        <v>88</v>
      </c>
      <c r="F62" t="s">
        <v>31</v>
      </c>
      <c r="G62" t="s">
        <v>31</v>
      </c>
      <c r="H62" t="s">
        <v>31</v>
      </c>
      <c r="I62" t="s">
        <v>31</v>
      </c>
    </row>
    <row r="63" spans="1:9" x14ac:dyDescent="0.25">
      <c r="A63" t="s">
        <v>1143</v>
      </c>
      <c r="B63" t="s">
        <v>1137</v>
      </c>
      <c r="C63" t="s">
        <v>1043</v>
      </c>
      <c r="D63" s="3" t="s">
        <v>1144</v>
      </c>
      <c r="E63" t="s">
        <v>81</v>
      </c>
      <c r="F63" t="s">
        <v>31</v>
      </c>
      <c r="G63" t="s">
        <v>31</v>
      </c>
      <c r="H63" t="s">
        <v>31</v>
      </c>
      <c r="I63" t="s">
        <v>31</v>
      </c>
    </row>
    <row r="64" spans="1:9" x14ac:dyDescent="0.25">
      <c r="A64" t="s">
        <v>1145</v>
      </c>
      <c r="B64" t="s">
        <v>1137</v>
      </c>
      <c r="C64" t="s">
        <v>226</v>
      </c>
      <c r="D64" s="2" t="s">
        <v>1137</v>
      </c>
      <c r="E64" t="s">
        <v>81</v>
      </c>
      <c r="F64" t="s">
        <v>31</v>
      </c>
      <c r="G64" t="s">
        <v>31</v>
      </c>
      <c r="H64" t="s">
        <v>31</v>
      </c>
      <c r="I64" t="s">
        <v>32</v>
      </c>
    </row>
    <row r="65" spans="1:9" x14ac:dyDescent="0.25">
      <c r="A65" t="s">
        <v>1146</v>
      </c>
      <c r="B65" t="s">
        <v>1137</v>
      </c>
      <c r="C65" t="s">
        <v>1147</v>
      </c>
      <c r="D65" s="3">
        <v>8</v>
      </c>
      <c r="E65" t="s">
        <v>30</v>
      </c>
      <c r="F65" t="s">
        <v>31</v>
      </c>
      <c r="G65">
        <v>0</v>
      </c>
      <c r="H65">
        <v>100000</v>
      </c>
      <c r="I65" t="s">
        <v>31</v>
      </c>
    </row>
    <row r="66" spans="1:9" x14ac:dyDescent="0.25">
      <c r="A66" t="s">
        <v>1148</v>
      </c>
      <c r="B66" t="s">
        <v>1137</v>
      </c>
      <c r="C66" t="s">
        <v>1149</v>
      </c>
      <c r="D66" s="3">
        <v>2</v>
      </c>
      <c r="E66" t="s">
        <v>30</v>
      </c>
      <c r="F66" t="s">
        <v>31</v>
      </c>
      <c r="G66">
        <v>1</v>
      </c>
      <c r="H66">
        <v>10000</v>
      </c>
      <c r="I66" t="s">
        <v>31</v>
      </c>
    </row>
    <row r="67" spans="1:9" x14ac:dyDescent="0.25">
      <c r="A67" t="s">
        <v>1150</v>
      </c>
      <c r="B67" t="s">
        <v>1151</v>
      </c>
      <c r="C67" t="s">
        <v>228</v>
      </c>
      <c r="D67" s="3" t="s">
        <v>1152</v>
      </c>
      <c r="E67" t="s">
        <v>81</v>
      </c>
      <c r="F67" t="s">
        <v>31</v>
      </c>
      <c r="G67" t="s">
        <v>31</v>
      </c>
      <c r="H67" t="s">
        <v>31</v>
      </c>
      <c r="I67" t="s">
        <v>31</v>
      </c>
    </row>
    <row r="68" spans="1:9" x14ac:dyDescent="0.25">
      <c r="A68" t="s">
        <v>1153</v>
      </c>
      <c r="B68" t="s">
        <v>1151</v>
      </c>
      <c r="C68" t="s">
        <v>1037</v>
      </c>
      <c r="D68" s="3" t="s">
        <v>164</v>
      </c>
      <c r="E68" t="s">
        <v>81</v>
      </c>
      <c r="F68" t="s">
        <v>31</v>
      </c>
      <c r="G68" t="s">
        <v>31</v>
      </c>
      <c r="H68" t="s">
        <v>31</v>
      </c>
      <c r="I68" t="s">
        <v>31</v>
      </c>
    </row>
    <row r="69" spans="1:9" x14ac:dyDescent="0.25">
      <c r="A69" t="s">
        <v>1154</v>
      </c>
      <c r="B69" t="s">
        <v>1151</v>
      </c>
      <c r="C69" t="s">
        <v>1040</v>
      </c>
      <c r="D69" s="3" t="s">
        <v>1155</v>
      </c>
      <c r="E69" t="s">
        <v>81</v>
      </c>
      <c r="F69" t="s">
        <v>31</v>
      </c>
      <c r="G69" t="s">
        <v>31</v>
      </c>
      <c r="H69" t="s">
        <v>31</v>
      </c>
      <c r="I69" t="s">
        <v>31</v>
      </c>
    </row>
    <row r="70" spans="1:9" x14ac:dyDescent="0.25">
      <c r="A70" t="s">
        <v>1156</v>
      </c>
      <c r="B70" t="s">
        <v>1151</v>
      </c>
      <c r="C70" t="s">
        <v>1055</v>
      </c>
      <c r="D70" s="3" t="b">
        <v>1</v>
      </c>
      <c r="E70" t="s">
        <v>88</v>
      </c>
      <c r="F70" t="s">
        <v>31</v>
      </c>
      <c r="G70" t="s">
        <v>31</v>
      </c>
      <c r="H70" t="s">
        <v>31</v>
      </c>
      <c r="I70" t="s">
        <v>31</v>
      </c>
    </row>
    <row r="71" spans="1:9" x14ac:dyDescent="0.25">
      <c r="A71" t="s">
        <v>1157</v>
      </c>
      <c r="B71" t="s">
        <v>1151</v>
      </c>
      <c r="C71" t="s">
        <v>1043</v>
      </c>
      <c r="D71" s="3" t="s">
        <v>1158</v>
      </c>
      <c r="E71" t="s">
        <v>81</v>
      </c>
      <c r="F71" t="s">
        <v>31</v>
      </c>
      <c r="G71" t="s">
        <v>31</v>
      </c>
      <c r="H71" t="s">
        <v>31</v>
      </c>
      <c r="I71" t="s">
        <v>31</v>
      </c>
    </row>
    <row r="72" spans="1:9" x14ac:dyDescent="0.25">
      <c r="A72" t="s">
        <v>1159</v>
      </c>
      <c r="B72" t="s">
        <v>1151</v>
      </c>
      <c r="C72" t="s">
        <v>226</v>
      </c>
      <c r="D72" s="2" t="s">
        <v>1151</v>
      </c>
      <c r="E72" t="s">
        <v>81</v>
      </c>
      <c r="F72" t="s">
        <v>31</v>
      </c>
      <c r="G72" t="s">
        <v>31</v>
      </c>
      <c r="H72" t="s">
        <v>31</v>
      </c>
      <c r="I72" t="s">
        <v>32</v>
      </c>
    </row>
    <row r="73" spans="1:9" x14ac:dyDescent="0.25">
      <c r="A73" t="s">
        <v>1160</v>
      </c>
      <c r="B73" t="s">
        <v>1151</v>
      </c>
      <c r="C73" t="s">
        <v>164</v>
      </c>
      <c r="D73" s="3">
        <v>4</v>
      </c>
      <c r="E73" t="s">
        <v>30</v>
      </c>
      <c r="F73" t="s">
        <v>31</v>
      </c>
      <c r="G73">
        <v>0</v>
      </c>
      <c r="H73">
        <v>100000</v>
      </c>
      <c r="I73" t="s">
        <v>31</v>
      </c>
    </row>
    <row r="74" spans="1:9" x14ac:dyDescent="0.25">
      <c r="A74" t="s">
        <v>1161</v>
      </c>
      <c r="B74" t="s">
        <v>1162</v>
      </c>
      <c r="C74" t="s">
        <v>228</v>
      </c>
      <c r="D74" s="3" t="s">
        <v>1163</v>
      </c>
      <c r="E74" t="s">
        <v>81</v>
      </c>
      <c r="F74" t="s">
        <v>31</v>
      </c>
      <c r="G74" t="s">
        <v>31</v>
      </c>
      <c r="H74" t="s">
        <v>31</v>
      </c>
      <c r="I74" t="s">
        <v>31</v>
      </c>
    </row>
    <row r="75" spans="1:9" x14ac:dyDescent="0.25">
      <c r="A75" t="s">
        <v>1164</v>
      </c>
      <c r="B75" t="s">
        <v>1162</v>
      </c>
      <c r="C75" t="s">
        <v>1037</v>
      </c>
      <c r="D75" s="3" t="s">
        <v>1165</v>
      </c>
      <c r="E75" t="s">
        <v>81</v>
      </c>
      <c r="F75" t="s">
        <v>31</v>
      </c>
      <c r="G75" t="s">
        <v>31</v>
      </c>
      <c r="H75" t="s">
        <v>31</v>
      </c>
      <c r="I75" t="s">
        <v>31</v>
      </c>
    </row>
    <row r="76" spans="1:9" x14ac:dyDescent="0.25">
      <c r="A76" t="s">
        <v>1166</v>
      </c>
      <c r="B76" t="s">
        <v>1162</v>
      </c>
      <c r="C76" t="s">
        <v>1040</v>
      </c>
      <c r="D76" s="3" t="s">
        <v>1167</v>
      </c>
      <c r="E76" t="s">
        <v>81</v>
      </c>
      <c r="F76" t="s">
        <v>31</v>
      </c>
      <c r="G76" t="s">
        <v>31</v>
      </c>
      <c r="H76" t="s">
        <v>31</v>
      </c>
      <c r="I76" t="s">
        <v>31</v>
      </c>
    </row>
    <row r="77" spans="1:9" x14ac:dyDescent="0.25">
      <c r="A77" t="s">
        <v>1168</v>
      </c>
      <c r="B77" t="s">
        <v>1162</v>
      </c>
      <c r="C77" t="s">
        <v>1169</v>
      </c>
      <c r="D77" s="3" t="b">
        <v>1</v>
      </c>
      <c r="E77" t="s">
        <v>88</v>
      </c>
      <c r="F77" t="s">
        <v>31</v>
      </c>
      <c r="G77" t="s">
        <v>31</v>
      </c>
      <c r="H77" t="s">
        <v>31</v>
      </c>
      <c r="I77" t="s">
        <v>31</v>
      </c>
    </row>
    <row r="78" spans="1:9" x14ac:dyDescent="0.25">
      <c r="A78" t="s">
        <v>1170</v>
      </c>
      <c r="B78" t="s">
        <v>1162</v>
      </c>
      <c r="C78" t="s">
        <v>1043</v>
      </c>
      <c r="D78" s="3" t="s">
        <v>1171</v>
      </c>
      <c r="E78" t="s">
        <v>81</v>
      </c>
      <c r="F78" t="s">
        <v>31</v>
      </c>
      <c r="G78" t="s">
        <v>31</v>
      </c>
      <c r="H78" t="s">
        <v>31</v>
      </c>
      <c r="I78" t="s">
        <v>31</v>
      </c>
    </row>
    <row r="79" spans="1:9" x14ac:dyDescent="0.25">
      <c r="A79" t="s">
        <v>1172</v>
      </c>
      <c r="B79" t="s">
        <v>1162</v>
      </c>
      <c r="C79" t="s">
        <v>226</v>
      </c>
      <c r="D79" s="2" t="s">
        <v>1162</v>
      </c>
      <c r="E79" t="s">
        <v>81</v>
      </c>
      <c r="F79" t="s">
        <v>31</v>
      </c>
      <c r="G79" t="s">
        <v>31</v>
      </c>
      <c r="H79" t="s">
        <v>31</v>
      </c>
      <c r="I79" t="s">
        <v>32</v>
      </c>
    </row>
    <row r="80" spans="1:9" x14ac:dyDescent="0.25">
      <c r="A80" t="s">
        <v>1173</v>
      </c>
      <c r="B80" t="s">
        <v>1174</v>
      </c>
      <c r="C80" t="s">
        <v>228</v>
      </c>
      <c r="D80" s="3" t="s">
        <v>1175</v>
      </c>
      <c r="E80" t="s">
        <v>81</v>
      </c>
      <c r="F80" t="s">
        <v>31</v>
      </c>
      <c r="G80" t="s">
        <v>31</v>
      </c>
      <c r="H80" t="s">
        <v>31</v>
      </c>
      <c r="I80" t="s">
        <v>31</v>
      </c>
    </row>
    <row r="81" spans="1:9" x14ac:dyDescent="0.25">
      <c r="A81" t="s">
        <v>1176</v>
      </c>
      <c r="B81" t="s">
        <v>1174</v>
      </c>
      <c r="C81" t="s">
        <v>1037</v>
      </c>
      <c r="D81" s="3" t="s">
        <v>1177</v>
      </c>
      <c r="E81" t="s">
        <v>81</v>
      </c>
      <c r="F81" t="s">
        <v>31</v>
      </c>
      <c r="G81" t="s">
        <v>31</v>
      </c>
      <c r="H81" t="s">
        <v>31</v>
      </c>
      <c r="I81" t="s">
        <v>31</v>
      </c>
    </row>
    <row r="82" spans="1:9" x14ac:dyDescent="0.25">
      <c r="A82" t="s">
        <v>1178</v>
      </c>
      <c r="B82" t="s">
        <v>1174</v>
      </c>
      <c r="C82" t="s">
        <v>1040</v>
      </c>
      <c r="D82" s="3" t="s">
        <v>1179</v>
      </c>
      <c r="E82" t="s">
        <v>81</v>
      </c>
      <c r="F82" t="s">
        <v>31</v>
      </c>
      <c r="G82" t="s">
        <v>31</v>
      </c>
      <c r="H82" t="s">
        <v>31</v>
      </c>
      <c r="I82" t="s">
        <v>31</v>
      </c>
    </row>
    <row r="83" spans="1:9" x14ac:dyDescent="0.25">
      <c r="A83" t="s">
        <v>1180</v>
      </c>
      <c r="B83" t="s">
        <v>1174</v>
      </c>
      <c r="C83" t="s">
        <v>1043</v>
      </c>
      <c r="D83" s="3" t="s">
        <v>1181</v>
      </c>
      <c r="E83" t="s">
        <v>81</v>
      </c>
      <c r="F83" t="s">
        <v>31</v>
      </c>
      <c r="G83" t="s">
        <v>31</v>
      </c>
      <c r="H83" t="s">
        <v>31</v>
      </c>
      <c r="I83" t="s">
        <v>31</v>
      </c>
    </row>
    <row r="84" spans="1:9" x14ac:dyDescent="0.25">
      <c r="A84" t="s">
        <v>1182</v>
      </c>
      <c r="B84" t="s">
        <v>1174</v>
      </c>
      <c r="C84" t="s">
        <v>226</v>
      </c>
      <c r="D84" s="2" t="s">
        <v>1174</v>
      </c>
      <c r="E84" t="s">
        <v>81</v>
      </c>
      <c r="F84" t="s">
        <v>31</v>
      </c>
      <c r="G84" t="s">
        <v>31</v>
      </c>
      <c r="H84" t="s">
        <v>31</v>
      </c>
      <c r="I84" t="s">
        <v>32</v>
      </c>
    </row>
    <row r="85" spans="1:9" x14ac:dyDescent="0.25">
      <c r="A85" t="s">
        <v>1183</v>
      </c>
      <c r="B85" t="s">
        <v>1174</v>
      </c>
      <c r="C85" t="s">
        <v>1184</v>
      </c>
      <c r="D85" s="3">
        <v>0.3</v>
      </c>
      <c r="E85" t="s">
        <v>30</v>
      </c>
      <c r="F85" t="s">
        <v>31</v>
      </c>
      <c r="G85">
        <v>0.0001</v>
      </c>
      <c r="H85">
        <v>1</v>
      </c>
      <c r="I85" t="s">
        <v>31</v>
      </c>
    </row>
    <row r="86" spans="1:9" x14ac:dyDescent="0.25">
      <c r="A86" t="s">
        <v>1185</v>
      </c>
      <c r="B86" t="s">
        <v>1186</v>
      </c>
      <c r="C86" t="s">
        <v>1187</v>
      </c>
      <c r="D86" s="3">
        <v>3</v>
      </c>
      <c r="E86" t="s">
        <v>30</v>
      </c>
      <c r="F86" t="s">
        <v>77</v>
      </c>
      <c r="G86">
        <v>1</v>
      </c>
      <c r="H86">
        <v>100</v>
      </c>
      <c r="I86" t="s">
        <v>1188</v>
      </c>
    </row>
    <row r="87" spans="1:9" x14ac:dyDescent="0.25">
      <c r="A87" t="s">
        <v>1189</v>
      </c>
      <c r="B87" t="s">
        <v>1186</v>
      </c>
      <c r="C87" t="s">
        <v>1187</v>
      </c>
      <c r="D87" s="2" t="s">
        <v>1190</v>
      </c>
      <c r="E87" t="s">
        <v>81</v>
      </c>
      <c r="F87" t="s">
        <v>77</v>
      </c>
      <c r="G87" t="s">
        <v>31</v>
      </c>
      <c r="H87" t="s">
        <v>31</v>
      </c>
      <c r="I87" t="s">
        <v>32</v>
      </c>
    </row>
    <row r="88" spans="1:9" x14ac:dyDescent="0.25">
      <c r="A88" t="s">
        <v>1191</v>
      </c>
      <c r="B88" t="s">
        <v>1186</v>
      </c>
      <c r="C88" t="s">
        <v>1187</v>
      </c>
      <c r="D88" s="2" t="s">
        <v>1187</v>
      </c>
      <c r="E88" t="s">
        <v>81</v>
      </c>
      <c r="F88" t="s">
        <v>77</v>
      </c>
      <c r="G88" t="s">
        <v>31</v>
      </c>
      <c r="H88" t="s">
        <v>31</v>
      </c>
      <c r="I88" t="s">
        <v>32</v>
      </c>
    </row>
    <row r="89" spans="1:9" x14ac:dyDescent="0.25">
      <c r="A89" t="s">
        <v>1192</v>
      </c>
      <c r="B89" t="s">
        <v>1186</v>
      </c>
      <c r="C89" t="s">
        <v>1187</v>
      </c>
      <c r="D89" s="2" t="s">
        <v>1188</v>
      </c>
      <c r="E89" t="s">
        <v>81</v>
      </c>
      <c r="F89" t="s">
        <v>77</v>
      </c>
      <c r="G89" t="s">
        <v>31</v>
      </c>
      <c r="H89" t="s">
        <v>31</v>
      </c>
      <c r="I89" t="s">
        <v>32</v>
      </c>
    </row>
    <row r="90" spans="1:9" x14ac:dyDescent="0.25">
      <c r="A90" t="s">
        <v>1193</v>
      </c>
      <c r="B90" t="s">
        <v>1186</v>
      </c>
      <c r="C90" t="s">
        <v>1187</v>
      </c>
      <c r="D90" s="2" t="s">
        <v>77</v>
      </c>
      <c r="E90" t="s">
        <v>81</v>
      </c>
      <c r="F90" t="s">
        <v>77</v>
      </c>
      <c r="G90" t="s">
        <v>31</v>
      </c>
      <c r="H90" t="s">
        <v>31</v>
      </c>
      <c r="I90" t="s">
        <v>32</v>
      </c>
    </row>
    <row r="91" spans="1:9" x14ac:dyDescent="0.25">
      <c r="A91" t="s">
        <v>1194</v>
      </c>
      <c r="B91" t="s">
        <v>1186</v>
      </c>
      <c r="C91" t="s">
        <v>1187</v>
      </c>
      <c r="D91" s="2">
        <v>0</v>
      </c>
      <c r="E91" t="s">
        <v>30</v>
      </c>
      <c r="F91" t="s">
        <v>77</v>
      </c>
      <c r="G91">
        <v>1</v>
      </c>
      <c r="H91">
        <v>100</v>
      </c>
      <c r="I91" t="s">
        <v>32</v>
      </c>
    </row>
    <row r="92" spans="1:9" x14ac:dyDescent="0.25">
      <c r="A92" t="s">
        <v>1195</v>
      </c>
      <c r="B92" t="s">
        <v>1186</v>
      </c>
      <c r="C92" t="s">
        <v>1187</v>
      </c>
      <c r="D92" s="2">
        <v>100</v>
      </c>
      <c r="E92" t="s">
        <v>30</v>
      </c>
      <c r="F92" t="s">
        <v>77</v>
      </c>
      <c r="G92">
        <v>1</v>
      </c>
      <c r="H92">
        <v>100</v>
      </c>
      <c r="I92" t="s">
        <v>32</v>
      </c>
    </row>
    <row r="93" spans="1:9" x14ac:dyDescent="0.25">
      <c r="A93" t="s">
        <v>1196</v>
      </c>
      <c r="B93" t="s">
        <v>1186</v>
      </c>
      <c r="C93" t="s">
        <v>1187</v>
      </c>
      <c r="D93" s="2" t="b">
        <v>1</v>
      </c>
      <c r="E93" t="s">
        <v>88</v>
      </c>
      <c r="F93" t="s">
        <v>77</v>
      </c>
      <c r="G93" t="s">
        <v>31</v>
      </c>
      <c r="H93" t="s">
        <v>31</v>
      </c>
      <c r="I93" t="s">
        <v>32</v>
      </c>
    </row>
  </sheetData>
  <sheetProtection sheet="1" algorithmName="SHA-512" hashValue="IhqUlcmFeUPQ5sqjJ/Jryj5bJueZN7gAo54EC6NjLV1PpC0zaZD6FiydYmqWpSSftov6BdWHkk3uDgP/DeOTEg==" saltValue="5cjKtg2yWTm0ELgLcYJtgw==" spinCount="100000"/>
  <autoFilter ref="A1:I1"/>
  <dataValidations count="20">
    <dataValidation type="list" showErrorMessage="1" error="Use TRUE or FALSE." sqref="D11">
      <formula1>"TRUE,FALSE"</formula1>
    </dataValidation>
    <dataValidation type="list" showErrorMessage="1" error="Use TRUE or FALSE." sqref="D17">
      <formula1>"TRUE,FALSE"</formula1>
    </dataValidation>
    <dataValidation type="whole" showErrorMessage="1" errorStyle="stop" errorTitle="Invalid balance value" error="Use an integer between 0 and 100000." sqref="D20">
      <formula1>0</formula1>
      <formula2>100000</formula2>
    </dataValidation>
    <dataValidation type="whole" showErrorMessage="1" errorStyle="stop" errorTitle="Invalid balance value" error="Use an integer between 0 and 100000." sqref="D31">
      <formula1>0</formula1>
      <formula2>100000</formula2>
    </dataValidation>
    <dataValidation type="whole" showErrorMessage="1" errorStyle="stop" errorTitle="Invalid balance value" error="Use an integer between 0 and 100000." sqref="D37">
      <formula1>0</formula1>
      <formula2>100000</formula2>
    </dataValidation>
    <dataValidation type="list" showErrorMessage="1" error="Use TRUE or FALSE." sqref="D41">
      <formula1>"TRUE,FALSE"</formula1>
    </dataValidation>
    <dataValidation type="whole" showErrorMessage="1" errorStyle="stop" errorTitle="Invalid balance value" error="Use an integer between 0 and 100000." sqref="D44">
      <formula1>0</formula1>
      <formula2>100000</formula2>
    </dataValidation>
    <dataValidation type="list" showErrorMessage="1" error="Use TRUE or FALSE." sqref="D48">
      <formula1>"TRUE,FALSE"</formula1>
    </dataValidation>
    <dataValidation type="whole" showErrorMessage="1" errorStyle="stop" errorTitle="Invalid balance value" error="Use an integer between 0 and 100000." sqref="D51">
      <formula1>0</formula1>
      <formula2>100000</formula2>
    </dataValidation>
    <dataValidation type="list" showErrorMessage="1" error="Use TRUE or FALSE." sqref="D55">
      <formula1>"TRUE,FALSE"</formula1>
    </dataValidation>
    <dataValidation type="whole" showErrorMessage="1" errorStyle="stop" errorTitle="Invalid balance value" error="Use an integer between 0 and 100000." sqref="D58">
      <formula1>0</formula1>
      <formula2>100000</formula2>
    </dataValidation>
    <dataValidation type="list" showErrorMessage="1" error="Use TRUE or FALSE." sqref="D62">
      <formula1>"TRUE,FALSE"</formula1>
    </dataValidation>
    <dataValidation type="whole" showErrorMessage="1" errorStyle="stop" errorTitle="Invalid balance value" error="Use an integer between 0 and 100000." sqref="D65">
      <formula1>0</formula1>
      <formula2>100000</formula2>
    </dataValidation>
    <dataValidation type="whole" showErrorMessage="1" errorStyle="stop" errorTitle="Invalid balance value" error="Use an integer between 1 and 10000." sqref="D66">
      <formula1>1</formula1>
      <formula2>10000</formula2>
    </dataValidation>
    <dataValidation type="whole" showErrorMessage="1" errorStyle="stop" errorTitle="Invalid balance value" error="Use an integer between 0 and 100000." sqref="D7">
      <formula1>0</formula1>
      <formula2>100000</formula2>
    </dataValidation>
    <dataValidation type="list" showErrorMessage="1" error="Use TRUE or FALSE." sqref="D70">
      <formula1>"TRUE,FALSE"</formula1>
    </dataValidation>
    <dataValidation type="whole" showErrorMessage="1" errorStyle="stop" errorTitle="Invalid balance value" error="Use an integer between 0 and 100000." sqref="D73">
      <formula1>0</formula1>
      <formula2>100000</formula2>
    </dataValidation>
    <dataValidation type="list" showErrorMessage="1" error="Use TRUE or FALSE." sqref="D77">
      <formula1>"TRUE,FALSE"</formula1>
    </dataValidation>
    <dataValidation type="decimal" showErrorMessage="1" errorStyle="stop" errorTitle="Invalid balance value" error="Use a number between 0.0001 and 1." sqref="D85">
      <formula1>0.0001</formula1>
      <formula2>1</formula2>
    </dataValidation>
    <dataValidation type="whole" showErrorMessage="1" errorStyle="stop" errorTitle="Invalid balance value" error="Use an integer between 1 and 100." sqref="D86">
      <formula1>1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1197</v>
      </c>
      <c r="B2" t="s">
        <v>1198</v>
      </c>
      <c r="C2" t="s">
        <v>228</v>
      </c>
      <c r="D2" s="3" t="s">
        <v>1199</v>
      </c>
      <c r="E2" t="s">
        <v>81</v>
      </c>
      <c r="F2" t="s">
        <v>31</v>
      </c>
      <c r="G2" t="s">
        <v>31</v>
      </c>
      <c r="H2" t="s">
        <v>31</v>
      </c>
      <c r="I2" t="s">
        <v>31</v>
      </c>
    </row>
    <row r="3" spans="1:9" x14ac:dyDescent="0.25">
      <c r="A3" t="s">
        <v>1200</v>
      </c>
      <c r="B3" t="s">
        <v>1198</v>
      </c>
      <c r="C3" t="s">
        <v>1037</v>
      </c>
      <c r="D3" s="3" t="s">
        <v>192</v>
      </c>
      <c r="E3" t="s">
        <v>81</v>
      </c>
      <c r="F3" t="s">
        <v>31</v>
      </c>
      <c r="G3" t="s">
        <v>31</v>
      </c>
      <c r="H3" t="s">
        <v>31</v>
      </c>
      <c r="I3" t="s">
        <v>31</v>
      </c>
    </row>
    <row r="4" spans="1:9" x14ac:dyDescent="0.25">
      <c r="A4" t="s">
        <v>1201</v>
      </c>
      <c r="B4" t="s">
        <v>1198</v>
      </c>
      <c r="C4" t="s">
        <v>1202</v>
      </c>
      <c r="D4" s="3" t="s">
        <v>360</v>
      </c>
      <c r="E4" t="s">
        <v>81</v>
      </c>
      <c r="F4" t="s">
        <v>31</v>
      </c>
      <c r="G4" t="s">
        <v>31</v>
      </c>
      <c r="H4" t="s">
        <v>31</v>
      </c>
      <c r="I4" t="s">
        <v>31</v>
      </c>
    </row>
    <row r="5" spans="1:9" x14ac:dyDescent="0.25">
      <c r="A5" t="s">
        <v>1203</v>
      </c>
      <c r="B5" t="s">
        <v>1198</v>
      </c>
      <c r="C5" t="s">
        <v>1040</v>
      </c>
      <c r="D5" s="3" t="s">
        <v>1204</v>
      </c>
      <c r="E5" t="s">
        <v>81</v>
      </c>
      <c r="F5" t="s">
        <v>31</v>
      </c>
      <c r="G5" t="s">
        <v>31</v>
      </c>
      <c r="H5" t="s">
        <v>31</v>
      </c>
      <c r="I5" t="s">
        <v>31</v>
      </c>
    </row>
    <row r="6" spans="1:9" x14ac:dyDescent="0.25">
      <c r="A6" t="s">
        <v>1205</v>
      </c>
      <c r="B6" t="s">
        <v>1198</v>
      </c>
      <c r="C6" t="s">
        <v>1043</v>
      </c>
      <c r="D6" s="3" t="s">
        <v>1206</v>
      </c>
      <c r="E6" t="s">
        <v>81</v>
      </c>
      <c r="F6" t="s">
        <v>31</v>
      </c>
      <c r="G6" t="s">
        <v>31</v>
      </c>
      <c r="H6" t="s">
        <v>31</v>
      </c>
      <c r="I6" t="s">
        <v>31</v>
      </c>
    </row>
    <row r="7" spans="1:9" x14ac:dyDescent="0.25">
      <c r="A7" t="s">
        <v>1207</v>
      </c>
      <c r="B7" t="s">
        <v>1198</v>
      </c>
      <c r="C7" t="s">
        <v>159</v>
      </c>
      <c r="D7" s="3">
        <v>2</v>
      </c>
      <c r="E7" t="s">
        <v>30</v>
      </c>
      <c r="F7" t="s">
        <v>31</v>
      </c>
      <c r="G7">
        <v>0</v>
      </c>
      <c r="H7">
        <v>100000</v>
      </c>
      <c r="I7" t="s">
        <v>31</v>
      </c>
    </row>
    <row r="8" spans="1:9" x14ac:dyDescent="0.25">
      <c r="A8" t="s">
        <v>1208</v>
      </c>
      <c r="B8" t="s">
        <v>1198</v>
      </c>
      <c r="C8" t="s">
        <v>226</v>
      </c>
      <c r="D8" s="2" t="s">
        <v>1198</v>
      </c>
      <c r="E8" t="s">
        <v>81</v>
      </c>
      <c r="F8" t="s">
        <v>31</v>
      </c>
      <c r="G8" t="s">
        <v>31</v>
      </c>
      <c r="H8" t="s">
        <v>31</v>
      </c>
      <c r="I8" t="s">
        <v>32</v>
      </c>
    </row>
    <row r="9" spans="1:9" x14ac:dyDescent="0.25">
      <c r="A9" t="s">
        <v>1209</v>
      </c>
      <c r="B9" t="s">
        <v>1210</v>
      </c>
      <c r="C9" t="s">
        <v>228</v>
      </c>
      <c r="D9" s="3" t="s">
        <v>1211</v>
      </c>
      <c r="E9" t="s">
        <v>81</v>
      </c>
      <c r="F9" t="s">
        <v>31</v>
      </c>
      <c r="G9" t="s">
        <v>31</v>
      </c>
      <c r="H9" t="s">
        <v>31</v>
      </c>
      <c r="I9" t="s">
        <v>31</v>
      </c>
    </row>
    <row r="10" spans="1:9" x14ac:dyDescent="0.25">
      <c r="A10" t="s">
        <v>1212</v>
      </c>
      <c r="B10" t="s">
        <v>1210</v>
      </c>
      <c r="C10" t="s">
        <v>1037</v>
      </c>
      <c r="D10" s="3" t="s">
        <v>173</v>
      </c>
      <c r="E10" t="s">
        <v>81</v>
      </c>
      <c r="F10" t="s">
        <v>31</v>
      </c>
      <c r="G10" t="s">
        <v>31</v>
      </c>
      <c r="H10" t="s">
        <v>31</v>
      </c>
      <c r="I10" t="s">
        <v>31</v>
      </c>
    </row>
    <row r="11" spans="1:9" x14ac:dyDescent="0.25">
      <c r="A11" t="s">
        <v>1213</v>
      </c>
      <c r="B11" t="s">
        <v>1210</v>
      </c>
      <c r="C11" t="s">
        <v>1202</v>
      </c>
      <c r="D11" s="3" t="s">
        <v>360</v>
      </c>
      <c r="E11" t="s">
        <v>81</v>
      </c>
      <c r="F11" t="s">
        <v>31</v>
      </c>
      <c r="G11" t="s">
        <v>31</v>
      </c>
      <c r="H11" t="s">
        <v>31</v>
      </c>
      <c r="I11" t="s">
        <v>31</v>
      </c>
    </row>
    <row r="12" spans="1:9" x14ac:dyDescent="0.25">
      <c r="A12" t="s">
        <v>1214</v>
      </c>
      <c r="B12" t="s">
        <v>1210</v>
      </c>
      <c r="C12" t="s">
        <v>1040</v>
      </c>
      <c r="D12" s="3" t="s">
        <v>1215</v>
      </c>
      <c r="E12" t="s">
        <v>81</v>
      </c>
      <c r="F12" t="s">
        <v>31</v>
      </c>
      <c r="G12" t="s">
        <v>31</v>
      </c>
      <c r="H12" t="s">
        <v>31</v>
      </c>
      <c r="I12" t="s">
        <v>31</v>
      </c>
    </row>
    <row r="13" spans="1:9" x14ac:dyDescent="0.25">
      <c r="A13" t="s">
        <v>1216</v>
      </c>
      <c r="B13" t="s">
        <v>1210</v>
      </c>
      <c r="C13" t="s">
        <v>1043</v>
      </c>
      <c r="D13" s="3" t="s">
        <v>1217</v>
      </c>
      <c r="E13" t="s">
        <v>81</v>
      </c>
      <c r="F13" t="s">
        <v>31</v>
      </c>
      <c r="G13" t="s">
        <v>31</v>
      </c>
      <c r="H13" t="s">
        <v>31</v>
      </c>
      <c r="I13" t="s">
        <v>31</v>
      </c>
    </row>
    <row r="14" spans="1:9" x14ac:dyDescent="0.25">
      <c r="A14" t="s">
        <v>1218</v>
      </c>
      <c r="B14" t="s">
        <v>1210</v>
      </c>
      <c r="C14" t="s">
        <v>1219</v>
      </c>
      <c r="D14" s="3">
        <v>3</v>
      </c>
      <c r="E14" t="s">
        <v>30</v>
      </c>
      <c r="F14" t="s">
        <v>31</v>
      </c>
      <c r="G14">
        <v>0</v>
      </c>
      <c r="H14">
        <v>100000</v>
      </c>
      <c r="I14" t="s">
        <v>31</v>
      </c>
    </row>
    <row r="15" spans="1:9" x14ac:dyDescent="0.25">
      <c r="A15" t="s">
        <v>1220</v>
      </c>
      <c r="B15" t="s">
        <v>1210</v>
      </c>
      <c r="C15" t="s">
        <v>1221</v>
      </c>
      <c r="D15" s="3">
        <v>1</v>
      </c>
      <c r="E15" t="s">
        <v>30</v>
      </c>
      <c r="F15" t="s">
        <v>31</v>
      </c>
      <c r="G15">
        <v>0</v>
      </c>
      <c r="H15">
        <v>100000</v>
      </c>
      <c r="I15" t="s">
        <v>31</v>
      </c>
    </row>
    <row r="16" spans="1:9" x14ac:dyDescent="0.25">
      <c r="A16" t="s">
        <v>1222</v>
      </c>
      <c r="B16" t="s">
        <v>1210</v>
      </c>
      <c r="C16" t="s">
        <v>226</v>
      </c>
      <c r="D16" s="2" t="s">
        <v>1210</v>
      </c>
      <c r="E16" t="s">
        <v>81</v>
      </c>
      <c r="F16" t="s">
        <v>31</v>
      </c>
      <c r="G16" t="s">
        <v>31</v>
      </c>
      <c r="H16" t="s">
        <v>31</v>
      </c>
      <c r="I16" t="s">
        <v>32</v>
      </c>
    </row>
    <row r="17" spans="1:9" x14ac:dyDescent="0.25">
      <c r="A17" t="s">
        <v>1223</v>
      </c>
      <c r="B17" t="s">
        <v>1224</v>
      </c>
      <c r="C17" t="s">
        <v>228</v>
      </c>
      <c r="D17" s="3" t="s">
        <v>1225</v>
      </c>
      <c r="E17" t="s">
        <v>81</v>
      </c>
      <c r="F17" t="s">
        <v>31</v>
      </c>
      <c r="G17" t="s">
        <v>31</v>
      </c>
      <c r="H17" t="s">
        <v>31</v>
      </c>
      <c r="I17" t="s">
        <v>31</v>
      </c>
    </row>
    <row r="18" spans="1:9" x14ac:dyDescent="0.25">
      <c r="A18" t="s">
        <v>1226</v>
      </c>
      <c r="B18" t="s">
        <v>1224</v>
      </c>
      <c r="C18" t="s">
        <v>1037</v>
      </c>
      <c r="D18" s="3" t="s">
        <v>170</v>
      </c>
      <c r="E18" t="s">
        <v>81</v>
      </c>
      <c r="F18" t="s">
        <v>31</v>
      </c>
      <c r="G18" t="s">
        <v>31</v>
      </c>
      <c r="H18" t="s">
        <v>31</v>
      </c>
      <c r="I18" t="s">
        <v>31</v>
      </c>
    </row>
    <row r="19" spans="1:9" x14ac:dyDescent="0.25">
      <c r="A19" t="s">
        <v>1227</v>
      </c>
      <c r="B19" t="s">
        <v>1224</v>
      </c>
      <c r="C19" t="s">
        <v>1202</v>
      </c>
      <c r="D19" s="3" t="s">
        <v>437</v>
      </c>
      <c r="E19" t="s">
        <v>81</v>
      </c>
      <c r="F19" t="s">
        <v>31</v>
      </c>
      <c r="G19" t="s">
        <v>31</v>
      </c>
      <c r="H19" t="s">
        <v>31</v>
      </c>
      <c r="I19" t="s">
        <v>31</v>
      </c>
    </row>
    <row r="20" spans="1:9" x14ac:dyDescent="0.25">
      <c r="A20" t="s">
        <v>1228</v>
      </c>
      <c r="B20" t="s">
        <v>1224</v>
      </c>
      <c r="C20" t="s">
        <v>1040</v>
      </c>
      <c r="D20" s="3" t="s">
        <v>1229</v>
      </c>
      <c r="E20" t="s">
        <v>81</v>
      </c>
      <c r="F20" t="s">
        <v>31</v>
      </c>
      <c r="G20" t="s">
        <v>31</v>
      </c>
      <c r="H20" t="s">
        <v>31</v>
      </c>
      <c r="I20" t="s">
        <v>31</v>
      </c>
    </row>
    <row r="21" spans="1:9" x14ac:dyDescent="0.25">
      <c r="A21" t="s">
        <v>1230</v>
      </c>
      <c r="B21" t="s">
        <v>1224</v>
      </c>
      <c r="C21" t="s">
        <v>1043</v>
      </c>
      <c r="D21" s="3" t="s">
        <v>1231</v>
      </c>
      <c r="E21" t="s">
        <v>81</v>
      </c>
      <c r="F21" t="s">
        <v>31</v>
      </c>
      <c r="G21" t="s">
        <v>31</v>
      </c>
      <c r="H21" t="s">
        <v>31</v>
      </c>
      <c r="I21" t="s">
        <v>31</v>
      </c>
    </row>
    <row r="22" spans="1:9" x14ac:dyDescent="0.25">
      <c r="A22" t="s">
        <v>1232</v>
      </c>
      <c r="B22" t="s">
        <v>1224</v>
      </c>
      <c r="C22" t="s">
        <v>170</v>
      </c>
      <c r="D22" s="3">
        <v>2</v>
      </c>
      <c r="E22" t="s">
        <v>30</v>
      </c>
      <c r="F22" t="s">
        <v>31</v>
      </c>
      <c r="G22">
        <v>0</v>
      </c>
      <c r="H22">
        <v>100000</v>
      </c>
      <c r="I22" t="s">
        <v>31</v>
      </c>
    </row>
    <row r="23" spans="1:9" x14ac:dyDescent="0.25">
      <c r="A23" t="s">
        <v>1233</v>
      </c>
      <c r="B23" t="s">
        <v>1224</v>
      </c>
      <c r="C23" t="s">
        <v>226</v>
      </c>
      <c r="D23" s="2" t="s">
        <v>1224</v>
      </c>
      <c r="E23" t="s">
        <v>81</v>
      </c>
      <c r="F23" t="s">
        <v>31</v>
      </c>
      <c r="G23" t="s">
        <v>31</v>
      </c>
      <c r="H23" t="s">
        <v>31</v>
      </c>
      <c r="I23" t="s">
        <v>32</v>
      </c>
    </row>
    <row r="24" spans="1:9" x14ac:dyDescent="0.25">
      <c r="A24" t="s">
        <v>1234</v>
      </c>
      <c r="B24" t="s">
        <v>1235</v>
      </c>
      <c r="C24" t="s">
        <v>228</v>
      </c>
      <c r="D24" s="3" t="s">
        <v>1236</v>
      </c>
      <c r="E24" t="s">
        <v>81</v>
      </c>
      <c r="F24" t="s">
        <v>31</v>
      </c>
      <c r="G24" t="s">
        <v>31</v>
      </c>
      <c r="H24" t="s">
        <v>31</v>
      </c>
      <c r="I24" t="s">
        <v>31</v>
      </c>
    </row>
    <row r="25" spans="1:9" x14ac:dyDescent="0.25">
      <c r="A25" t="s">
        <v>1237</v>
      </c>
      <c r="B25" t="s">
        <v>1235</v>
      </c>
      <c r="C25" t="s">
        <v>1037</v>
      </c>
      <c r="D25" s="3" t="s">
        <v>195</v>
      </c>
      <c r="E25" t="s">
        <v>81</v>
      </c>
      <c r="F25" t="s">
        <v>31</v>
      </c>
      <c r="G25" t="s">
        <v>31</v>
      </c>
      <c r="H25" t="s">
        <v>31</v>
      </c>
      <c r="I25" t="s">
        <v>31</v>
      </c>
    </row>
    <row r="26" spans="1:9" x14ac:dyDescent="0.25">
      <c r="A26" t="s">
        <v>1238</v>
      </c>
      <c r="B26" t="s">
        <v>1235</v>
      </c>
      <c r="C26" t="s">
        <v>1202</v>
      </c>
      <c r="D26" s="3" t="s">
        <v>437</v>
      </c>
      <c r="E26" t="s">
        <v>81</v>
      </c>
      <c r="F26" t="s">
        <v>31</v>
      </c>
      <c r="G26" t="s">
        <v>31</v>
      </c>
      <c r="H26" t="s">
        <v>31</v>
      </c>
      <c r="I26" t="s">
        <v>31</v>
      </c>
    </row>
    <row r="27" spans="1:9" x14ac:dyDescent="0.25">
      <c r="A27" t="s">
        <v>1239</v>
      </c>
      <c r="B27" t="s">
        <v>1235</v>
      </c>
      <c r="C27" t="s">
        <v>1040</v>
      </c>
      <c r="D27" s="3" t="s">
        <v>1240</v>
      </c>
      <c r="E27" t="s">
        <v>81</v>
      </c>
      <c r="F27" t="s">
        <v>31</v>
      </c>
      <c r="G27" t="s">
        <v>31</v>
      </c>
      <c r="H27" t="s">
        <v>31</v>
      </c>
      <c r="I27" t="s">
        <v>31</v>
      </c>
    </row>
    <row r="28" spans="1:9" x14ac:dyDescent="0.25">
      <c r="A28" t="s">
        <v>1241</v>
      </c>
      <c r="B28" t="s">
        <v>1235</v>
      </c>
      <c r="C28" t="s">
        <v>1043</v>
      </c>
      <c r="D28" s="3" t="s">
        <v>1242</v>
      </c>
      <c r="E28" t="s">
        <v>81</v>
      </c>
      <c r="F28" t="s">
        <v>31</v>
      </c>
      <c r="G28" t="s">
        <v>31</v>
      </c>
      <c r="H28" t="s">
        <v>31</v>
      </c>
      <c r="I28" t="s">
        <v>31</v>
      </c>
    </row>
    <row r="29" spans="1:9" x14ac:dyDescent="0.25">
      <c r="A29" t="s">
        <v>1243</v>
      </c>
      <c r="B29" t="s">
        <v>1235</v>
      </c>
      <c r="C29" t="s">
        <v>194</v>
      </c>
      <c r="D29" s="3">
        <v>1</v>
      </c>
      <c r="E29" t="s">
        <v>30</v>
      </c>
      <c r="F29" t="s">
        <v>31</v>
      </c>
      <c r="G29">
        <v>0</v>
      </c>
      <c r="H29">
        <v>100000</v>
      </c>
      <c r="I29" t="s">
        <v>31</v>
      </c>
    </row>
    <row r="30" spans="1:9" x14ac:dyDescent="0.25">
      <c r="A30" t="s">
        <v>1244</v>
      </c>
      <c r="B30" t="s">
        <v>1235</v>
      </c>
      <c r="C30" t="s">
        <v>173</v>
      </c>
      <c r="D30" s="3">
        <v>1</v>
      </c>
      <c r="E30" t="s">
        <v>30</v>
      </c>
      <c r="F30" t="s">
        <v>31</v>
      </c>
      <c r="G30">
        <v>0</v>
      </c>
      <c r="H30">
        <v>100000</v>
      </c>
      <c r="I30" t="s">
        <v>31</v>
      </c>
    </row>
    <row r="31" spans="1:9" x14ac:dyDescent="0.25">
      <c r="A31" t="s">
        <v>1245</v>
      </c>
      <c r="B31" t="s">
        <v>1235</v>
      </c>
      <c r="C31" t="s">
        <v>226</v>
      </c>
      <c r="D31" s="2" t="s">
        <v>1235</v>
      </c>
      <c r="E31" t="s">
        <v>81</v>
      </c>
      <c r="F31" t="s">
        <v>31</v>
      </c>
      <c r="G31" t="s">
        <v>31</v>
      </c>
      <c r="H31" t="s">
        <v>31</v>
      </c>
      <c r="I31" t="s">
        <v>32</v>
      </c>
    </row>
    <row r="32" spans="1:9" x14ac:dyDescent="0.25">
      <c r="A32" t="s">
        <v>1246</v>
      </c>
      <c r="B32" t="s">
        <v>1247</v>
      </c>
      <c r="C32" t="s">
        <v>228</v>
      </c>
      <c r="D32" s="3" t="s">
        <v>1248</v>
      </c>
      <c r="E32" t="s">
        <v>81</v>
      </c>
      <c r="F32" t="s">
        <v>31</v>
      </c>
      <c r="G32" t="s">
        <v>31</v>
      </c>
      <c r="H32" t="s">
        <v>31</v>
      </c>
      <c r="I32" t="s">
        <v>31</v>
      </c>
    </row>
    <row r="33" spans="1:9" x14ac:dyDescent="0.25">
      <c r="A33" t="s">
        <v>1249</v>
      </c>
      <c r="B33" t="s">
        <v>1247</v>
      </c>
      <c r="C33" t="s">
        <v>1037</v>
      </c>
      <c r="D33" s="3" t="s">
        <v>1250</v>
      </c>
      <c r="E33" t="s">
        <v>81</v>
      </c>
      <c r="F33" t="s">
        <v>31</v>
      </c>
      <c r="G33" t="s">
        <v>31</v>
      </c>
      <c r="H33" t="s">
        <v>31</v>
      </c>
      <c r="I33" t="s">
        <v>31</v>
      </c>
    </row>
    <row r="34" spans="1:9" x14ac:dyDescent="0.25">
      <c r="A34" t="s">
        <v>1251</v>
      </c>
      <c r="B34" t="s">
        <v>1247</v>
      </c>
      <c r="C34" t="s">
        <v>1202</v>
      </c>
      <c r="D34" s="3" t="s">
        <v>496</v>
      </c>
      <c r="E34" t="s">
        <v>81</v>
      </c>
      <c r="F34" t="s">
        <v>31</v>
      </c>
      <c r="G34" t="s">
        <v>31</v>
      </c>
      <c r="H34" t="s">
        <v>31</v>
      </c>
      <c r="I34" t="s">
        <v>31</v>
      </c>
    </row>
    <row r="35" spans="1:9" x14ac:dyDescent="0.25">
      <c r="A35" t="s">
        <v>1252</v>
      </c>
      <c r="B35" t="s">
        <v>1247</v>
      </c>
      <c r="C35" t="s">
        <v>1040</v>
      </c>
      <c r="D35" s="3" t="s">
        <v>1253</v>
      </c>
      <c r="E35" t="s">
        <v>81</v>
      </c>
      <c r="F35" t="s">
        <v>31</v>
      </c>
      <c r="G35" t="s">
        <v>31</v>
      </c>
      <c r="H35" t="s">
        <v>31</v>
      </c>
      <c r="I35" t="s">
        <v>31</v>
      </c>
    </row>
    <row r="36" spans="1:9" x14ac:dyDescent="0.25">
      <c r="A36" t="s">
        <v>1254</v>
      </c>
      <c r="B36" t="s">
        <v>1247</v>
      </c>
      <c r="C36" t="s">
        <v>1043</v>
      </c>
      <c r="D36" s="3" t="s">
        <v>1255</v>
      </c>
      <c r="E36" t="s">
        <v>81</v>
      </c>
      <c r="F36" t="s">
        <v>31</v>
      </c>
      <c r="G36" t="s">
        <v>31</v>
      </c>
      <c r="H36" t="s">
        <v>31</v>
      </c>
      <c r="I36" t="s">
        <v>31</v>
      </c>
    </row>
    <row r="37" spans="1:9" x14ac:dyDescent="0.25">
      <c r="A37" t="s">
        <v>1256</v>
      </c>
      <c r="B37" t="s">
        <v>1247</v>
      </c>
      <c r="C37" t="s">
        <v>159</v>
      </c>
      <c r="D37" s="3">
        <v>1</v>
      </c>
      <c r="E37" t="s">
        <v>30</v>
      </c>
      <c r="F37" t="s">
        <v>31</v>
      </c>
      <c r="G37">
        <v>0</v>
      </c>
      <c r="H37">
        <v>100000</v>
      </c>
      <c r="I37" t="s">
        <v>31</v>
      </c>
    </row>
    <row r="38" spans="1:9" x14ac:dyDescent="0.25">
      <c r="A38" t="s">
        <v>1257</v>
      </c>
      <c r="B38" t="s">
        <v>1247</v>
      </c>
      <c r="C38" t="s">
        <v>1258</v>
      </c>
      <c r="D38" s="3">
        <v>4</v>
      </c>
      <c r="E38" t="s">
        <v>30</v>
      </c>
      <c r="F38" t="s">
        <v>31</v>
      </c>
      <c r="G38">
        <v>0</v>
      </c>
      <c r="H38">
        <v>100000</v>
      </c>
      <c r="I38" t="s">
        <v>31</v>
      </c>
    </row>
    <row r="39" spans="1:9" x14ac:dyDescent="0.25">
      <c r="A39" t="s">
        <v>1259</v>
      </c>
      <c r="B39" t="s">
        <v>1247</v>
      </c>
      <c r="C39" t="s">
        <v>226</v>
      </c>
      <c r="D39" s="2" t="s">
        <v>1247</v>
      </c>
      <c r="E39" t="s">
        <v>81</v>
      </c>
      <c r="F39" t="s">
        <v>31</v>
      </c>
      <c r="G39" t="s">
        <v>31</v>
      </c>
      <c r="H39" t="s">
        <v>31</v>
      </c>
      <c r="I39" t="s">
        <v>32</v>
      </c>
    </row>
    <row r="40" spans="1:9" x14ac:dyDescent="0.25">
      <c r="A40" t="s">
        <v>1260</v>
      </c>
      <c r="B40" t="s">
        <v>1261</v>
      </c>
      <c r="C40" t="s">
        <v>228</v>
      </c>
      <c r="D40" s="3" t="s">
        <v>1262</v>
      </c>
      <c r="E40" t="s">
        <v>81</v>
      </c>
      <c r="F40" t="s">
        <v>31</v>
      </c>
      <c r="G40" t="s">
        <v>31</v>
      </c>
      <c r="H40" t="s">
        <v>31</v>
      </c>
      <c r="I40" t="s">
        <v>31</v>
      </c>
    </row>
    <row r="41" spans="1:9" x14ac:dyDescent="0.25">
      <c r="A41" t="s">
        <v>1263</v>
      </c>
      <c r="B41" t="s">
        <v>1261</v>
      </c>
      <c r="C41" t="s">
        <v>1037</v>
      </c>
      <c r="D41" s="3" t="s">
        <v>164</v>
      </c>
      <c r="E41" t="s">
        <v>81</v>
      </c>
      <c r="F41" t="s">
        <v>31</v>
      </c>
      <c r="G41" t="s">
        <v>31</v>
      </c>
      <c r="H41" t="s">
        <v>31</v>
      </c>
      <c r="I41" t="s">
        <v>31</v>
      </c>
    </row>
    <row r="42" spans="1:9" x14ac:dyDescent="0.25">
      <c r="A42" t="s">
        <v>1264</v>
      </c>
      <c r="B42" t="s">
        <v>1261</v>
      </c>
      <c r="C42" t="s">
        <v>1202</v>
      </c>
      <c r="D42" s="3" t="s">
        <v>496</v>
      </c>
      <c r="E42" t="s">
        <v>81</v>
      </c>
      <c r="F42" t="s">
        <v>31</v>
      </c>
      <c r="G42" t="s">
        <v>31</v>
      </c>
      <c r="H42" t="s">
        <v>31</v>
      </c>
      <c r="I42" t="s">
        <v>31</v>
      </c>
    </row>
    <row r="43" spans="1:9" x14ac:dyDescent="0.25">
      <c r="A43" t="s">
        <v>1265</v>
      </c>
      <c r="B43" t="s">
        <v>1261</v>
      </c>
      <c r="C43" t="s">
        <v>1040</v>
      </c>
      <c r="D43" s="3" t="s">
        <v>1266</v>
      </c>
      <c r="E43" t="s">
        <v>81</v>
      </c>
      <c r="F43" t="s">
        <v>31</v>
      </c>
      <c r="G43" t="s">
        <v>31</v>
      </c>
      <c r="H43" t="s">
        <v>31</v>
      </c>
      <c r="I43" t="s">
        <v>31</v>
      </c>
    </row>
    <row r="44" spans="1:9" x14ac:dyDescent="0.25">
      <c r="A44" t="s">
        <v>1267</v>
      </c>
      <c r="B44" t="s">
        <v>1261</v>
      </c>
      <c r="C44" t="s">
        <v>1043</v>
      </c>
      <c r="D44" s="3" t="s">
        <v>1268</v>
      </c>
      <c r="E44" t="s">
        <v>81</v>
      </c>
      <c r="F44" t="s">
        <v>31</v>
      </c>
      <c r="G44" t="s">
        <v>31</v>
      </c>
      <c r="H44" t="s">
        <v>31</v>
      </c>
      <c r="I44" t="s">
        <v>31</v>
      </c>
    </row>
    <row r="45" spans="1:9" x14ac:dyDescent="0.25">
      <c r="A45" t="s">
        <v>1269</v>
      </c>
      <c r="B45" t="s">
        <v>1261</v>
      </c>
      <c r="C45" t="s">
        <v>164</v>
      </c>
      <c r="D45" s="3">
        <v>1</v>
      </c>
      <c r="E45" t="s">
        <v>30</v>
      </c>
      <c r="F45" t="s">
        <v>31</v>
      </c>
      <c r="G45">
        <v>0</v>
      </c>
      <c r="H45">
        <v>100000</v>
      </c>
      <c r="I45" t="s">
        <v>31</v>
      </c>
    </row>
    <row r="46" spans="1:9" x14ac:dyDescent="0.25">
      <c r="A46" t="s">
        <v>1270</v>
      </c>
      <c r="B46" t="s">
        <v>1261</v>
      </c>
      <c r="C46" t="s">
        <v>226</v>
      </c>
      <c r="D46" s="2" t="s">
        <v>1261</v>
      </c>
      <c r="E46" t="s">
        <v>81</v>
      </c>
      <c r="F46" t="s">
        <v>31</v>
      </c>
      <c r="G46" t="s">
        <v>31</v>
      </c>
      <c r="H46" t="s">
        <v>31</v>
      </c>
      <c r="I46" t="s">
        <v>32</v>
      </c>
    </row>
    <row r="47" spans="1:9" x14ac:dyDescent="0.25">
      <c r="A47" t="s">
        <v>1271</v>
      </c>
      <c r="B47" t="s">
        <v>1272</v>
      </c>
      <c r="C47" t="s">
        <v>228</v>
      </c>
      <c r="D47" s="3" t="s">
        <v>1273</v>
      </c>
      <c r="E47" t="s">
        <v>81</v>
      </c>
      <c r="F47" t="s">
        <v>31</v>
      </c>
      <c r="G47" t="s">
        <v>31</v>
      </c>
      <c r="H47" t="s">
        <v>31</v>
      </c>
      <c r="I47" t="s">
        <v>31</v>
      </c>
    </row>
    <row r="48" spans="1:9" x14ac:dyDescent="0.25">
      <c r="A48" t="s">
        <v>1274</v>
      </c>
      <c r="B48" t="s">
        <v>1272</v>
      </c>
      <c r="C48" t="s">
        <v>1037</v>
      </c>
      <c r="D48" s="3" t="s">
        <v>161</v>
      </c>
      <c r="E48" t="s">
        <v>81</v>
      </c>
      <c r="F48" t="s">
        <v>31</v>
      </c>
      <c r="G48" t="s">
        <v>31</v>
      </c>
      <c r="H48" t="s">
        <v>31</v>
      </c>
      <c r="I48" t="s">
        <v>31</v>
      </c>
    </row>
    <row r="49" spans="1:9" x14ac:dyDescent="0.25">
      <c r="A49" t="s">
        <v>1275</v>
      </c>
      <c r="B49" t="s">
        <v>1272</v>
      </c>
      <c r="C49" t="s">
        <v>1202</v>
      </c>
      <c r="D49" s="3" t="s">
        <v>555</v>
      </c>
      <c r="E49" t="s">
        <v>81</v>
      </c>
      <c r="F49" t="s">
        <v>31</v>
      </c>
      <c r="G49" t="s">
        <v>31</v>
      </c>
      <c r="H49" t="s">
        <v>31</v>
      </c>
      <c r="I49" t="s">
        <v>31</v>
      </c>
    </row>
    <row r="50" spans="1:9" x14ac:dyDescent="0.25">
      <c r="A50" t="s">
        <v>1276</v>
      </c>
      <c r="B50" t="s">
        <v>1272</v>
      </c>
      <c r="C50" t="s">
        <v>1040</v>
      </c>
      <c r="D50" s="3" t="s">
        <v>1277</v>
      </c>
      <c r="E50" t="s">
        <v>81</v>
      </c>
      <c r="F50" t="s">
        <v>31</v>
      </c>
      <c r="G50" t="s">
        <v>31</v>
      </c>
      <c r="H50" t="s">
        <v>31</v>
      </c>
      <c r="I50" t="s">
        <v>31</v>
      </c>
    </row>
    <row r="51" spans="1:9" x14ac:dyDescent="0.25">
      <c r="A51" t="s">
        <v>1278</v>
      </c>
      <c r="B51" t="s">
        <v>1272</v>
      </c>
      <c r="C51" t="s">
        <v>1043</v>
      </c>
      <c r="D51" s="3" t="s">
        <v>1279</v>
      </c>
      <c r="E51" t="s">
        <v>81</v>
      </c>
      <c r="F51" t="s">
        <v>31</v>
      </c>
      <c r="G51" t="s">
        <v>31</v>
      </c>
      <c r="H51" t="s">
        <v>31</v>
      </c>
      <c r="I51" t="s">
        <v>31</v>
      </c>
    </row>
    <row r="52" spans="1:9" x14ac:dyDescent="0.25">
      <c r="A52" t="s">
        <v>1280</v>
      </c>
      <c r="B52" t="s">
        <v>1272</v>
      </c>
      <c r="C52" t="s">
        <v>161</v>
      </c>
      <c r="D52" s="3">
        <v>2</v>
      </c>
      <c r="E52" t="s">
        <v>30</v>
      </c>
      <c r="F52" t="s">
        <v>31</v>
      </c>
      <c r="G52">
        <v>0</v>
      </c>
      <c r="H52">
        <v>100000</v>
      </c>
      <c r="I52" t="s">
        <v>31</v>
      </c>
    </row>
    <row r="53" spans="1:9" x14ac:dyDescent="0.25">
      <c r="A53" t="s">
        <v>1281</v>
      </c>
      <c r="B53" t="s">
        <v>1272</v>
      </c>
      <c r="C53" t="s">
        <v>226</v>
      </c>
      <c r="D53" s="2" t="s">
        <v>1272</v>
      </c>
      <c r="E53" t="s">
        <v>81</v>
      </c>
      <c r="F53" t="s">
        <v>31</v>
      </c>
      <c r="G53" t="s">
        <v>31</v>
      </c>
      <c r="H53" t="s">
        <v>31</v>
      </c>
      <c r="I53" t="s">
        <v>32</v>
      </c>
    </row>
    <row r="54" spans="1:9" x14ac:dyDescent="0.25">
      <c r="A54" t="s">
        <v>1282</v>
      </c>
      <c r="B54" t="s">
        <v>1283</v>
      </c>
      <c r="C54" t="s">
        <v>228</v>
      </c>
      <c r="D54" s="3" t="s">
        <v>1284</v>
      </c>
      <c r="E54" t="s">
        <v>81</v>
      </c>
      <c r="F54" t="s">
        <v>31</v>
      </c>
      <c r="G54" t="s">
        <v>31</v>
      </c>
      <c r="H54" t="s">
        <v>31</v>
      </c>
      <c r="I54" t="s">
        <v>31</v>
      </c>
    </row>
    <row r="55" spans="1:9" x14ac:dyDescent="0.25">
      <c r="A55" t="s">
        <v>1285</v>
      </c>
      <c r="B55" t="s">
        <v>1283</v>
      </c>
      <c r="C55" t="s">
        <v>1037</v>
      </c>
      <c r="D55" s="3" t="s">
        <v>189</v>
      </c>
      <c r="E55" t="s">
        <v>81</v>
      </c>
      <c r="F55" t="s">
        <v>31</v>
      </c>
      <c r="G55" t="s">
        <v>31</v>
      </c>
      <c r="H55" t="s">
        <v>31</v>
      </c>
      <c r="I55" t="s">
        <v>31</v>
      </c>
    </row>
    <row r="56" spans="1:9" x14ac:dyDescent="0.25">
      <c r="A56" t="s">
        <v>1286</v>
      </c>
      <c r="B56" t="s">
        <v>1283</v>
      </c>
      <c r="C56" t="s">
        <v>1202</v>
      </c>
      <c r="D56" s="3" t="s">
        <v>555</v>
      </c>
      <c r="E56" t="s">
        <v>81</v>
      </c>
      <c r="F56" t="s">
        <v>31</v>
      </c>
      <c r="G56" t="s">
        <v>31</v>
      </c>
      <c r="H56" t="s">
        <v>31</v>
      </c>
      <c r="I56" t="s">
        <v>31</v>
      </c>
    </row>
    <row r="57" spans="1:9" x14ac:dyDescent="0.25">
      <c r="A57" t="s">
        <v>1287</v>
      </c>
      <c r="B57" t="s">
        <v>1283</v>
      </c>
      <c r="C57" t="s">
        <v>1040</v>
      </c>
      <c r="D57" s="3" t="s">
        <v>1288</v>
      </c>
      <c r="E57" t="s">
        <v>81</v>
      </c>
      <c r="F57" t="s">
        <v>31</v>
      </c>
      <c r="G57" t="s">
        <v>31</v>
      </c>
      <c r="H57" t="s">
        <v>31</v>
      </c>
      <c r="I57" t="s">
        <v>31</v>
      </c>
    </row>
    <row r="58" spans="1:9" x14ac:dyDescent="0.25">
      <c r="A58" t="s">
        <v>1289</v>
      </c>
      <c r="B58" t="s">
        <v>1283</v>
      </c>
      <c r="C58" t="s">
        <v>1043</v>
      </c>
      <c r="D58" s="3" t="s">
        <v>1290</v>
      </c>
      <c r="E58" t="s">
        <v>81</v>
      </c>
      <c r="F58" t="s">
        <v>31</v>
      </c>
      <c r="G58" t="s">
        <v>31</v>
      </c>
      <c r="H58" t="s">
        <v>31</v>
      </c>
      <c r="I58" t="s">
        <v>31</v>
      </c>
    </row>
    <row r="59" spans="1:9" x14ac:dyDescent="0.25">
      <c r="A59" t="s">
        <v>1291</v>
      </c>
      <c r="B59" t="s">
        <v>1283</v>
      </c>
      <c r="C59" t="s">
        <v>161</v>
      </c>
      <c r="D59" s="3">
        <v>1</v>
      </c>
      <c r="E59" t="s">
        <v>30</v>
      </c>
      <c r="F59" t="s">
        <v>31</v>
      </c>
      <c r="G59">
        <v>0</v>
      </c>
      <c r="H59">
        <v>100000</v>
      </c>
      <c r="I59" t="s">
        <v>31</v>
      </c>
    </row>
    <row r="60" spans="1:9" x14ac:dyDescent="0.25">
      <c r="A60" t="s">
        <v>1292</v>
      </c>
      <c r="B60" t="s">
        <v>1283</v>
      </c>
      <c r="C60" t="s">
        <v>1293</v>
      </c>
      <c r="D60" s="3">
        <v>3</v>
      </c>
      <c r="E60" t="s">
        <v>30</v>
      </c>
      <c r="F60" t="s">
        <v>31</v>
      </c>
      <c r="G60">
        <v>0</v>
      </c>
      <c r="H60">
        <v>100000</v>
      </c>
      <c r="I60" t="s">
        <v>31</v>
      </c>
    </row>
    <row r="61" spans="1:9" x14ac:dyDescent="0.25">
      <c r="A61" t="s">
        <v>1294</v>
      </c>
      <c r="B61" t="s">
        <v>1283</v>
      </c>
      <c r="C61" t="s">
        <v>226</v>
      </c>
      <c r="D61" s="2" t="s">
        <v>1283</v>
      </c>
      <c r="E61" t="s">
        <v>81</v>
      </c>
      <c r="F61" t="s">
        <v>31</v>
      </c>
      <c r="G61" t="s">
        <v>31</v>
      </c>
      <c r="H61" t="s">
        <v>31</v>
      </c>
      <c r="I61" t="s">
        <v>32</v>
      </c>
    </row>
    <row r="62" spans="1:9" x14ac:dyDescent="0.25">
      <c r="A62" t="s">
        <v>1295</v>
      </c>
      <c r="B62" t="s">
        <v>1283</v>
      </c>
      <c r="C62" t="s">
        <v>1296</v>
      </c>
      <c r="D62" s="3">
        <v>2</v>
      </c>
      <c r="E62" t="s">
        <v>30</v>
      </c>
      <c r="F62" t="s">
        <v>31</v>
      </c>
      <c r="G62">
        <v>0</v>
      </c>
      <c r="H62">
        <v>100000</v>
      </c>
      <c r="I62" t="s">
        <v>31</v>
      </c>
    </row>
  </sheetData>
  <sheetProtection sheet="1" algorithmName="SHA-512" hashValue="ZtghalAwOU3RSvtyHlCGKhQpudartG7+TByMwQcNkxn5ZQFQIsIBG/vfHc6td59iyKKHkBklOZvO+v+oAxYcKw==" saltValue="aNdfKSvjRhpHEQ85MBqKqQ==" spinCount="100000"/>
  <autoFilter ref="A1:I1"/>
  <dataValidations count="9">
    <dataValidation type="whole" showErrorMessage="1" errorStyle="stop" errorTitle="Invalid balance value" error="Use an integer between 0 and 100000." sqref="D14:D15">
      <formula1>0</formula1>
      <formula2>100000</formula2>
    </dataValidation>
    <dataValidation type="whole" showErrorMessage="1" errorStyle="stop" errorTitle="Invalid balance value" error="Use an integer between 0 and 100000." sqref="D22">
      <formula1>0</formula1>
      <formula2>100000</formula2>
    </dataValidation>
    <dataValidation type="whole" showErrorMessage="1" errorStyle="stop" errorTitle="Invalid balance value" error="Use an integer between 0 and 100000." sqref="D29:D30">
      <formula1>0</formula1>
      <formula2>100000</formula2>
    </dataValidation>
    <dataValidation type="whole" showErrorMessage="1" errorStyle="stop" errorTitle="Invalid balance value" error="Use an integer between 0 and 100000." sqref="D37:D38">
      <formula1>0</formula1>
      <formula2>100000</formula2>
    </dataValidation>
    <dataValidation type="whole" showErrorMessage="1" errorStyle="stop" errorTitle="Invalid balance value" error="Use an integer between 0 and 100000." sqref="D45">
      <formula1>0</formula1>
      <formula2>100000</formula2>
    </dataValidation>
    <dataValidation type="whole" showErrorMessage="1" errorStyle="stop" errorTitle="Invalid balance value" error="Use an integer between 0 and 100000." sqref="D52">
      <formula1>0</formula1>
      <formula2>100000</formula2>
    </dataValidation>
    <dataValidation type="whole" showErrorMessage="1" errorStyle="stop" errorTitle="Invalid balance value" error="Use an integer between 0 and 100000." sqref="D59:D60">
      <formula1>0</formula1>
      <formula2>100000</formula2>
    </dataValidation>
    <dataValidation type="whole" showErrorMessage="1" errorStyle="stop" errorTitle="Invalid balance value" error="Use an integer between 0 and 100000." sqref="D62">
      <formula1>0</formula1>
      <formula2>100000</formula2>
    </dataValidation>
    <dataValidation type="whole" showErrorMessage="1" errorStyle="stop" errorTitle="Invalid balance value" error="Use an integer between 0 and 100000." sqref="D7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1297</v>
      </c>
      <c r="B2" t="s">
        <v>1298</v>
      </c>
      <c r="C2" t="s">
        <v>1299</v>
      </c>
      <c r="D2" s="3" t="s">
        <v>159</v>
      </c>
      <c r="E2" t="s">
        <v>81</v>
      </c>
      <c r="F2" t="s">
        <v>31</v>
      </c>
      <c r="G2" t="s">
        <v>31</v>
      </c>
      <c r="H2" t="s">
        <v>31</v>
      </c>
      <c r="I2" t="s">
        <v>31</v>
      </c>
    </row>
    <row r="3" spans="1:9" x14ac:dyDescent="0.25">
      <c r="A3" t="s">
        <v>1300</v>
      </c>
      <c r="B3" t="s">
        <v>1298</v>
      </c>
      <c r="C3" t="s">
        <v>228</v>
      </c>
      <c r="D3" s="3" t="s">
        <v>1301</v>
      </c>
      <c r="E3" t="s">
        <v>81</v>
      </c>
      <c r="F3" t="s">
        <v>31</v>
      </c>
      <c r="G3" t="s">
        <v>31</v>
      </c>
      <c r="H3" t="s">
        <v>31</v>
      </c>
      <c r="I3" t="s">
        <v>31</v>
      </c>
    </row>
    <row r="4" spans="1:9" x14ac:dyDescent="0.25">
      <c r="A4" t="s">
        <v>1302</v>
      </c>
      <c r="B4" t="s">
        <v>1298</v>
      </c>
      <c r="C4" t="s">
        <v>1303</v>
      </c>
      <c r="D4" s="3">
        <v>1</v>
      </c>
      <c r="E4" t="s">
        <v>30</v>
      </c>
      <c r="F4" t="s">
        <v>31</v>
      </c>
      <c r="G4">
        <v>0</v>
      </c>
      <c r="H4">
        <v>100000</v>
      </c>
      <c r="I4" t="s">
        <v>31</v>
      </c>
    </row>
    <row r="5" spans="1:9" x14ac:dyDescent="0.25">
      <c r="A5" t="s">
        <v>1304</v>
      </c>
      <c r="B5" t="s">
        <v>1298</v>
      </c>
      <c r="C5" t="s">
        <v>1305</v>
      </c>
      <c r="D5" s="3">
        <v>0.6</v>
      </c>
      <c r="E5" t="s">
        <v>30</v>
      </c>
      <c r="F5" t="s">
        <v>31</v>
      </c>
      <c r="G5">
        <v>0</v>
      </c>
      <c r="H5">
        <v>100000</v>
      </c>
      <c r="I5" t="s">
        <v>31</v>
      </c>
    </row>
    <row r="6" spans="1:9" x14ac:dyDescent="0.25">
      <c r="A6" t="s">
        <v>1306</v>
      </c>
      <c r="B6" t="s">
        <v>1298</v>
      </c>
      <c r="C6" t="s">
        <v>226</v>
      </c>
      <c r="D6" s="2" t="s">
        <v>1298</v>
      </c>
      <c r="E6" t="s">
        <v>81</v>
      </c>
      <c r="F6" t="s">
        <v>31</v>
      </c>
      <c r="G6" t="s">
        <v>31</v>
      </c>
      <c r="H6" t="s">
        <v>31</v>
      </c>
      <c r="I6" t="s">
        <v>32</v>
      </c>
    </row>
    <row r="7" spans="1:9" x14ac:dyDescent="0.25">
      <c r="A7" t="s">
        <v>1307</v>
      </c>
      <c r="B7" t="s">
        <v>1308</v>
      </c>
      <c r="C7" t="s">
        <v>1299</v>
      </c>
      <c r="D7" s="3" t="s">
        <v>170</v>
      </c>
      <c r="E7" t="s">
        <v>81</v>
      </c>
      <c r="F7" t="s">
        <v>31</v>
      </c>
      <c r="G7" t="s">
        <v>31</v>
      </c>
      <c r="H7" t="s">
        <v>31</v>
      </c>
      <c r="I7" t="s">
        <v>31</v>
      </c>
    </row>
    <row r="8" spans="1:9" x14ac:dyDescent="0.25">
      <c r="A8" t="s">
        <v>1309</v>
      </c>
      <c r="B8" t="s">
        <v>1308</v>
      </c>
      <c r="C8" t="s">
        <v>228</v>
      </c>
      <c r="D8" s="3" t="s">
        <v>1310</v>
      </c>
      <c r="E8" t="s">
        <v>81</v>
      </c>
      <c r="F8" t="s">
        <v>31</v>
      </c>
      <c r="G8" t="s">
        <v>31</v>
      </c>
      <c r="H8" t="s">
        <v>31</v>
      </c>
      <c r="I8" t="s">
        <v>31</v>
      </c>
    </row>
    <row r="9" spans="1:9" x14ac:dyDescent="0.25">
      <c r="A9" t="s">
        <v>1311</v>
      </c>
      <c r="B9" t="s">
        <v>1308</v>
      </c>
      <c r="C9" t="s">
        <v>1303</v>
      </c>
      <c r="D9" s="3">
        <v>1</v>
      </c>
      <c r="E9" t="s">
        <v>30</v>
      </c>
      <c r="F9" t="s">
        <v>31</v>
      </c>
      <c r="G9">
        <v>0</v>
      </c>
      <c r="H9">
        <v>100000</v>
      </c>
      <c r="I9" t="s">
        <v>31</v>
      </c>
    </row>
    <row r="10" spans="1:9" x14ac:dyDescent="0.25">
      <c r="A10" t="s">
        <v>1312</v>
      </c>
      <c r="B10" t="s">
        <v>1308</v>
      </c>
      <c r="C10" t="s">
        <v>1305</v>
      </c>
      <c r="D10" s="3">
        <v>0.5</v>
      </c>
      <c r="E10" t="s">
        <v>30</v>
      </c>
      <c r="F10" t="s">
        <v>31</v>
      </c>
      <c r="G10">
        <v>0</v>
      </c>
      <c r="H10">
        <v>100000</v>
      </c>
      <c r="I10" t="s">
        <v>31</v>
      </c>
    </row>
    <row r="11" spans="1:9" x14ac:dyDescent="0.25">
      <c r="A11" t="s">
        <v>1313</v>
      </c>
      <c r="B11" t="s">
        <v>1308</v>
      </c>
      <c r="C11" t="s">
        <v>226</v>
      </c>
      <c r="D11" s="2" t="s">
        <v>1308</v>
      </c>
      <c r="E11" t="s">
        <v>81</v>
      </c>
      <c r="F11" t="s">
        <v>31</v>
      </c>
      <c r="G11" t="s">
        <v>31</v>
      </c>
      <c r="H11" t="s">
        <v>31</v>
      </c>
      <c r="I11" t="s">
        <v>32</v>
      </c>
    </row>
    <row r="12" spans="1:9" x14ac:dyDescent="0.25">
      <c r="A12" t="s">
        <v>1314</v>
      </c>
      <c r="B12" t="s">
        <v>1315</v>
      </c>
      <c r="C12" t="s">
        <v>1299</v>
      </c>
      <c r="D12" s="3" t="s">
        <v>173</v>
      </c>
      <c r="E12" t="s">
        <v>81</v>
      </c>
      <c r="F12" t="s">
        <v>31</v>
      </c>
      <c r="G12" t="s">
        <v>31</v>
      </c>
      <c r="H12" t="s">
        <v>31</v>
      </c>
      <c r="I12" t="s">
        <v>31</v>
      </c>
    </row>
    <row r="13" spans="1:9" x14ac:dyDescent="0.25">
      <c r="A13" t="s">
        <v>1316</v>
      </c>
      <c r="B13" t="s">
        <v>1315</v>
      </c>
      <c r="C13" t="s">
        <v>228</v>
      </c>
      <c r="D13" s="3" t="s">
        <v>1317</v>
      </c>
      <c r="E13" t="s">
        <v>81</v>
      </c>
      <c r="F13" t="s">
        <v>31</v>
      </c>
      <c r="G13" t="s">
        <v>31</v>
      </c>
      <c r="H13" t="s">
        <v>31</v>
      </c>
      <c r="I13" t="s">
        <v>31</v>
      </c>
    </row>
    <row r="14" spans="1:9" x14ac:dyDescent="0.25">
      <c r="A14" t="s">
        <v>1318</v>
      </c>
      <c r="B14" t="s">
        <v>1315</v>
      </c>
      <c r="C14" t="s">
        <v>1303</v>
      </c>
      <c r="D14" s="3">
        <v>1</v>
      </c>
      <c r="E14" t="s">
        <v>30</v>
      </c>
      <c r="F14" t="s">
        <v>31</v>
      </c>
      <c r="G14">
        <v>0</v>
      </c>
      <c r="H14">
        <v>100000</v>
      </c>
      <c r="I14" t="s">
        <v>31</v>
      </c>
    </row>
    <row r="15" spans="1:9" x14ac:dyDescent="0.25">
      <c r="A15" t="s">
        <v>1319</v>
      </c>
      <c r="B15" t="s">
        <v>1315</v>
      </c>
      <c r="C15" t="s">
        <v>1305</v>
      </c>
      <c r="D15" s="3">
        <v>0.5</v>
      </c>
      <c r="E15" t="s">
        <v>30</v>
      </c>
      <c r="F15" t="s">
        <v>31</v>
      </c>
      <c r="G15">
        <v>0</v>
      </c>
      <c r="H15">
        <v>100000</v>
      </c>
      <c r="I15" t="s">
        <v>31</v>
      </c>
    </row>
    <row r="16" spans="1:9" x14ac:dyDescent="0.25">
      <c r="A16" t="s">
        <v>1320</v>
      </c>
      <c r="B16" t="s">
        <v>1315</v>
      </c>
      <c r="C16" t="s">
        <v>226</v>
      </c>
      <c r="D16" s="2" t="s">
        <v>1315</v>
      </c>
      <c r="E16" t="s">
        <v>81</v>
      </c>
      <c r="F16" t="s">
        <v>31</v>
      </c>
      <c r="G16" t="s">
        <v>31</v>
      </c>
      <c r="H16" t="s">
        <v>31</v>
      </c>
      <c r="I16" t="s">
        <v>32</v>
      </c>
    </row>
    <row r="17" spans="1:9" x14ac:dyDescent="0.25">
      <c r="A17" t="s">
        <v>1321</v>
      </c>
      <c r="B17" t="s">
        <v>1322</v>
      </c>
      <c r="C17" t="s">
        <v>1299</v>
      </c>
      <c r="D17" s="3" t="s">
        <v>1323</v>
      </c>
      <c r="E17" t="s">
        <v>81</v>
      </c>
      <c r="F17" t="s">
        <v>31</v>
      </c>
      <c r="G17" t="s">
        <v>31</v>
      </c>
      <c r="H17" t="s">
        <v>31</v>
      </c>
      <c r="I17" t="s">
        <v>31</v>
      </c>
    </row>
    <row r="18" spans="1:9" x14ac:dyDescent="0.25">
      <c r="A18" t="s">
        <v>1324</v>
      </c>
      <c r="B18" t="s">
        <v>1322</v>
      </c>
      <c r="C18" t="s">
        <v>228</v>
      </c>
      <c r="D18" s="3" t="s">
        <v>1325</v>
      </c>
      <c r="E18" t="s">
        <v>81</v>
      </c>
      <c r="F18" t="s">
        <v>31</v>
      </c>
      <c r="G18" t="s">
        <v>31</v>
      </c>
      <c r="H18" t="s">
        <v>31</v>
      </c>
      <c r="I18" t="s">
        <v>31</v>
      </c>
    </row>
    <row r="19" spans="1:9" x14ac:dyDescent="0.25">
      <c r="A19" t="s">
        <v>1326</v>
      </c>
      <c r="B19" t="s">
        <v>1322</v>
      </c>
      <c r="C19" t="s">
        <v>1303</v>
      </c>
      <c r="D19" s="3">
        <v>10</v>
      </c>
      <c r="E19" t="s">
        <v>30</v>
      </c>
      <c r="F19" t="s">
        <v>31</v>
      </c>
      <c r="G19">
        <v>0</v>
      </c>
      <c r="H19">
        <v>100000</v>
      </c>
      <c r="I19" t="s">
        <v>31</v>
      </c>
    </row>
    <row r="20" spans="1:9" x14ac:dyDescent="0.25">
      <c r="A20" t="s">
        <v>1327</v>
      </c>
      <c r="B20" t="s">
        <v>1322</v>
      </c>
      <c r="C20" t="s">
        <v>1305</v>
      </c>
      <c r="D20" s="3">
        <v>3</v>
      </c>
      <c r="E20" t="s">
        <v>30</v>
      </c>
      <c r="F20" t="s">
        <v>31</v>
      </c>
      <c r="G20">
        <v>0</v>
      </c>
      <c r="H20">
        <v>100000</v>
      </c>
      <c r="I20" t="s">
        <v>31</v>
      </c>
    </row>
    <row r="21" spans="1:9" x14ac:dyDescent="0.25">
      <c r="A21" t="s">
        <v>1328</v>
      </c>
      <c r="B21" t="s">
        <v>1322</v>
      </c>
      <c r="C21" t="s">
        <v>226</v>
      </c>
      <c r="D21" s="2" t="s">
        <v>1322</v>
      </c>
      <c r="E21" t="s">
        <v>81</v>
      </c>
      <c r="F21" t="s">
        <v>31</v>
      </c>
      <c r="G21" t="s">
        <v>31</v>
      </c>
      <c r="H21" t="s">
        <v>31</v>
      </c>
      <c r="I21" t="s">
        <v>32</v>
      </c>
    </row>
    <row r="22" spans="1:9" x14ac:dyDescent="0.25">
      <c r="A22" t="s">
        <v>1329</v>
      </c>
      <c r="B22" t="s">
        <v>1330</v>
      </c>
      <c r="C22" t="s">
        <v>1299</v>
      </c>
      <c r="D22" s="3" t="s">
        <v>1219</v>
      </c>
      <c r="E22" t="s">
        <v>81</v>
      </c>
      <c r="F22" t="s">
        <v>31</v>
      </c>
      <c r="G22" t="s">
        <v>31</v>
      </c>
      <c r="H22" t="s">
        <v>31</v>
      </c>
      <c r="I22" t="s">
        <v>31</v>
      </c>
    </row>
    <row r="23" spans="1:9" x14ac:dyDescent="0.25">
      <c r="A23" t="s">
        <v>1331</v>
      </c>
      <c r="B23" t="s">
        <v>1330</v>
      </c>
      <c r="C23" t="s">
        <v>228</v>
      </c>
      <c r="D23" s="3" t="s">
        <v>1332</v>
      </c>
      <c r="E23" t="s">
        <v>81</v>
      </c>
      <c r="F23" t="s">
        <v>31</v>
      </c>
      <c r="G23" t="s">
        <v>31</v>
      </c>
      <c r="H23" t="s">
        <v>31</v>
      </c>
      <c r="I23" t="s">
        <v>31</v>
      </c>
    </row>
    <row r="24" spans="1:9" x14ac:dyDescent="0.25">
      <c r="A24" t="s">
        <v>1333</v>
      </c>
      <c r="B24" t="s">
        <v>1330</v>
      </c>
      <c r="C24" t="s">
        <v>1303</v>
      </c>
      <c r="D24" s="3">
        <v>1</v>
      </c>
      <c r="E24" t="s">
        <v>30</v>
      </c>
      <c r="F24" t="s">
        <v>31</v>
      </c>
      <c r="G24">
        <v>0</v>
      </c>
      <c r="H24">
        <v>100000</v>
      </c>
      <c r="I24" t="s">
        <v>31</v>
      </c>
    </row>
    <row r="25" spans="1:9" x14ac:dyDescent="0.25">
      <c r="A25" t="s">
        <v>1334</v>
      </c>
      <c r="B25" t="s">
        <v>1330</v>
      </c>
      <c r="C25" t="s">
        <v>1305</v>
      </c>
      <c r="D25" s="3">
        <v>0.5</v>
      </c>
      <c r="E25" t="s">
        <v>30</v>
      </c>
      <c r="F25" t="s">
        <v>31</v>
      </c>
      <c r="G25">
        <v>0</v>
      </c>
      <c r="H25">
        <v>100000</v>
      </c>
      <c r="I25" t="s">
        <v>31</v>
      </c>
    </row>
    <row r="26" spans="1:9" x14ac:dyDescent="0.25">
      <c r="A26" t="s">
        <v>1335</v>
      </c>
      <c r="B26" t="s">
        <v>1330</v>
      </c>
      <c r="C26" t="s">
        <v>226</v>
      </c>
      <c r="D26" s="2" t="s">
        <v>1330</v>
      </c>
      <c r="E26" t="s">
        <v>81</v>
      </c>
      <c r="F26" t="s">
        <v>31</v>
      </c>
      <c r="G26" t="s">
        <v>31</v>
      </c>
      <c r="H26" t="s">
        <v>31</v>
      </c>
      <c r="I26" t="s">
        <v>32</v>
      </c>
    </row>
    <row r="27" spans="1:9" x14ac:dyDescent="0.25">
      <c r="A27" t="s">
        <v>1336</v>
      </c>
      <c r="B27" t="s">
        <v>1337</v>
      </c>
      <c r="C27" t="s">
        <v>1299</v>
      </c>
      <c r="D27" s="3" t="s">
        <v>1338</v>
      </c>
      <c r="E27" t="s">
        <v>81</v>
      </c>
      <c r="F27" t="s">
        <v>31</v>
      </c>
      <c r="G27" t="s">
        <v>31</v>
      </c>
      <c r="H27" t="s">
        <v>31</v>
      </c>
      <c r="I27" t="s">
        <v>31</v>
      </c>
    </row>
    <row r="28" spans="1:9" x14ac:dyDescent="0.25">
      <c r="A28" t="s">
        <v>1339</v>
      </c>
      <c r="B28" t="s">
        <v>1337</v>
      </c>
      <c r="C28" t="s">
        <v>228</v>
      </c>
      <c r="D28" s="3" t="s">
        <v>1340</v>
      </c>
      <c r="E28" t="s">
        <v>81</v>
      </c>
      <c r="F28" t="s">
        <v>31</v>
      </c>
      <c r="G28" t="s">
        <v>31</v>
      </c>
      <c r="H28" t="s">
        <v>31</v>
      </c>
      <c r="I28" t="s">
        <v>31</v>
      </c>
    </row>
    <row r="29" spans="1:9" x14ac:dyDescent="0.25">
      <c r="A29" t="s">
        <v>1341</v>
      </c>
      <c r="B29" t="s">
        <v>1337</v>
      </c>
      <c r="C29" t="s">
        <v>1303</v>
      </c>
      <c r="D29" s="3">
        <v>1</v>
      </c>
      <c r="E29" t="s">
        <v>30</v>
      </c>
      <c r="F29" t="s">
        <v>31</v>
      </c>
      <c r="G29">
        <v>0</v>
      </c>
      <c r="H29">
        <v>100000</v>
      </c>
      <c r="I29" t="s">
        <v>31</v>
      </c>
    </row>
    <row r="30" spans="1:9" x14ac:dyDescent="0.25">
      <c r="A30" t="s">
        <v>1342</v>
      </c>
      <c r="B30" t="s">
        <v>1337</v>
      </c>
      <c r="C30" t="s">
        <v>1305</v>
      </c>
      <c r="D30" s="3">
        <v>0</v>
      </c>
      <c r="E30" t="s">
        <v>30</v>
      </c>
      <c r="F30" t="s">
        <v>31</v>
      </c>
      <c r="G30">
        <v>0</v>
      </c>
      <c r="H30">
        <v>100000</v>
      </c>
      <c r="I30" t="s">
        <v>31</v>
      </c>
    </row>
    <row r="31" spans="1:9" x14ac:dyDescent="0.25">
      <c r="A31" t="s">
        <v>1343</v>
      </c>
      <c r="B31" t="s">
        <v>1337</v>
      </c>
      <c r="C31" t="s">
        <v>226</v>
      </c>
      <c r="D31" s="2" t="s">
        <v>1337</v>
      </c>
      <c r="E31" t="s">
        <v>81</v>
      </c>
      <c r="F31" t="s">
        <v>31</v>
      </c>
      <c r="G31" t="s">
        <v>31</v>
      </c>
      <c r="H31" t="s">
        <v>31</v>
      </c>
      <c r="I31" t="s">
        <v>32</v>
      </c>
    </row>
    <row r="32" spans="1:9" x14ac:dyDescent="0.25">
      <c r="A32" t="s">
        <v>1344</v>
      </c>
      <c r="B32" t="s">
        <v>1345</v>
      </c>
      <c r="C32" t="s">
        <v>1346</v>
      </c>
      <c r="D32" s="3">
        <v>3</v>
      </c>
      <c r="E32" t="s">
        <v>30</v>
      </c>
      <c r="F32" t="s">
        <v>77</v>
      </c>
      <c r="G32">
        <v>0</v>
      </c>
      <c r="H32">
        <v>3</v>
      </c>
      <c r="I32" t="s">
        <v>1347</v>
      </c>
    </row>
    <row r="33" spans="1:9" x14ac:dyDescent="0.25">
      <c r="A33" t="s">
        <v>1348</v>
      </c>
      <c r="B33" t="s">
        <v>1345</v>
      </c>
      <c r="C33" t="s">
        <v>1346</v>
      </c>
      <c r="D33" s="2" t="s">
        <v>1349</v>
      </c>
      <c r="E33" t="s">
        <v>81</v>
      </c>
      <c r="F33" t="s">
        <v>77</v>
      </c>
      <c r="G33" t="s">
        <v>31</v>
      </c>
      <c r="H33" t="s">
        <v>31</v>
      </c>
      <c r="I33" t="s">
        <v>32</v>
      </c>
    </row>
    <row r="34" spans="1:9" x14ac:dyDescent="0.25">
      <c r="A34" t="s">
        <v>1350</v>
      </c>
      <c r="B34" t="s">
        <v>1345</v>
      </c>
      <c r="C34" t="s">
        <v>1346</v>
      </c>
      <c r="D34" s="2" t="s">
        <v>1346</v>
      </c>
      <c r="E34" t="s">
        <v>81</v>
      </c>
      <c r="F34" t="s">
        <v>77</v>
      </c>
      <c r="G34" t="s">
        <v>31</v>
      </c>
      <c r="H34" t="s">
        <v>31</v>
      </c>
      <c r="I34" t="s">
        <v>32</v>
      </c>
    </row>
    <row r="35" spans="1:9" x14ac:dyDescent="0.25">
      <c r="A35" t="s">
        <v>1351</v>
      </c>
      <c r="B35" t="s">
        <v>1345</v>
      </c>
      <c r="C35" t="s">
        <v>1346</v>
      </c>
      <c r="D35" s="2" t="s">
        <v>1347</v>
      </c>
      <c r="E35" t="s">
        <v>81</v>
      </c>
      <c r="F35" t="s">
        <v>77</v>
      </c>
      <c r="G35" t="s">
        <v>31</v>
      </c>
      <c r="H35" t="s">
        <v>31</v>
      </c>
      <c r="I35" t="s">
        <v>32</v>
      </c>
    </row>
    <row r="36" spans="1:9" x14ac:dyDescent="0.25">
      <c r="A36" t="s">
        <v>1352</v>
      </c>
      <c r="B36" t="s">
        <v>1345</v>
      </c>
      <c r="C36" t="s">
        <v>1346</v>
      </c>
      <c r="D36" s="2" t="s">
        <v>77</v>
      </c>
      <c r="E36" t="s">
        <v>81</v>
      </c>
      <c r="F36" t="s">
        <v>77</v>
      </c>
      <c r="G36" t="s">
        <v>31</v>
      </c>
      <c r="H36" t="s">
        <v>31</v>
      </c>
      <c r="I36" t="s">
        <v>32</v>
      </c>
    </row>
    <row r="37" spans="1:9" x14ac:dyDescent="0.25">
      <c r="A37" t="s">
        <v>1353</v>
      </c>
      <c r="B37" t="s">
        <v>1345</v>
      </c>
      <c r="C37" t="s">
        <v>1346</v>
      </c>
      <c r="D37" s="2">
        <v>0</v>
      </c>
      <c r="E37" t="s">
        <v>30</v>
      </c>
      <c r="F37" t="s">
        <v>77</v>
      </c>
      <c r="G37">
        <v>0</v>
      </c>
      <c r="H37">
        <v>3</v>
      </c>
      <c r="I37" t="s">
        <v>32</v>
      </c>
    </row>
    <row r="38" spans="1:9" x14ac:dyDescent="0.25">
      <c r="A38" t="s">
        <v>1354</v>
      </c>
      <c r="B38" t="s">
        <v>1345</v>
      </c>
      <c r="C38" t="s">
        <v>1346</v>
      </c>
      <c r="D38" s="2">
        <v>100</v>
      </c>
      <c r="E38" t="s">
        <v>30</v>
      </c>
      <c r="F38" t="s">
        <v>77</v>
      </c>
      <c r="G38">
        <v>0</v>
      </c>
      <c r="H38">
        <v>3</v>
      </c>
      <c r="I38" t="s">
        <v>32</v>
      </c>
    </row>
    <row r="39" spans="1:9" x14ac:dyDescent="0.25">
      <c r="A39" t="s">
        <v>1355</v>
      </c>
      <c r="B39" t="s">
        <v>1345</v>
      </c>
      <c r="C39" t="s">
        <v>1346</v>
      </c>
      <c r="D39" s="2" t="b">
        <v>1</v>
      </c>
      <c r="E39" t="s">
        <v>88</v>
      </c>
      <c r="F39" t="s">
        <v>77</v>
      </c>
      <c r="G39" t="s">
        <v>31</v>
      </c>
      <c r="H39" t="s">
        <v>31</v>
      </c>
      <c r="I39" t="s">
        <v>32</v>
      </c>
    </row>
    <row r="40" spans="1:9" x14ac:dyDescent="0.25">
      <c r="A40" t="s">
        <v>1356</v>
      </c>
      <c r="B40" t="s">
        <v>1357</v>
      </c>
      <c r="C40" t="s">
        <v>1358</v>
      </c>
      <c r="D40" s="3">
        <v>3</v>
      </c>
      <c r="E40" t="s">
        <v>30</v>
      </c>
      <c r="F40" t="s">
        <v>77</v>
      </c>
      <c r="G40">
        <v>1</v>
      </c>
      <c r="H40">
        <v>100</v>
      </c>
      <c r="I40" t="s">
        <v>1359</v>
      </c>
    </row>
    <row r="41" spans="1:9" x14ac:dyDescent="0.25">
      <c r="A41" t="s">
        <v>1360</v>
      </c>
      <c r="B41" t="s">
        <v>1357</v>
      </c>
      <c r="C41" t="s">
        <v>1358</v>
      </c>
      <c r="D41" s="2" t="s">
        <v>1349</v>
      </c>
      <c r="E41" t="s">
        <v>81</v>
      </c>
      <c r="F41" t="s">
        <v>77</v>
      </c>
      <c r="G41" t="s">
        <v>31</v>
      </c>
      <c r="H41" t="s">
        <v>31</v>
      </c>
      <c r="I41" t="s">
        <v>32</v>
      </c>
    </row>
    <row r="42" spans="1:9" x14ac:dyDescent="0.25">
      <c r="A42" t="s">
        <v>1361</v>
      </c>
      <c r="B42" t="s">
        <v>1357</v>
      </c>
      <c r="C42" t="s">
        <v>1358</v>
      </c>
      <c r="D42" s="2" t="s">
        <v>1358</v>
      </c>
      <c r="E42" t="s">
        <v>81</v>
      </c>
      <c r="F42" t="s">
        <v>77</v>
      </c>
      <c r="G42" t="s">
        <v>31</v>
      </c>
      <c r="H42" t="s">
        <v>31</v>
      </c>
      <c r="I42" t="s">
        <v>32</v>
      </c>
    </row>
    <row r="43" spans="1:9" x14ac:dyDescent="0.25">
      <c r="A43" t="s">
        <v>1362</v>
      </c>
      <c r="B43" t="s">
        <v>1357</v>
      </c>
      <c r="C43" t="s">
        <v>1358</v>
      </c>
      <c r="D43" s="2" t="s">
        <v>1359</v>
      </c>
      <c r="E43" t="s">
        <v>81</v>
      </c>
      <c r="F43" t="s">
        <v>77</v>
      </c>
      <c r="G43" t="s">
        <v>31</v>
      </c>
      <c r="H43" t="s">
        <v>31</v>
      </c>
      <c r="I43" t="s">
        <v>32</v>
      </c>
    </row>
    <row r="44" spans="1:9" x14ac:dyDescent="0.25">
      <c r="A44" t="s">
        <v>1363</v>
      </c>
      <c r="B44" t="s">
        <v>1357</v>
      </c>
      <c r="C44" t="s">
        <v>1358</v>
      </c>
      <c r="D44" s="2" t="s">
        <v>77</v>
      </c>
      <c r="E44" t="s">
        <v>81</v>
      </c>
      <c r="F44" t="s">
        <v>77</v>
      </c>
      <c r="G44" t="s">
        <v>31</v>
      </c>
      <c r="H44" t="s">
        <v>31</v>
      </c>
      <c r="I44" t="s">
        <v>32</v>
      </c>
    </row>
    <row r="45" spans="1:9" x14ac:dyDescent="0.25">
      <c r="A45" t="s">
        <v>1364</v>
      </c>
      <c r="B45" t="s">
        <v>1357</v>
      </c>
      <c r="C45" t="s">
        <v>1358</v>
      </c>
      <c r="D45" s="2">
        <v>0</v>
      </c>
      <c r="E45" t="s">
        <v>30</v>
      </c>
      <c r="F45" t="s">
        <v>77</v>
      </c>
      <c r="G45">
        <v>1</v>
      </c>
      <c r="H45">
        <v>100</v>
      </c>
      <c r="I45" t="s">
        <v>32</v>
      </c>
    </row>
    <row r="46" spans="1:9" x14ac:dyDescent="0.25">
      <c r="A46" t="s">
        <v>1365</v>
      </c>
      <c r="B46" t="s">
        <v>1357</v>
      </c>
      <c r="C46" t="s">
        <v>1358</v>
      </c>
      <c r="D46" s="2">
        <v>100</v>
      </c>
      <c r="E46" t="s">
        <v>30</v>
      </c>
      <c r="F46" t="s">
        <v>77</v>
      </c>
      <c r="G46">
        <v>1</v>
      </c>
      <c r="H46">
        <v>100</v>
      </c>
      <c r="I46" t="s">
        <v>32</v>
      </c>
    </row>
    <row r="47" spans="1:9" x14ac:dyDescent="0.25">
      <c r="A47" t="s">
        <v>1366</v>
      </c>
      <c r="B47" t="s">
        <v>1357</v>
      </c>
      <c r="C47" t="s">
        <v>1358</v>
      </c>
      <c r="D47" s="2" t="b">
        <v>1</v>
      </c>
      <c r="E47" t="s">
        <v>88</v>
      </c>
      <c r="F47" t="s">
        <v>77</v>
      </c>
      <c r="G47" t="s">
        <v>31</v>
      </c>
      <c r="H47" t="s">
        <v>31</v>
      </c>
      <c r="I47" t="s">
        <v>32</v>
      </c>
    </row>
  </sheetData>
  <sheetProtection sheet="1" algorithmName="SHA-512" hashValue="uJQVcx29g05RZXla43koq3BFqq+83wj1JDGsnwHM7Viu6E0l2pakz5AB36+Fhw9ujIFbFfr8M85G9eRsaVVkOA==" saltValue="PGKU7srR6ex3D3/DjEGuoA==" spinCount="100000"/>
  <autoFilter ref="A1:I1"/>
  <dataValidations count="12">
    <dataValidation type="decimal" showErrorMessage="1" errorStyle="stop" errorTitle="Invalid balance value" error="Use a number between 0 and 100000." sqref="D10">
      <formula1>0</formula1>
      <formula2>100000</formula2>
    </dataValidation>
    <dataValidation type="whole" showErrorMessage="1" errorStyle="stop" errorTitle="Invalid balance value" error="Use an integer between 0 and 100000." sqref="D14">
      <formula1>0</formula1>
      <formula2>100000</formula2>
    </dataValidation>
    <dataValidation type="decimal" showErrorMessage="1" errorStyle="stop" errorTitle="Invalid balance value" error="Use a number between 0 and 100000." sqref="D15">
      <formula1>0</formula1>
      <formula2>100000</formula2>
    </dataValidation>
    <dataValidation type="whole" showErrorMessage="1" errorStyle="stop" errorTitle="Invalid balance value" error="Use an integer between 0 and 100000." sqref="D19:D20">
      <formula1>0</formula1>
      <formula2>100000</formula2>
    </dataValidation>
    <dataValidation type="whole" showErrorMessage="1" errorStyle="stop" errorTitle="Invalid balance value" error="Use an integer between 0 and 100000." sqref="D24">
      <formula1>0</formula1>
      <formula2>100000</formula2>
    </dataValidation>
    <dataValidation type="decimal" showErrorMessage="1" errorStyle="stop" errorTitle="Invalid balance value" error="Use a number between 0 and 100000." sqref="D25">
      <formula1>0</formula1>
      <formula2>100000</formula2>
    </dataValidation>
    <dataValidation type="whole" showErrorMessage="1" errorStyle="stop" errorTitle="Invalid balance value" error="Use an integer between 0 and 100000." sqref="D29:D30">
      <formula1>0</formula1>
      <formula2>100000</formula2>
    </dataValidation>
    <dataValidation type="whole" showErrorMessage="1" errorStyle="stop" errorTitle="Invalid balance value" error="Use an integer between 0 and 3." sqref="D32">
      <formula1>0</formula1>
      <formula2>3</formula2>
    </dataValidation>
    <dataValidation type="whole" showErrorMessage="1" errorStyle="stop" errorTitle="Invalid balance value" error="Use an integer between 0 and 100000." sqref="D4">
      <formula1>0</formula1>
      <formula2>100000</formula2>
    </dataValidation>
    <dataValidation type="whole" showErrorMessage="1" errorStyle="stop" errorTitle="Invalid balance value" error="Use an integer between 1 and 100." sqref="D40">
      <formula1>1</formula1>
      <formula2>100</formula2>
    </dataValidation>
    <dataValidation type="decimal" showErrorMessage="1" errorStyle="stop" errorTitle="Invalid balance value" error="Use a number between 0 and 100000." sqref="D5">
      <formula1>0</formula1>
      <formula2>100000</formula2>
    </dataValidation>
    <dataValidation type="whole" showErrorMessage="1" errorStyle="stop" errorTitle="Invalid balance value" error="Use an integer between 0 and 100000." sqref="D9">
      <formula1>0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1367</v>
      </c>
      <c r="B2" t="s">
        <v>1368</v>
      </c>
      <c r="C2" t="s">
        <v>226</v>
      </c>
      <c r="D2" s="2" t="s">
        <v>1368</v>
      </c>
      <c r="E2" t="s">
        <v>81</v>
      </c>
      <c r="F2" t="s">
        <v>31</v>
      </c>
      <c r="G2" t="s">
        <v>31</v>
      </c>
      <c r="H2" t="s">
        <v>31</v>
      </c>
      <c r="I2" t="s">
        <v>32</v>
      </c>
    </row>
    <row r="3" spans="1:9" x14ac:dyDescent="0.25">
      <c r="A3" t="s">
        <v>1369</v>
      </c>
      <c r="B3" t="s">
        <v>1368</v>
      </c>
      <c r="C3" t="s">
        <v>228</v>
      </c>
      <c r="D3" s="3" t="s">
        <v>1370</v>
      </c>
      <c r="E3" t="s">
        <v>81</v>
      </c>
      <c r="F3" t="s">
        <v>31</v>
      </c>
      <c r="G3" t="s">
        <v>31</v>
      </c>
      <c r="H3" t="s">
        <v>31</v>
      </c>
      <c r="I3" t="s">
        <v>31</v>
      </c>
    </row>
    <row r="4" spans="1:9" x14ac:dyDescent="0.25">
      <c r="A4" t="s">
        <v>1371</v>
      </c>
      <c r="B4" t="s">
        <v>1368</v>
      </c>
      <c r="C4" t="s">
        <v>1372</v>
      </c>
      <c r="D4" s="3" t="s">
        <v>1373</v>
      </c>
      <c r="E4" t="s">
        <v>81</v>
      </c>
      <c r="F4" t="s">
        <v>31</v>
      </c>
      <c r="G4" t="s">
        <v>31</v>
      </c>
      <c r="H4" t="s">
        <v>31</v>
      </c>
      <c r="I4" t="s">
        <v>31</v>
      </c>
    </row>
    <row r="5" spans="1:9" x14ac:dyDescent="0.25">
      <c r="A5" t="s">
        <v>1374</v>
      </c>
      <c r="B5" t="s">
        <v>1368</v>
      </c>
      <c r="C5" t="s">
        <v>1375</v>
      </c>
      <c r="D5" s="3">
        <v>1</v>
      </c>
      <c r="E5" t="s">
        <v>30</v>
      </c>
      <c r="F5" t="s">
        <v>31</v>
      </c>
      <c r="G5">
        <v>1</v>
      </c>
      <c r="H5">
        <v>10</v>
      </c>
      <c r="I5" t="s">
        <v>31</v>
      </c>
    </row>
    <row r="6" spans="1:9" x14ac:dyDescent="0.25">
      <c r="A6" t="s">
        <v>1376</v>
      </c>
      <c r="B6" t="s">
        <v>1368</v>
      </c>
      <c r="C6" t="s">
        <v>1377</v>
      </c>
      <c r="D6" s="3">
        <v>3</v>
      </c>
      <c r="E6" t="s">
        <v>30</v>
      </c>
      <c r="F6" t="s">
        <v>31</v>
      </c>
      <c r="G6">
        <v>1</v>
      </c>
      <c r="H6">
        <v>10</v>
      </c>
      <c r="I6" t="s">
        <v>31</v>
      </c>
    </row>
    <row r="7" spans="1:9" x14ac:dyDescent="0.25">
      <c r="A7" t="s">
        <v>1378</v>
      </c>
      <c r="B7" t="s">
        <v>1368</v>
      </c>
      <c r="C7" t="s">
        <v>1379</v>
      </c>
      <c r="D7" s="3">
        <v>1</v>
      </c>
      <c r="E7" t="s">
        <v>30</v>
      </c>
      <c r="F7" t="s">
        <v>31</v>
      </c>
      <c r="G7">
        <v>0.0001</v>
      </c>
      <c r="H7">
        <v>100</v>
      </c>
      <c r="I7" t="s">
        <v>31</v>
      </c>
    </row>
    <row r="8" spans="1:9" x14ac:dyDescent="0.25">
      <c r="A8" t="s">
        <v>1380</v>
      </c>
      <c r="B8" t="s">
        <v>1368</v>
      </c>
      <c r="C8" t="s">
        <v>1381</v>
      </c>
      <c r="D8" s="3">
        <v>1</v>
      </c>
      <c r="E8" t="s">
        <v>30</v>
      </c>
      <c r="F8" t="s">
        <v>31</v>
      </c>
      <c r="G8">
        <v>0.0001</v>
      </c>
      <c r="H8">
        <v>100</v>
      </c>
      <c r="I8" t="s">
        <v>31</v>
      </c>
    </row>
    <row r="9" spans="1:9" x14ac:dyDescent="0.25">
      <c r="A9" t="s">
        <v>1382</v>
      </c>
      <c r="B9" t="s">
        <v>1368</v>
      </c>
      <c r="C9" t="s">
        <v>1383</v>
      </c>
      <c r="D9" s="3">
        <v>0</v>
      </c>
      <c r="E9" t="s">
        <v>30</v>
      </c>
      <c r="F9" t="s">
        <v>31</v>
      </c>
      <c r="G9">
        <v>0</v>
      </c>
      <c r="H9">
        <v>10</v>
      </c>
      <c r="I9" t="s">
        <v>31</v>
      </c>
    </row>
    <row r="10" spans="1:9" x14ac:dyDescent="0.25">
      <c r="A10" t="s">
        <v>1384</v>
      </c>
      <c r="B10" t="s">
        <v>1368</v>
      </c>
      <c r="C10" t="s">
        <v>1385</v>
      </c>
      <c r="D10" s="3">
        <v>0</v>
      </c>
      <c r="E10" t="s">
        <v>30</v>
      </c>
      <c r="F10" t="s">
        <v>31</v>
      </c>
      <c r="G10">
        <v>0</v>
      </c>
      <c r="H10">
        <v>10</v>
      </c>
      <c r="I10" t="s">
        <v>31</v>
      </c>
    </row>
    <row r="11" spans="1:9" x14ac:dyDescent="0.25">
      <c r="A11" t="s">
        <v>1386</v>
      </c>
      <c r="B11" t="s">
        <v>1368</v>
      </c>
      <c r="C11" t="s">
        <v>1387</v>
      </c>
      <c r="D11" s="3" t="s">
        <v>753</v>
      </c>
      <c r="E11" t="s">
        <v>81</v>
      </c>
      <c r="F11" t="s">
        <v>31</v>
      </c>
      <c r="G11" t="s">
        <v>31</v>
      </c>
      <c r="H11" t="s">
        <v>31</v>
      </c>
      <c r="I11" t="s">
        <v>31</v>
      </c>
    </row>
    <row r="12" spans="1:9" x14ac:dyDescent="0.25">
      <c r="A12" t="s">
        <v>1388</v>
      </c>
      <c r="B12" t="s">
        <v>1389</v>
      </c>
      <c r="C12" t="s">
        <v>226</v>
      </c>
      <c r="D12" s="2" t="s">
        <v>1389</v>
      </c>
      <c r="E12" t="s">
        <v>81</v>
      </c>
      <c r="F12" t="s">
        <v>31</v>
      </c>
      <c r="G12" t="s">
        <v>31</v>
      </c>
      <c r="H12" t="s">
        <v>31</v>
      </c>
      <c r="I12" t="s">
        <v>32</v>
      </c>
    </row>
    <row r="13" spans="1:9" x14ac:dyDescent="0.25">
      <c r="A13" t="s">
        <v>1390</v>
      </c>
      <c r="B13" t="s">
        <v>1389</v>
      </c>
      <c r="C13" t="s">
        <v>228</v>
      </c>
      <c r="D13" s="3" t="s">
        <v>1391</v>
      </c>
      <c r="E13" t="s">
        <v>81</v>
      </c>
      <c r="F13" t="s">
        <v>31</v>
      </c>
      <c r="G13" t="s">
        <v>31</v>
      </c>
      <c r="H13" t="s">
        <v>31</v>
      </c>
      <c r="I13" t="s">
        <v>31</v>
      </c>
    </row>
    <row r="14" spans="1:9" x14ac:dyDescent="0.25">
      <c r="A14" t="s">
        <v>1392</v>
      </c>
      <c r="B14" t="s">
        <v>1389</v>
      </c>
      <c r="C14" t="s">
        <v>1372</v>
      </c>
      <c r="D14" s="3" t="s">
        <v>1393</v>
      </c>
      <c r="E14" t="s">
        <v>81</v>
      </c>
      <c r="F14" t="s">
        <v>31</v>
      </c>
      <c r="G14" t="s">
        <v>31</v>
      </c>
      <c r="H14" t="s">
        <v>31</v>
      </c>
      <c r="I14" t="s">
        <v>31</v>
      </c>
    </row>
    <row r="15" spans="1:9" x14ac:dyDescent="0.25">
      <c r="A15" t="s">
        <v>1394</v>
      </c>
      <c r="B15" t="s">
        <v>1389</v>
      </c>
      <c r="C15" t="s">
        <v>1375</v>
      </c>
      <c r="D15" s="3">
        <v>1</v>
      </c>
      <c r="E15" t="s">
        <v>30</v>
      </c>
      <c r="F15" t="s">
        <v>31</v>
      </c>
      <c r="G15">
        <v>1</v>
      </c>
      <c r="H15">
        <v>10</v>
      </c>
      <c r="I15" t="s">
        <v>31</v>
      </c>
    </row>
    <row r="16" spans="1:9" x14ac:dyDescent="0.25">
      <c r="A16" t="s">
        <v>1395</v>
      </c>
      <c r="B16" t="s">
        <v>1389</v>
      </c>
      <c r="C16" t="s">
        <v>1377</v>
      </c>
      <c r="D16" s="3">
        <v>3</v>
      </c>
      <c r="E16" t="s">
        <v>30</v>
      </c>
      <c r="F16" t="s">
        <v>31</v>
      </c>
      <c r="G16">
        <v>1</v>
      </c>
      <c r="H16">
        <v>10</v>
      </c>
      <c r="I16" t="s">
        <v>31</v>
      </c>
    </row>
    <row r="17" spans="1:9" x14ac:dyDescent="0.25">
      <c r="A17" t="s">
        <v>1396</v>
      </c>
      <c r="B17" t="s">
        <v>1389</v>
      </c>
      <c r="C17" t="s">
        <v>1379</v>
      </c>
      <c r="D17" s="3">
        <v>1</v>
      </c>
      <c r="E17" t="s">
        <v>30</v>
      </c>
      <c r="F17" t="s">
        <v>31</v>
      </c>
      <c r="G17">
        <v>0.0001</v>
      </c>
      <c r="H17">
        <v>100</v>
      </c>
      <c r="I17" t="s">
        <v>31</v>
      </c>
    </row>
    <row r="18" spans="1:9" x14ac:dyDescent="0.25">
      <c r="A18" t="s">
        <v>1397</v>
      </c>
      <c r="B18" t="s">
        <v>1389</v>
      </c>
      <c r="C18" t="s">
        <v>1381</v>
      </c>
      <c r="D18" s="3">
        <v>1</v>
      </c>
      <c r="E18" t="s">
        <v>30</v>
      </c>
      <c r="F18" t="s">
        <v>31</v>
      </c>
      <c r="G18">
        <v>0.0001</v>
      </c>
      <c r="H18">
        <v>100</v>
      </c>
      <c r="I18" t="s">
        <v>31</v>
      </c>
    </row>
    <row r="19" spans="1:9" x14ac:dyDescent="0.25">
      <c r="A19" t="s">
        <v>1398</v>
      </c>
      <c r="B19" t="s">
        <v>1389</v>
      </c>
      <c r="C19" t="s">
        <v>1383</v>
      </c>
      <c r="D19" s="3">
        <v>0</v>
      </c>
      <c r="E19" t="s">
        <v>30</v>
      </c>
      <c r="F19" t="s">
        <v>31</v>
      </c>
      <c r="G19">
        <v>0</v>
      </c>
      <c r="H19">
        <v>10</v>
      </c>
      <c r="I19" t="s">
        <v>31</v>
      </c>
    </row>
    <row r="20" spans="1:9" x14ac:dyDescent="0.25">
      <c r="A20" t="s">
        <v>1399</v>
      </c>
      <c r="B20" t="s">
        <v>1389</v>
      </c>
      <c r="C20" t="s">
        <v>1385</v>
      </c>
      <c r="D20" s="3">
        <v>0</v>
      </c>
      <c r="E20" t="s">
        <v>30</v>
      </c>
      <c r="F20" t="s">
        <v>31</v>
      </c>
      <c r="G20">
        <v>0</v>
      </c>
      <c r="H20">
        <v>10</v>
      </c>
      <c r="I20" t="s">
        <v>31</v>
      </c>
    </row>
    <row r="21" spans="1:9" x14ac:dyDescent="0.25">
      <c r="A21" t="s">
        <v>1400</v>
      </c>
      <c r="B21" t="s">
        <v>1389</v>
      </c>
      <c r="C21" t="s">
        <v>1387</v>
      </c>
      <c r="D21" s="3" t="s">
        <v>810</v>
      </c>
      <c r="E21" t="s">
        <v>81</v>
      </c>
      <c r="F21" t="s">
        <v>31</v>
      </c>
      <c r="G21" t="s">
        <v>31</v>
      </c>
      <c r="H21" t="s">
        <v>31</v>
      </c>
      <c r="I21" t="s">
        <v>31</v>
      </c>
    </row>
    <row r="22" spans="1:9" x14ac:dyDescent="0.25">
      <c r="A22" t="s">
        <v>1401</v>
      </c>
      <c r="B22" t="s">
        <v>1402</v>
      </c>
      <c r="C22" t="s">
        <v>226</v>
      </c>
      <c r="D22" s="2" t="s">
        <v>1402</v>
      </c>
      <c r="E22" t="s">
        <v>81</v>
      </c>
      <c r="F22" t="s">
        <v>31</v>
      </c>
      <c r="G22" t="s">
        <v>31</v>
      </c>
      <c r="H22" t="s">
        <v>31</v>
      </c>
      <c r="I22" t="s">
        <v>32</v>
      </c>
    </row>
    <row r="23" spans="1:9" x14ac:dyDescent="0.25">
      <c r="A23" t="s">
        <v>1403</v>
      </c>
      <c r="B23" t="s">
        <v>1402</v>
      </c>
      <c r="C23" t="s">
        <v>228</v>
      </c>
      <c r="D23" s="3" t="s">
        <v>1404</v>
      </c>
      <c r="E23" t="s">
        <v>81</v>
      </c>
      <c r="F23" t="s">
        <v>31</v>
      </c>
      <c r="G23" t="s">
        <v>31</v>
      </c>
      <c r="H23" t="s">
        <v>31</v>
      </c>
      <c r="I23" t="s">
        <v>31</v>
      </c>
    </row>
    <row r="24" spans="1:9" x14ac:dyDescent="0.25">
      <c r="A24" t="s">
        <v>1405</v>
      </c>
      <c r="B24" t="s">
        <v>1402</v>
      </c>
      <c r="C24" t="s">
        <v>1372</v>
      </c>
      <c r="D24" s="3" t="s">
        <v>1406</v>
      </c>
      <c r="E24" t="s">
        <v>81</v>
      </c>
      <c r="F24" t="s">
        <v>31</v>
      </c>
      <c r="G24" t="s">
        <v>31</v>
      </c>
      <c r="H24" t="s">
        <v>31</v>
      </c>
      <c r="I24" t="s">
        <v>31</v>
      </c>
    </row>
    <row r="25" spans="1:9" x14ac:dyDescent="0.25">
      <c r="A25" t="s">
        <v>1407</v>
      </c>
      <c r="B25" t="s">
        <v>1402</v>
      </c>
      <c r="C25" t="s">
        <v>1375</v>
      </c>
      <c r="D25" s="3">
        <v>1</v>
      </c>
      <c r="E25" t="s">
        <v>30</v>
      </c>
      <c r="F25" t="s">
        <v>31</v>
      </c>
      <c r="G25">
        <v>1</v>
      </c>
      <c r="H25">
        <v>10</v>
      </c>
      <c r="I25" t="s">
        <v>31</v>
      </c>
    </row>
    <row r="26" spans="1:9" x14ac:dyDescent="0.25">
      <c r="A26" t="s">
        <v>1408</v>
      </c>
      <c r="B26" t="s">
        <v>1402</v>
      </c>
      <c r="C26" t="s">
        <v>1377</v>
      </c>
      <c r="D26" s="3">
        <v>3</v>
      </c>
      <c r="E26" t="s">
        <v>30</v>
      </c>
      <c r="F26" t="s">
        <v>31</v>
      </c>
      <c r="G26">
        <v>1</v>
      </c>
      <c r="H26">
        <v>10</v>
      </c>
      <c r="I26" t="s">
        <v>31</v>
      </c>
    </row>
    <row r="27" spans="1:9" x14ac:dyDescent="0.25">
      <c r="A27" t="s">
        <v>1409</v>
      </c>
      <c r="B27" t="s">
        <v>1402</v>
      </c>
      <c r="C27" t="s">
        <v>1379</v>
      </c>
      <c r="D27" s="3">
        <v>1</v>
      </c>
      <c r="E27" t="s">
        <v>30</v>
      </c>
      <c r="F27" t="s">
        <v>31</v>
      </c>
      <c r="G27">
        <v>0.0001</v>
      </c>
      <c r="H27">
        <v>100</v>
      </c>
      <c r="I27" t="s">
        <v>31</v>
      </c>
    </row>
    <row r="28" spans="1:9" x14ac:dyDescent="0.25">
      <c r="A28" t="s">
        <v>1410</v>
      </c>
      <c r="B28" t="s">
        <v>1402</v>
      </c>
      <c r="C28" t="s">
        <v>1381</v>
      </c>
      <c r="D28" s="3">
        <v>1</v>
      </c>
      <c r="E28" t="s">
        <v>30</v>
      </c>
      <c r="F28" t="s">
        <v>31</v>
      </c>
      <c r="G28">
        <v>0.0001</v>
      </c>
      <c r="H28">
        <v>100</v>
      </c>
      <c r="I28" t="s">
        <v>31</v>
      </c>
    </row>
    <row r="29" spans="1:9" x14ac:dyDescent="0.25">
      <c r="A29" t="s">
        <v>1411</v>
      </c>
      <c r="B29" t="s">
        <v>1402</v>
      </c>
      <c r="C29" t="s">
        <v>1383</v>
      </c>
      <c r="D29" s="3">
        <v>0</v>
      </c>
      <c r="E29" t="s">
        <v>30</v>
      </c>
      <c r="F29" t="s">
        <v>31</v>
      </c>
      <c r="G29">
        <v>0</v>
      </c>
      <c r="H29">
        <v>10</v>
      </c>
      <c r="I29" t="s">
        <v>31</v>
      </c>
    </row>
    <row r="30" spans="1:9" x14ac:dyDescent="0.25">
      <c r="A30" t="s">
        <v>1412</v>
      </c>
      <c r="B30" t="s">
        <v>1402</v>
      </c>
      <c r="C30" t="s">
        <v>1385</v>
      </c>
      <c r="D30" s="3">
        <v>0</v>
      </c>
      <c r="E30" t="s">
        <v>30</v>
      </c>
      <c r="F30" t="s">
        <v>31</v>
      </c>
      <c r="G30">
        <v>0</v>
      </c>
      <c r="H30">
        <v>10</v>
      </c>
      <c r="I30" t="s">
        <v>31</v>
      </c>
    </row>
    <row r="31" spans="1:9" x14ac:dyDescent="0.25">
      <c r="A31" t="s">
        <v>1413</v>
      </c>
      <c r="B31" t="s">
        <v>1402</v>
      </c>
      <c r="C31" t="s">
        <v>1387</v>
      </c>
      <c r="D31" s="3" t="s">
        <v>866</v>
      </c>
      <c r="E31" t="s">
        <v>81</v>
      </c>
      <c r="F31" t="s">
        <v>31</v>
      </c>
      <c r="G31" t="s">
        <v>31</v>
      </c>
      <c r="H31" t="s">
        <v>31</v>
      </c>
      <c r="I31" t="s">
        <v>31</v>
      </c>
    </row>
    <row r="32" spans="1:9" x14ac:dyDescent="0.25">
      <c r="A32" t="s">
        <v>1414</v>
      </c>
      <c r="B32" t="s">
        <v>1415</v>
      </c>
      <c r="C32" t="s">
        <v>226</v>
      </c>
      <c r="D32" s="2" t="s">
        <v>1415</v>
      </c>
      <c r="E32" t="s">
        <v>81</v>
      </c>
      <c r="F32" t="s">
        <v>31</v>
      </c>
      <c r="G32" t="s">
        <v>31</v>
      </c>
      <c r="H32" t="s">
        <v>31</v>
      </c>
      <c r="I32" t="s">
        <v>32</v>
      </c>
    </row>
    <row r="33" spans="1:9" x14ac:dyDescent="0.25">
      <c r="A33" t="s">
        <v>1416</v>
      </c>
      <c r="B33" t="s">
        <v>1415</v>
      </c>
      <c r="C33" t="s">
        <v>228</v>
      </c>
      <c r="D33" s="3" t="s">
        <v>1417</v>
      </c>
      <c r="E33" t="s">
        <v>81</v>
      </c>
      <c r="F33" t="s">
        <v>31</v>
      </c>
      <c r="G33" t="s">
        <v>31</v>
      </c>
      <c r="H33" t="s">
        <v>31</v>
      </c>
      <c r="I33" t="s">
        <v>31</v>
      </c>
    </row>
    <row r="34" spans="1:9" x14ac:dyDescent="0.25">
      <c r="A34" t="s">
        <v>1418</v>
      </c>
      <c r="B34" t="s">
        <v>1415</v>
      </c>
      <c r="C34" t="s">
        <v>1372</v>
      </c>
      <c r="D34" s="3" t="s">
        <v>1419</v>
      </c>
      <c r="E34" t="s">
        <v>81</v>
      </c>
      <c r="F34" t="s">
        <v>31</v>
      </c>
      <c r="G34" t="s">
        <v>31</v>
      </c>
      <c r="H34" t="s">
        <v>31</v>
      </c>
      <c r="I34" t="s">
        <v>31</v>
      </c>
    </row>
    <row r="35" spans="1:9" x14ac:dyDescent="0.25">
      <c r="A35" t="s">
        <v>1420</v>
      </c>
      <c r="B35" t="s">
        <v>1415</v>
      </c>
      <c r="C35" t="s">
        <v>1375</v>
      </c>
      <c r="D35" s="3">
        <v>1</v>
      </c>
      <c r="E35" t="s">
        <v>30</v>
      </c>
      <c r="F35" t="s">
        <v>31</v>
      </c>
      <c r="G35">
        <v>1</v>
      </c>
      <c r="H35">
        <v>10</v>
      </c>
      <c r="I35" t="s">
        <v>31</v>
      </c>
    </row>
    <row r="36" spans="1:9" x14ac:dyDescent="0.25">
      <c r="A36" t="s">
        <v>1421</v>
      </c>
      <c r="B36" t="s">
        <v>1415</v>
      </c>
      <c r="C36" t="s">
        <v>1377</v>
      </c>
      <c r="D36" s="3">
        <v>3</v>
      </c>
      <c r="E36" t="s">
        <v>30</v>
      </c>
      <c r="F36" t="s">
        <v>31</v>
      </c>
      <c r="G36">
        <v>1</v>
      </c>
      <c r="H36">
        <v>10</v>
      </c>
      <c r="I36" t="s">
        <v>31</v>
      </c>
    </row>
    <row r="37" spans="1:9" x14ac:dyDescent="0.25">
      <c r="A37" t="s">
        <v>1422</v>
      </c>
      <c r="B37" t="s">
        <v>1415</v>
      </c>
      <c r="C37" t="s">
        <v>1379</v>
      </c>
      <c r="D37" s="3">
        <v>1</v>
      </c>
      <c r="E37" t="s">
        <v>30</v>
      </c>
      <c r="F37" t="s">
        <v>31</v>
      </c>
      <c r="G37">
        <v>0.0001</v>
      </c>
      <c r="H37">
        <v>100</v>
      </c>
      <c r="I37" t="s">
        <v>31</v>
      </c>
    </row>
    <row r="38" spans="1:9" x14ac:dyDescent="0.25">
      <c r="A38" t="s">
        <v>1423</v>
      </c>
      <c r="B38" t="s">
        <v>1415</v>
      </c>
      <c r="C38" t="s">
        <v>1381</v>
      </c>
      <c r="D38" s="3">
        <v>1</v>
      </c>
      <c r="E38" t="s">
        <v>30</v>
      </c>
      <c r="F38" t="s">
        <v>31</v>
      </c>
      <c r="G38">
        <v>0.0001</v>
      </c>
      <c r="H38">
        <v>100</v>
      </c>
      <c r="I38" t="s">
        <v>31</v>
      </c>
    </row>
    <row r="39" spans="1:9" x14ac:dyDescent="0.25">
      <c r="A39" t="s">
        <v>1424</v>
      </c>
      <c r="B39" t="s">
        <v>1415</v>
      </c>
      <c r="C39" t="s">
        <v>1383</v>
      </c>
      <c r="D39" s="3">
        <v>0</v>
      </c>
      <c r="E39" t="s">
        <v>30</v>
      </c>
      <c r="F39" t="s">
        <v>31</v>
      </c>
      <c r="G39">
        <v>0</v>
      </c>
      <c r="H39">
        <v>10</v>
      </c>
      <c r="I39" t="s">
        <v>31</v>
      </c>
    </row>
    <row r="40" spans="1:9" x14ac:dyDescent="0.25">
      <c r="A40" t="s">
        <v>1425</v>
      </c>
      <c r="B40" t="s">
        <v>1415</v>
      </c>
      <c r="C40" t="s">
        <v>1385</v>
      </c>
      <c r="D40" s="3">
        <v>0</v>
      </c>
      <c r="E40" t="s">
        <v>30</v>
      </c>
      <c r="F40" t="s">
        <v>31</v>
      </c>
      <c r="G40">
        <v>0</v>
      </c>
      <c r="H40">
        <v>10</v>
      </c>
      <c r="I40" t="s">
        <v>31</v>
      </c>
    </row>
    <row r="41" spans="1:9" x14ac:dyDescent="0.25">
      <c r="A41" t="s">
        <v>1426</v>
      </c>
      <c r="B41" t="s">
        <v>1415</v>
      </c>
      <c r="C41" t="s">
        <v>1387</v>
      </c>
      <c r="D41" s="3" t="s">
        <v>697</v>
      </c>
      <c r="E41" t="s">
        <v>81</v>
      </c>
      <c r="F41" t="s">
        <v>31</v>
      </c>
      <c r="G41" t="s">
        <v>31</v>
      </c>
      <c r="H41" t="s">
        <v>31</v>
      </c>
      <c r="I41" t="s">
        <v>31</v>
      </c>
    </row>
    <row r="42" spans="1:9" x14ac:dyDescent="0.25">
      <c r="A42" t="s">
        <v>1427</v>
      </c>
      <c r="B42" t="s">
        <v>1428</v>
      </c>
      <c r="C42" t="s">
        <v>226</v>
      </c>
      <c r="D42" s="2" t="s">
        <v>1428</v>
      </c>
      <c r="E42" t="s">
        <v>81</v>
      </c>
      <c r="F42" t="s">
        <v>31</v>
      </c>
      <c r="G42" t="s">
        <v>31</v>
      </c>
      <c r="H42" t="s">
        <v>31</v>
      </c>
      <c r="I42" t="s">
        <v>32</v>
      </c>
    </row>
    <row r="43" spans="1:9" x14ac:dyDescent="0.25">
      <c r="A43" t="s">
        <v>1429</v>
      </c>
      <c r="B43" t="s">
        <v>1428</v>
      </c>
      <c r="C43" t="s">
        <v>228</v>
      </c>
      <c r="D43" s="3" t="s">
        <v>1430</v>
      </c>
      <c r="E43" t="s">
        <v>81</v>
      </c>
      <c r="F43" t="s">
        <v>31</v>
      </c>
      <c r="G43" t="s">
        <v>31</v>
      </c>
      <c r="H43" t="s">
        <v>31</v>
      </c>
      <c r="I43" t="s">
        <v>31</v>
      </c>
    </row>
    <row r="44" spans="1:9" x14ac:dyDescent="0.25">
      <c r="A44" t="s">
        <v>1431</v>
      </c>
      <c r="B44" t="s">
        <v>1428</v>
      </c>
      <c r="C44" t="s">
        <v>1372</v>
      </c>
      <c r="D44" s="3" t="s">
        <v>1432</v>
      </c>
      <c r="E44" t="s">
        <v>81</v>
      </c>
      <c r="F44" t="s">
        <v>31</v>
      </c>
      <c r="G44" t="s">
        <v>31</v>
      </c>
      <c r="H44" t="s">
        <v>31</v>
      </c>
      <c r="I44" t="s">
        <v>31</v>
      </c>
    </row>
    <row r="45" spans="1:9" x14ac:dyDescent="0.25">
      <c r="A45" t="s">
        <v>1433</v>
      </c>
      <c r="B45" t="s">
        <v>1428</v>
      </c>
      <c r="C45" t="s">
        <v>1375</v>
      </c>
      <c r="D45" s="3">
        <v>4</v>
      </c>
      <c r="E45" t="s">
        <v>30</v>
      </c>
      <c r="F45" t="s">
        <v>31</v>
      </c>
      <c r="G45">
        <v>1</v>
      </c>
      <c r="H45">
        <v>10</v>
      </c>
      <c r="I45" t="s">
        <v>31</v>
      </c>
    </row>
    <row r="46" spans="1:9" x14ac:dyDescent="0.25">
      <c r="A46" t="s">
        <v>1434</v>
      </c>
      <c r="B46" t="s">
        <v>1428</v>
      </c>
      <c r="C46" t="s">
        <v>1377</v>
      </c>
      <c r="D46" s="3">
        <v>7</v>
      </c>
      <c r="E46" t="s">
        <v>30</v>
      </c>
      <c r="F46" t="s">
        <v>31</v>
      </c>
      <c r="G46">
        <v>1</v>
      </c>
      <c r="H46">
        <v>10</v>
      </c>
      <c r="I46" t="s">
        <v>31</v>
      </c>
    </row>
    <row r="47" spans="1:9" x14ac:dyDescent="0.25">
      <c r="A47" t="s">
        <v>1435</v>
      </c>
      <c r="B47" t="s">
        <v>1428</v>
      </c>
      <c r="C47" t="s">
        <v>1379</v>
      </c>
      <c r="D47" s="3">
        <v>1</v>
      </c>
      <c r="E47" t="s">
        <v>30</v>
      </c>
      <c r="F47" t="s">
        <v>31</v>
      </c>
      <c r="G47">
        <v>0.0001</v>
      </c>
      <c r="H47">
        <v>100</v>
      </c>
      <c r="I47" t="s">
        <v>31</v>
      </c>
    </row>
    <row r="48" spans="1:9" x14ac:dyDescent="0.25">
      <c r="A48" t="s">
        <v>1436</v>
      </c>
      <c r="B48" t="s">
        <v>1428</v>
      </c>
      <c r="C48" t="s">
        <v>1381</v>
      </c>
      <c r="D48" s="3">
        <v>1</v>
      </c>
      <c r="E48" t="s">
        <v>30</v>
      </c>
      <c r="F48" t="s">
        <v>31</v>
      </c>
      <c r="G48">
        <v>0.0001</v>
      </c>
      <c r="H48">
        <v>100</v>
      </c>
      <c r="I48" t="s">
        <v>31</v>
      </c>
    </row>
    <row r="49" spans="1:9" x14ac:dyDescent="0.25">
      <c r="A49" t="s">
        <v>1437</v>
      </c>
      <c r="B49" t="s">
        <v>1428</v>
      </c>
      <c r="C49" t="s">
        <v>1383</v>
      </c>
      <c r="D49" s="3">
        <v>0</v>
      </c>
      <c r="E49" t="s">
        <v>30</v>
      </c>
      <c r="F49" t="s">
        <v>31</v>
      </c>
      <c r="G49">
        <v>0</v>
      </c>
      <c r="H49">
        <v>10</v>
      </c>
      <c r="I49" t="s">
        <v>31</v>
      </c>
    </row>
    <row r="50" spans="1:9" x14ac:dyDescent="0.25">
      <c r="A50" t="s">
        <v>1438</v>
      </c>
      <c r="B50" t="s">
        <v>1428</v>
      </c>
      <c r="C50" t="s">
        <v>1385</v>
      </c>
      <c r="D50" s="3">
        <v>0</v>
      </c>
      <c r="E50" t="s">
        <v>30</v>
      </c>
      <c r="F50" t="s">
        <v>31</v>
      </c>
      <c r="G50">
        <v>0</v>
      </c>
      <c r="H50">
        <v>10</v>
      </c>
      <c r="I50" t="s">
        <v>31</v>
      </c>
    </row>
    <row r="51" spans="1:9" x14ac:dyDescent="0.25">
      <c r="A51" t="s">
        <v>1439</v>
      </c>
      <c r="B51" t="s">
        <v>1428</v>
      </c>
      <c r="C51" t="s">
        <v>1387</v>
      </c>
      <c r="D51" s="3" t="s">
        <v>697</v>
      </c>
      <c r="E51" t="s">
        <v>81</v>
      </c>
      <c r="F51" t="s">
        <v>31</v>
      </c>
      <c r="G51" t="s">
        <v>31</v>
      </c>
      <c r="H51" t="s">
        <v>31</v>
      </c>
      <c r="I51" t="s">
        <v>31</v>
      </c>
    </row>
    <row r="52" spans="1:9" x14ac:dyDescent="0.25">
      <c r="A52" t="s">
        <v>1440</v>
      </c>
      <c r="B52" t="s">
        <v>1441</v>
      </c>
      <c r="C52" t="s">
        <v>226</v>
      </c>
      <c r="D52" s="2" t="s">
        <v>1441</v>
      </c>
      <c r="E52" t="s">
        <v>81</v>
      </c>
      <c r="F52" t="s">
        <v>31</v>
      </c>
      <c r="G52" t="s">
        <v>31</v>
      </c>
      <c r="H52" t="s">
        <v>31</v>
      </c>
      <c r="I52" t="s">
        <v>32</v>
      </c>
    </row>
    <row r="53" spans="1:9" x14ac:dyDescent="0.25">
      <c r="A53" t="s">
        <v>1442</v>
      </c>
      <c r="B53" t="s">
        <v>1441</v>
      </c>
      <c r="C53" t="s">
        <v>228</v>
      </c>
      <c r="D53" s="3" t="s">
        <v>1443</v>
      </c>
      <c r="E53" t="s">
        <v>81</v>
      </c>
      <c r="F53" t="s">
        <v>31</v>
      </c>
      <c r="G53" t="s">
        <v>31</v>
      </c>
      <c r="H53" t="s">
        <v>31</v>
      </c>
      <c r="I53" t="s">
        <v>31</v>
      </c>
    </row>
    <row r="54" spans="1:9" x14ac:dyDescent="0.25">
      <c r="A54" t="s">
        <v>1444</v>
      </c>
      <c r="B54" t="s">
        <v>1441</v>
      </c>
      <c r="C54" t="s">
        <v>1372</v>
      </c>
      <c r="D54" s="3" t="s">
        <v>1445</v>
      </c>
      <c r="E54" t="s">
        <v>81</v>
      </c>
      <c r="F54" t="s">
        <v>31</v>
      </c>
      <c r="G54" t="s">
        <v>31</v>
      </c>
      <c r="H54" t="s">
        <v>31</v>
      </c>
      <c r="I54" t="s">
        <v>31</v>
      </c>
    </row>
    <row r="55" spans="1:9" x14ac:dyDescent="0.25">
      <c r="A55" t="s">
        <v>1446</v>
      </c>
      <c r="B55" t="s">
        <v>1441</v>
      </c>
      <c r="C55" t="s">
        <v>1375</v>
      </c>
      <c r="D55" s="3">
        <v>4</v>
      </c>
      <c r="E55" t="s">
        <v>30</v>
      </c>
      <c r="F55" t="s">
        <v>31</v>
      </c>
      <c r="G55">
        <v>1</v>
      </c>
      <c r="H55">
        <v>10</v>
      </c>
      <c r="I55" t="s">
        <v>31</v>
      </c>
    </row>
    <row r="56" spans="1:9" x14ac:dyDescent="0.25">
      <c r="A56" t="s">
        <v>1447</v>
      </c>
      <c r="B56" t="s">
        <v>1441</v>
      </c>
      <c r="C56" t="s">
        <v>1377</v>
      </c>
      <c r="D56" s="3">
        <v>7</v>
      </c>
      <c r="E56" t="s">
        <v>30</v>
      </c>
      <c r="F56" t="s">
        <v>31</v>
      </c>
      <c r="G56">
        <v>1</v>
      </c>
      <c r="H56">
        <v>10</v>
      </c>
      <c r="I56" t="s">
        <v>31</v>
      </c>
    </row>
    <row r="57" spans="1:9" x14ac:dyDescent="0.25">
      <c r="A57" t="s">
        <v>1448</v>
      </c>
      <c r="B57" t="s">
        <v>1441</v>
      </c>
      <c r="C57" t="s">
        <v>1379</v>
      </c>
      <c r="D57" s="3">
        <v>1</v>
      </c>
      <c r="E57" t="s">
        <v>30</v>
      </c>
      <c r="F57" t="s">
        <v>31</v>
      </c>
      <c r="G57">
        <v>0.0001</v>
      </c>
      <c r="H57">
        <v>100</v>
      </c>
      <c r="I57" t="s">
        <v>31</v>
      </c>
    </row>
    <row r="58" spans="1:9" x14ac:dyDescent="0.25">
      <c r="A58" t="s">
        <v>1449</v>
      </c>
      <c r="B58" t="s">
        <v>1441</v>
      </c>
      <c r="C58" t="s">
        <v>1381</v>
      </c>
      <c r="D58" s="3">
        <v>1</v>
      </c>
      <c r="E58" t="s">
        <v>30</v>
      </c>
      <c r="F58" t="s">
        <v>31</v>
      </c>
      <c r="G58">
        <v>0.0001</v>
      </c>
      <c r="H58">
        <v>100</v>
      </c>
      <c r="I58" t="s">
        <v>31</v>
      </c>
    </row>
    <row r="59" spans="1:9" x14ac:dyDescent="0.25">
      <c r="A59" t="s">
        <v>1450</v>
      </c>
      <c r="B59" t="s">
        <v>1441</v>
      </c>
      <c r="C59" t="s">
        <v>1383</v>
      </c>
      <c r="D59" s="3">
        <v>0</v>
      </c>
      <c r="E59" t="s">
        <v>30</v>
      </c>
      <c r="F59" t="s">
        <v>31</v>
      </c>
      <c r="G59">
        <v>0</v>
      </c>
      <c r="H59">
        <v>10</v>
      </c>
      <c r="I59" t="s">
        <v>31</v>
      </c>
    </row>
    <row r="60" spans="1:9" x14ac:dyDescent="0.25">
      <c r="A60" t="s">
        <v>1451</v>
      </c>
      <c r="B60" t="s">
        <v>1441</v>
      </c>
      <c r="C60" t="s">
        <v>1385</v>
      </c>
      <c r="D60" s="3">
        <v>0</v>
      </c>
      <c r="E60" t="s">
        <v>30</v>
      </c>
      <c r="F60" t="s">
        <v>31</v>
      </c>
      <c r="G60">
        <v>0</v>
      </c>
      <c r="H60">
        <v>10</v>
      </c>
      <c r="I60" t="s">
        <v>31</v>
      </c>
    </row>
    <row r="61" spans="1:9" x14ac:dyDescent="0.25">
      <c r="A61" t="s">
        <v>1452</v>
      </c>
      <c r="B61" t="s">
        <v>1441</v>
      </c>
      <c r="C61" t="s">
        <v>1387</v>
      </c>
      <c r="D61" s="3" t="s">
        <v>922</v>
      </c>
      <c r="E61" t="s">
        <v>81</v>
      </c>
      <c r="F61" t="s">
        <v>31</v>
      </c>
      <c r="G61" t="s">
        <v>31</v>
      </c>
      <c r="H61" t="s">
        <v>31</v>
      </c>
      <c r="I61" t="s">
        <v>31</v>
      </c>
    </row>
    <row r="62" spans="1:9" x14ac:dyDescent="0.25">
      <c r="A62" t="s">
        <v>1453</v>
      </c>
      <c r="B62" t="s">
        <v>1454</v>
      </c>
      <c r="C62" t="s">
        <v>226</v>
      </c>
      <c r="D62" s="2" t="s">
        <v>1454</v>
      </c>
      <c r="E62" t="s">
        <v>81</v>
      </c>
      <c r="F62" t="s">
        <v>31</v>
      </c>
      <c r="G62" t="s">
        <v>31</v>
      </c>
      <c r="H62" t="s">
        <v>31</v>
      </c>
      <c r="I62" t="s">
        <v>32</v>
      </c>
    </row>
    <row r="63" spans="1:9" x14ac:dyDescent="0.25">
      <c r="A63" t="s">
        <v>1455</v>
      </c>
      <c r="B63" t="s">
        <v>1454</v>
      </c>
      <c r="C63" t="s">
        <v>228</v>
      </c>
      <c r="D63" s="3" t="s">
        <v>1456</v>
      </c>
      <c r="E63" t="s">
        <v>81</v>
      </c>
      <c r="F63" t="s">
        <v>31</v>
      </c>
      <c r="G63" t="s">
        <v>31</v>
      </c>
      <c r="H63" t="s">
        <v>31</v>
      </c>
      <c r="I63" t="s">
        <v>31</v>
      </c>
    </row>
    <row r="64" spans="1:9" x14ac:dyDescent="0.25">
      <c r="A64" t="s">
        <v>1457</v>
      </c>
      <c r="B64" t="s">
        <v>1454</v>
      </c>
      <c r="C64" t="s">
        <v>1372</v>
      </c>
      <c r="D64" s="3" t="s">
        <v>1458</v>
      </c>
      <c r="E64" t="s">
        <v>81</v>
      </c>
      <c r="F64" t="s">
        <v>31</v>
      </c>
      <c r="G64" t="s">
        <v>31</v>
      </c>
      <c r="H64" t="s">
        <v>31</v>
      </c>
      <c r="I64" t="s">
        <v>31</v>
      </c>
    </row>
    <row r="65" spans="1:9" x14ac:dyDescent="0.25">
      <c r="A65" t="s">
        <v>1459</v>
      </c>
      <c r="B65" t="s">
        <v>1454</v>
      </c>
      <c r="C65" t="s">
        <v>1375</v>
      </c>
      <c r="D65" s="3">
        <v>4</v>
      </c>
      <c r="E65" t="s">
        <v>30</v>
      </c>
      <c r="F65" t="s">
        <v>31</v>
      </c>
      <c r="G65">
        <v>1</v>
      </c>
      <c r="H65">
        <v>10</v>
      </c>
      <c r="I65" t="s">
        <v>31</v>
      </c>
    </row>
    <row r="66" spans="1:9" x14ac:dyDescent="0.25">
      <c r="A66" t="s">
        <v>1460</v>
      </c>
      <c r="B66" t="s">
        <v>1454</v>
      </c>
      <c r="C66" t="s">
        <v>1377</v>
      </c>
      <c r="D66" s="3">
        <v>7</v>
      </c>
      <c r="E66" t="s">
        <v>30</v>
      </c>
      <c r="F66" t="s">
        <v>31</v>
      </c>
      <c r="G66">
        <v>1</v>
      </c>
      <c r="H66">
        <v>10</v>
      </c>
      <c r="I66" t="s">
        <v>31</v>
      </c>
    </row>
    <row r="67" spans="1:9" x14ac:dyDescent="0.25">
      <c r="A67" t="s">
        <v>1461</v>
      </c>
      <c r="B67" t="s">
        <v>1454</v>
      </c>
      <c r="C67" t="s">
        <v>1379</v>
      </c>
      <c r="D67" s="3">
        <v>1</v>
      </c>
      <c r="E67" t="s">
        <v>30</v>
      </c>
      <c r="F67" t="s">
        <v>31</v>
      </c>
      <c r="G67">
        <v>0.0001</v>
      </c>
      <c r="H67">
        <v>100</v>
      </c>
      <c r="I67" t="s">
        <v>31</v>
      </c>
    </row>
    <row r="68" spans="1:9" x14ac:dyDescent="0.25">
      <c r="A68" t="s">
        <v>1462</v>
      </c>
      <c r="B68" t="s">
        <v>1454</v>
      </c>
      <c r="C68" t="s">
        <v>1381</v>
      </c>
      <c r="D68" s="3">
        <v>1</v>
      </c>
      <c r="E68" t="s">
        <v>30</v>
      </c>
      <c r="F68" t="s">
        <v>31</v>
      </c>
      <c r="G68">
        <v>0.0001</v>
      </c>
      <c r="H68">
        <v>100</v>
      </c>
      <c r="I68" t="s">
        <v>31</v>
      </c>
    </row>
    <row r="69" spans="1:9" x14ac:dyDescent="0.25">
      <c r="A69" t="s">
        <v>1463</v>
      </c>
      <c r="B69" t="s">
        <v>1454</v>
      </c>
      <c r="C69" t="s">
        <v>1383</v>
      </c>
      <c r="D69" s="3">
        <v>0</v>
      </c>
      <c r="E69" t="s">
        <v>30</v>
      </c>
      <c r="F69" t="s">
        <v>31</v>
      </c>
      <c r="G69">
        <v>0</v>
      </c>
      <c r="H69">
        <v>10</v>
      </c>
      <c r="I69" t="s">
        <v>31</v>
      </c>
    </row>
    <row r="70" spans="1:9" x14ac:dyDescent="0.25">
      <c r="A70" t="s">
        <v>1464</v>
      </c>
      <c r="B70" t="s">
        <v>1454</v>
      </c>
      <c r="C70" t="s">
        <v>1385</v>
      </c>
      <c r="D70" s="3">
        <v>0</v>
      </c>
      <c r="E70" t="s">
        <v>30</v>
      </c>
      <c r="F70" t="s">
        <v>31</v>
      </c>
      <c r="G70">
        <v>0</v>
      </c>
      <c r="H70">
        <v>10</v>
      </c>
      <c r="I70" t="s">
        <v>31</v>
      </c>
    </row>
    <row r="71" spans="1:9" x14ac:dyDescent="0.25">
      <c r="A71" t="s">
        <v>1465</v>
      </c>
      <c r="B71" t="s">
        <v>1454</v>
      </c>
      <c r="C71" t="s">
        <v>1387</v>
      </c>
      <c r="D71" s="3" t="s">
        <v>978</v>
      </c>
      <c r="E71" t="s">
        <v>81</v>
      </c>
      <c r="F71" t="s">
        <v>31</v>
      </c>
      <c r="G71" t="s">
        <v>31</v>
      </c>
      <c r="H71" t="s">
        <v>31</v>
      </c>
      <c r="I71" t="s">
        <v>31</v>
      </c>
    </row>
    <row r="72" spans="1:9" x14ac:dyDescent="0.25">
      <c r="A72" t="s">
        <v>1466</v>
      </c>
      <c r="B72" t="s">
        <v>1467</v>
      </c>
      <c r="C72" t="s">
        <v>226</v>
      </c>
      <c r="D72" s="2" t="s">
        <v>1467</v>
      </c>
      <c r="E72" t="s">
        <v>81</v>
      </c>
      <c r="F72" t="s">
        <v>31</v>
      </c>
      <c r="G72" t="s">
        <v>31</v>
      </c>
      <c r="H72" t="s">
        <v>31</v>
      </c>
      <c r="I72" t="s">
        <v>32</v>
      </c>
    </row>
    <row r="73" spans="1:9" x14ac:dyDescent="0.25">
      <c r="A73" t="s">
        <v>1468</v>
      </c>
      <c r="B73" t="s">
        <v>1467</v>
      </c>
      <c r="C73" t="s">
        <v>228</v>
      </c>
      <c r="D73" s="3" t="s">
        <v>1469</v>
      </c>
      <c r="E73" t="s">
        <v>81</v>
      </c>
      <c r="F73" t="s">
        <v>31</v>
      </c>
      <c r="G73" t="s">
        <v>31</v>
      </c>
      <c r="H73" t="s">
        <v>31</v>
      </c>
      <c r="I73" t="s">
        <v>31</v>
      </c>
    </row>
    <row r="74" spans="1:9" x14ac:dyDescent="0.25">
      <c r="A74" t="s">
        <v>1470</v>
      </c>
      <c r="B74" t="s">
        <v>1467</v>
      </c>
      <c r="C74" t="s">
        <v>1372</v>
      </c>
      <c r="D74" s="3" t="s">
        <v>1458</v>
      </c>
      <c r="E74" t="s">
        <v>81</v>
      </c>
      <c r="F74" t="s">
        <v>31</v>
      </c>
      <c r="G74" t="s">
        <v>31</v>
      </c>
      <c r="H74" t="s">
        <v>31</v>
      </c>
      <c r="I74" t="s">
        <v>31</v>
      </c>
    </row>
    <row r="75" spans="1:9" x14ac:dyDescent="0.25">
      <c r="A75" t="s">
        <v>1471</v>
      </c>
      <c r="B75" t="s">
        <v>1467</v>
      </c>
      <c r="C75" t="s">
        <v>1375</v>
      </c>
      <c r="D75" s="3">
        <v>8</v>
      </c>
      <c r="E75" t="s">
        <v>30</v>
      </c>
      <c r="F75" t="s">
        <v>31</v>
      </c>
      <c r="G75">
        <v>1</v>
      </c>
      <c r="H75">
        <v>10</v>
      </c>
      <c r="I75" t="s">
        <v>31</v>
      </c>
    </row>
    <row r="76" spans="1:9" x14ac:dyDescent="0.25">
      <c r="A76" t="s">
        <v>1472</v>
      </c>
      <c r="B76" t="s">
        <v>1467</v>
      </c>
      <c r="C76" t="s">
        <v>1377</v>
      </c>
      <c r="D76" s="3">
        <v>10</v>
      </c>
      <c r="E76" t="s">
        <v>30</v>
      </c>
      <c r="F76" t="s">
        <v>31</v>
      </c>
      <c r="G76">
        <v>1</v>
      </c>
      <c r="H76">
        <v>10</v>
      </c>
      <c r="I76" t="s">
        <v>31</v>
      </c>
    </row>
    <row r="77" spans="1:9" x14ac:dyDescent="0.25">
      <c r="A77" t="s">
        <v>1473</v>
      </c>
      <c r="B77" t="s">
        <v>1467</v>
      </c>
      <c r="C77" t="s">
        <v>1379</v>
      </c>
      <c r="D77" s="3">
        <v>1</v>
      </c>
      <c r="E77" t="s">
        <v>30</v>
      </c>
      <c r="F77" t="s">
        <v>31</v>
      </c>
      <c r="G77">
        <v>0.0001</v>
      </c>
      <c r="H77">
        <v>100</v>
      </c>
      <c r="I77" t="s">
        <v>31</v>
      </c>
    </row>
    <row r="78" spans="1:9" x14ac:dyDescent="0.25">
      <c r="A78" t="s">
        <v>1474</v>
      </c>
      <c r="B78" t="s">
        <v>1467</v>
      </c>
      <c r="C78" t="s">
        <v>1381</v>
      </c>
      <c r="D78" s="3">
        <v>1</v>
      </c>
      <c r="E78" t="s">
        <v>30</v>
      </c>
      <c r="F78" t="s">
        <v>31</v>
      </c>
      <c r="G78">
        <v>0.0001</v>
      </c>
      <c r="H78">
        <v>100</v>
      </c>
      <c r="I78" t="s">
        <v>31</v>
      </c>
    </row>
    <row r="79" spans="1:9" x14ac:dyDescent="0.25">
      <c r="A79" t="s">
        <v>1475</v>
      </c>
      <c r="B79" t="s">
        <v>1467</v>
      </c>
      <c r="C79" t="s">
        <v>1383</v>
      </c>
      <c r="D79" s="3">
        <v>0</v>
      </c>
      <c r="E79" t="s">
        <v>30</v>
      </c>
      <c r="F79" t="s">
        <v>31</v>
      </c>
      <c r="G79">
        <v>0</v>
      </c>
      <c r="H79">
        <v>10</v>
      </c>
      <c r="I79" t="s">
        <v>31</v>
      </c>
    </row>
    <row r="80" spans="1:9" x14ac:dyDescent="0.25">
      <c r="A80" t="s">
        <v>1476</v>
      </c>
      <c r="B80" t="s">
        <v>1467</v>
      </c>
      <c r="C80" t="s">
        <v>1385</v>
      </c>
      <c r="D80" s="3">
        <v>0</v>
      </c>
      <c r="E80" t="s">
        <v>30</v>
      </c>
      <c r="F80" t="s">
        <v>31</v>
      </c>
      <c r="G80">
        <v>0</v>
      </c>
      <c r="H80">
        <v>10</v>
      </c>
      <c r="I80" t="s">
        <v>31</v>
      </c>
    </row>
    <row r="81" spans="1:9" x14ac:dyDescent="0.25">
      <c r="A81" t="s">
        <v>1477</v>
      </c>
      <c r="B81" t="s">
        <v>1467</v>
      </c>
      <c r="C81" t="s">
        <v>1387</v>
      </c>
      <c r="D81" s="3" t="s">
        <v>978</v>
      </c>
      <c r="E81" t="s">
        <v>81</v>
      </c>
      <c r="F81" t="s">
        <v>31</v>
      </c>
      <c r="G81" t="s">
        <v>31</v>
      </c>
      <c r="H81" t="s">
        <v>31</v>
      </c>
      <c r="I81" t="s">
        <v>31</v>
      </c>
    </row>
    <row r="82" spans="1:9" x14ac:dyDescent="0.25">
      <c r="A82" t="s">
        <v>1478</v>
      </c>
      <c r="B82" t="s">
        <v>1479</v>
      </c>
      <c r="C82" t="s">
        <v>226</v>
      </c>
      <c r="D82" s="2" t="s">
        <v>1479</v>
      </c>
      <c r="E82" t="s">
        <v>81</v>
      </c>
      <c r="F82" t="s">
        <v>31</v>
      </c>
      <c r="G82" t="s">
        <v>31</v>
      </c>
      <c r="H82" t="s">
        <v>31</v>
      </c>
      <c r="I82" t="s">
        <v>32</v>
      </c>
    </row>
    <row r="83" spans="1:9" x14ac:dyDescent="0.25">
      <c r="A83" t="s">
        <v>1480</v>
      </c>
      <c r="B83" t="s">
        <v>1479</v>
      </c>
      <c r="C83" t="s">
        <v>228</v>
      </c>
      <c r="D83" s="3" t="s">
        <v>1481</v>
      </c>
      <c r="E83" t="s">
        <v>81</v>
      </c>
      <c r="F83" t="s">
        <v>31</v>
      </c>
      <c r="G83" t="s">
        <v>31</v>
      </c>
      <c r="H83" t="s">
        <v>31</v>
      </c>
      <c r="I83" t="s">
        <v>31</v>
      </c>
    </row>
    <row r="84" spans="1:9" x14ac:dyDescent="0.25">
      <c r="A84" t="s">
        <v>1482</v>
      </c>
      <c r="B84" t="s">
        <v>1479</v>
      </c>
      <c r="C84" t="s">
        <v>1372</v>
      </c>
      <c r="D84" s="3" t="s">
        <v>1445</v>
      </c>
      <c r="E84" t="s">
        <v>81</v>
      </c>
      <c r="F84" t="s">
        <v>31</v>
      </c>
      <c r="G84" t="s">
        <v>31</v>
      </c>
      <c r="H84" t="s">
        <v>31</v>
      </c>
      <c r="I84" t="s">
        <v>31</v>
      </c>
    </row>
    <row r="85" spans="1:9" x14ac:dyDescent="0.25">
      <c r="A85" t="s">
        <v>1483</v>
      </c>
      <c r="B85" t="s">
        <v>1479</v>
      </c>
      <c r="C85" t="s">
        <v>1375</v>
      </c>
      <c r="D85" s="3">
        <v>8</v>
      </c>
      <c r="E85" t="s">
        <v>30</v>
      </c>
      <c r="F85" t="s">
        <v>31</v>
      </c>
      <c r="G85">
        <v>1</v>
      </c>
      <c r="H85">
        <v>10</v>
      </c>
      <c r="I85" t="s">
        <v>31</v>
      </c>
    </row>
    <row r="86" spans="1:9" x14ac:dyDescent="0.25">
      <c r="A86" t="s">
        <v>1484</v>
      </c>
      <c r="B86" t="s">
        <v>1479</v>
      </c>
      <c r="C86" t="s">
        <v>1377</v>
      </c>
      <c r="D86" s="3">
        <v>10</v>
      </c>
      <c r="E86" t="s">
        <v>30</v>
      </c>
      <c r="F86" t="s">
        <v>31</v>
      </c>
      <c r="G86">
        <v>1</v>
      </c>
      <c r="H86">
        <v>10</v>
      </c>
      <c r="I86" t="s">
        <v>31</v>
      </c>
    </row>
    <row r="87" spans="1:9" x14ac:dyDescent="0.25">
      <c r="A87" t="s">
        <v>1485</v>
      </c>
      <c r="B87" t="s">
        <v>1479</v>
      </c>
      <c r="C87" t="s">
        <v>1379</v>
      </c>
      <c r="D87" s="3">
        <v>1</v>
      </c>
      <c r="E87" t="s">
        <v>30</v>
      </c>
      <c r="F87" t="s">
        <v>31</v>
      </c>
      <c r="G87">
        <v>0.0001</v>
      </c>
      <c r="H87">
        <v>100</v>
      </c>
      <c r="I87" t="s">
        <v>31</v>
      </c>
    </row>
    <row r="88" spans="1:9" x14ac:dyDescent="0.25">
      <c r="A88" t="s">
        <v>1486</v>
      </c>
      <c r="B88" t="s">
        <v>1479</v>
      </c>
      <c r="C88" t="s">
        <v>1381</v>
      </c>
      <c r="D88" s="3">
        <v>1</v>
      </c>
      <c r="E88" t="s">
        <v>30</v>
      </c>
      <c r="F88" t="s">
        <v>31</v>
      </c>
      <c r="G88">
        <v>0.0001</v>
      </c>
      <c r="H88">
        <v>100</v>
      </c>
      <c r="I88" t="s">
        <v>31</v>
      </c>
    </row>
    <row r="89" spans="1:9" x14ac:dyDescent="0.25">
      <c r="A89" t="s">
        <v>1487</v>
      </c>
      <c r="B89" t="s">
        <v>1479</v>
      </c>
      <c r="C89" t="s">
        <v>1383</v>
      </c>
      <c r="D89" s="3">
        <v>0</v>
      </c>
      <c r="E89" t="s">
        <v>30</v>
      </c>
      <c r="F89" t="s">
        <v>31</v>
      </c>
      <c r="G89">
        <v>0</v>
      </c>
      <c r="H89">
        <v>10</v>
      </c>
      <c r="I89" t="s">
        <v>31</v>
      </c>
    </row>
    <row r="90" spans="1:9" x14ac:dyDescent="0.25">
      <c r="A90" t="s">
        <v>1488</v>
      </c>
      <c r="B90" t="s">
        <v>1479</v>
      </c>
      <c r="C90" t="s">
        <v>1385</v>
      </c>
      <c r="D90" s="3">
        <v>0</v>
      </c>
      <c r="E90" t="s">
        <v>30</v>
      </c>
      <c r="F90" t="s">
        <v>31</v>
      </c>
      <c r="G90">
        <v>0</v>
      </c>
      <c r="H90">
        <v>10</v>
      </c>
      <c r="I90" t="s">
        <v>31</v>
      </c>
    </row>
    <row r="91" spans="1:9" x14ac:dyDescent="0.25">
      <c r="A91" t="s">
        <v>1489</v>
      </c>
      <c r="B91" t="s">
        <v>1479</v>
      </c>
      <c r="C91" t="s">
        <v>1387</v>
      </c>
      <c r="D91" s="3" t="s">
        <v>922</v>
      </c>
      <c r="E91" t="s">
        <v>81</v>
      </c>
      <c r="F91" t="s">
        <v>31</v>
      </c>
      <c r="G91" t="s">
        <v>31</v>
      </c>
      <c r="H91" t="s">
        <v>31</v>
      </c>
      <c r="I91" t="s">
        <v>31</v>
      </c>
    </row>
    <row r="92" spans="1:9" x14ac:dyDescent="0.25">
      <c r="A92" t="s">
        <v>1490</v>
      </c>
      <c r="B92" t="s">
        <v>1491</v>
      </c>
      <c r="C92" t="s">
        <v>226</v>
      </c>
      <c r="D92" s="2" t="s">
        <v>1491</v>
      </c>
      <c r="E92" t="s">
        <v>81</v>
      </c>
      <c r="F92" t="s">
        <v>31</v>
      </c>
      <c r="G92" t="s">
        <v>31</v>
      </c>
      <c r="H92" t="s">
        <v>31</v>
      </c>
      <c r="I92" t="s">
        <v>32</v>
      </c>
    </row>
    <row r="93" spans="1:9" x14ac:dyDescent="0.25">
      <c r="A93" t="s">
        <v>1492</v>
      </c>
      <c r="B93" t="s">
        <v>1491</v>
      </c>
      <c r="C93" t="s">
        <v>228</v>
      </c>
      <c r="D93" s="3" t="s">
        <v>1493</v>
      </c>
      <c r="E93" t="s">
        <v>81</v>
      </c>
      <c r="F93" t="s">
        <v>31</v>
      </c>
      <c r="G93" t="s">
        <v>31</v>
      </c>
      <c r="H93" t="s">
        <v>31</v>
      </c>
      <c r="I93" t="s">
        <v>31</v>
      </c>
    </row>
    <row r="94" spans="1:9" x14ac:dyDescent="0.25">
      <c r="A94" t="s">
        <v>1494</v>
      </c>
      <c r="B94" t="s">
        <v>1491</v>
      </c>
      <c r="C94" t="s">
        <v>1372</v>
      </c>
      <c r="D94" s="3" t="s">
        <v>1495</v>
      </c>
      <c r="E94" t="s">
        <v>81</v>
      </c>
      <c r="F94" t="s">
        <v>31</v>
      </c>
      <c r="G94" t="s">
        <v>31</v>
      </c>
      <c r="H94" t="s">
        <v>31</v>
      </c>
      <c r="I94" t="s">
        <v>31</v>
      </c>
    </row>
    <row r="95" spans="1:9" x14ac:dyDescent="0.25">
      <c r="A95" t="s">
        <v>1496</v>
      </c>
      <c r="B95" t="s">
        <v>1491</v>
      </c>
      <c r="C95" t="s">
        <v>1375</v>
      </c>
      <c r="D95" s="3">
        <v>8</v>
      </c>
      <c r="E95" t="s">
        <v>30</v>
      </c>
      <c r="F95" t="s">
        <v>31</v>
      </c>
      <c r="G95">
        <v>1</v>
      </c>
      <c r="H95">
        <v>10</v>
      </c>
      <c r="I95" t="s">
        <v>31</v>
      </c>
    </row>
    <row r="96" spans="1:9" x14ac:dyDescent="0.25">
      <c r="A96" t="s">
        <v>1497</v>
      </c>
      <c r="B96" t="s">
        <v>1491</v>
      </c>
      <c r="C96" t="s">
        <v>1377</v>
      </c>
      <c r="D96" s="3">
        <v>10</v>
      </c>
      <c r="E96" t="s">
        <v>30</v>
      </c>
      <c r="F96" t="s">
        <v>31</v>
      </c>
      <c r="G96">
        <v>1</v>
      </c>
      <c r="H96">
        <v>10</v>
      </c>
      <c r="I96" t="s">
        <v>31</v>
      </c>
    </row>
    <row r="97" spans="1:9" x14ac:dyDescent="0.25">
      <c r="A97" t="s">
        <v>1498</v>
      </c>
      <c r="B97" t="s">
        <v>1491</v>
      </c>
      <c r="C97" t="s">
        <v>1379</v>
      </c>
      <c r="D97" s="3">
        <v>1</v>
      </c>
      <c r="E97" t="s">
        <v>30</v>
      </c>
      <c r="F97" t="s">
        <v>31</v>
      </c>
      <c r="G97">
        <v>0.0001</v>
      </c>
      <c r="H97">
        <v>100</v>
      </c>
      <c r="I97" t="s">
        <v>31</v>
      </c>
    </row>
    <row r="98" spans="1:9" x14ac:dyDescent="0.25">
      <c r="A98" t="s">
        <v>1499</v>
      </c>
      <c r="B98" t="s">
        <v>1491</v>
      </c>
      <c r="C98" t="s">
        <v>1381</v>
      </c>
      <c r="D98" s="3">
        <v>1</v>
      </c>
      <c r="E98" t="s">
        <v>30</v>
      </c>
      <c r="F98" t="s">
        <v>31</v>
      </c>
      <c r="G98">
        <v>0.0001</v>
      </c>
      <c r="H98">
        <v>100</v>
      </c>
      <c r="I98" t="s">
        <v>31</v>
      </c>
    </row>
    <row r="99" spans="1:9" x14ac:dyDescent="0.25">
      <c r="A99" t="s">
        <v>1500</v>
      </c>
      <c r="B99" t="s">
        <v>1491</v>
      </c>
      <c r="C99" t="s">
        <v>1383</v>
      </c>
      <c r="D99" s="3">
        <v>0</v>
      </c>
      <c r="E99" t="s">
        <v>30</v>
      </c>
      <c r="F99" t="s">
        <v>31</v>
      </c>
      <c r="G99">
        <v>0</v>
      </c>
      <c r="H99">
        <v>10</v>
      </c>
      <c r="I99" t="s">
        <v>31</v>
      </c>
    </row>
    <row r="100" spans="1:9" x14ac:dyDescent="0.25">
      <c r="A100" t="s">
        <v>1501</v>
      </c>
      <c r="B100" t="s">
        <v>1491</v>
      </c>
      <c r="C100" t="s">
        <v>1385</v>
      </c>
      <c r="D100" s="3">
        <v>0</v>
      </c>
      <c r="E100" t="s">
        <v>30</v>
      </c>
      <c r="F100" t="s">
        <v>31</v>
      </c>
      <c r="G100">
        <v>0</v>
      </c>
      <c r="H100">
        <v>10</v>
      </c>
      <c r="I100" t="s">
        <v>31</v>
      </c>
    </row>
    <row r="101" spans="1:9" x14ac:dyDescent="0.25">
      <c r="A101" t="s">
        <v>1502</v>
      </c>
      <c r="B101" t="s">
        <v>1491</v>
      </c>
      <c r="C101" t="s">
        <v>1387</v>
      </c>
      <c r="D101" s="3" t="s">
        <v>866</v>
      </c>
      <c r="E101" t="s">
        <v>81</v>
      </c>
      <c r="F101" t="s">
        <v>31</v>
      </c>
      <c r="G101" t="s">
        <v>31</v>
      </c>
      <c r="H101" t="s">
        <v>31</v>
      </c>
      <c r="I101" t="s">
        <v>31</v>
      </c>
    </row>
    <row r="102" spans="1:9" x14ac:dyDescent="0.25">
      <c r="A102" t="s">
        <v>1503</v>
      </c>
      <c r="B102" t="s">
        <v>1504</v>
      </c>
      <c r="C102" t="s">
        <v>226</v>
      </c>
      <c r="D102" s="2" t="s">
        <v>1504</v>
      </c>
      <c r="E102" t="s">
        <v>81</v>
      </c>
      <c r="F102" t="s">
        <v>31</v>
      </c>
      <c r="G102" t="s">
        <v>31</v>
      </c>
      <c r="H102" t="s">
        <v>31</v>
      </c>
      <c r="I102" t="s">
        <v>32</v>
      </c>
    </row>
    <row r="103" spans="1:9" x14ac:dyDescent="0.25">
      <c r="A103" t="s">
        <v>1505</v>
      </c>
      <c r="B103" t="s">
        <v>1504</v>
      </c>
      <c r="C103" t="s">
        <v>228</v>
      </c>
      <c r="D103" s="3" t="s">
        <v>1506</v>
      </c>
      <c r="E103" t="s">
        <v>81</v>
      </c>
      <c r="F103" t="s">
        <v>31</v>
      </c>
      <c r="G103" t="s">
        <v>31</v>
      </c>
      <c r="H103" t="s">
        <v>31</v>
      </c>
      <c r="I103" t="s">
        <v>31</v>
      </c>
    </row>
    <row r="104" spans="1:9" x14ac:dyDescent="0.25">
      <c r="A104" t="s">
        <v>1507</v>
      </c>
      <c r="B104" t="s">
        <v>1504</v>
      </c>
      <c r="C104" t="s">
        <v>1372</v>
      </c>
      <c r="D104" s="3" t="s">
        <v>1508</v>
      </c>
      <c r="E104" t="s">
        <v>81</v>
      </c>
      <c r="F104" t="s">
        <v>31</v>
      </c>
      <c r="G104" t="s">
        <v>31</v>
      </c>
      <c r="H104" t="s">
        <v>31</v>
      </c>
      <c r="I104" t="s">
        <v>31</v>
      </c>
    </row>
    <row r="105" spans="1:9" x14ac:dyDescent="0.25">
      <c r="A105" t="s">
        <v>1509</v>
      </c>
      <c r="B105" t="s">
        <v>1504</v>
      </c>
      <c r="C105" t="s">
        <v>1375</v>
      </c>
      <c r="D105" s="3">
        <v>1</v>
      </c>
      <c r="E105" t="s">
        <v>30</v>
      </c>
      <c r="F105" t="s">
        <v>31</v>
      </c>
      <c r="G105">
        <v>1</v>
      </c>
      <c r="H105">
        <v>10</v>
      </c>
      <c r="I105" t="s">
        <v>31</v>
      </c>
    </row>
    <row r="106" spans="1:9" x14ac:dyDescent="0.25">
      <c r="A106" t="s">
        <v>1510</v>
      </c>
      <c r="B106" t="s">
        <v>1504</v>
      </c>
      <c r="C106" t="s">
        <v>1377</v>
      </c>
      <c r="D106" s="3">
        <v>2</v>
      </c>
      <c r="E106" t="s">
        <v>30</v>
      </c>
      <c r="F106" t="s">
        <v>31</v>
      </c>
      <c r="G106">
        <v>1</v>
      </c>
      <c r="H106">
        <v>10</v>
      </c>
      <c r="I106" t="s">
        <v>31</v>
      </c>
    </row>
    <row r="107" spans="1:9" x14ac:dyDescent="0.25">
      <c r="A107" t="s">
        <v>1511</v>
      </c>
      <c r="B107" t="s">
        <v>1504</v>
      </c>
      <c r="C107" t="s">
        <v>1379</v>
      </c>
      <c r="D107" s="3">
        <v>1</v>
      </c>
      <c r="E107" t="s">
        <v>30</v>
      </c>
      <c r="F107" t="s">
        <v>31</v>
      </c>
      <c r="G107">
        <v>0.0001</v>
      </c>
      <c r="H107">
        <v>100</v>
      </c>
      <c r="I107" t="s">
        <v>31</v>
      </c>
    </row>
    <row r="108" spans="1:9" x14ac:dyDescent="0.25">
      <c r="A108" t="s">
        <v>1512</v>
      </c>
      <c r="B108" t="s">
        <v>1504</v>
      </c>
      <c r="C108" t="s">
        <v>1381</v>
      </c>
      <c r="D108" s="3">
        <v>1</v>
      </c>
      <c r="E108" t="s">
        <v>30</v>
      </c>
      <c r="F108" t="s">
        <v>31</v>
      </c>
      <c r="G108">
        <v>0.0001</v>
      </c>
      <c r="H108">
        <v>100</v>
      </c>
      <c r="I108" t="s">
        <v>31</v>
      </c>
    </row>
    <row r="109" spans="1:9" x14ac:dyDescent="0.25">
      <c r="A109" t="s">
        <v>1513</v>
      </c>
      <c r="B109" t="s">
        <v>1504</v>
      </c>
      <c r="C109" t="s">
        <v>1383</v>
      </c>
      <c r="D109" s="3">
        <v>0</v>
      </c>
      <c r="E109" t="s">
        <v>30</v>
      </c>
      <c r="F109" t="s">
        <v>31</v>
      </c>
      <c r="G109">
        <v>0</v>
      </c>
      <c r="H109">
        <v>10</v>
      </c>
      <c r="I109" t="s">
        <v>31</v>
      </c>
    </row>
    <row r="110" spans="1:9" x14ac:dyDescent="0.25">
      <c r="A110" t="s">
        <v>1514</v>
      </c>
      <c r="B110" t="s">
        <v>1504</v>
      </c>
      <c r="C110" t="s">
        <v>1385</v>
      </c>
      <c r="D110" s="3">
        <v>0</v>
      </c>
      <c r="E110" t="s">
        <v>30</v>
      </c>
      <c r="F110" t="s">
        <v>31</v>
      </c>
      <c r="G110">
        <v>0</v>
      </c>
      <c r="H110">
        <v>10</v>
      </c>
      <c r="I110" t="s">
        <v>31</v>
      </c>
    </row>
    <row r="111" spans="1:9" x14ac:dyDescent="0.25">
      <c r="A111" t="s">
        <v>1515</v>
      </c>
      <c r="B111" t="s">
        <v>1504</v>
      </c>
      <c r="C111" t="s">
        <v>1387</v>
      </c>
      <c r="D111" s="3" t="s">
        <v>753</v>
      </c>
      <c r="E111" t="s">
        <v>81</v>
      </c>
      <c r="F111" t="s">
        <v>31</v>
      </c>
      <c r="G111" t="s">
        <v>31</v>
      </c>
      <c r="H111" t="s">
        <v>31</v>
      </c>
      <c r="I111" t="s">
        <v>31</v>
      </c>
    </row>
    <row r="112" spans="1:9" x14ac:dyDescent="0.25">
      <c r="A112" t="s">
        <v>1516</v>
      </c>
      <c r="B112" t="s">
        <v>1517</v>
      </c>
      <c r="C112" t="s">
        <v>226</v>
      </c>
      <c r="D112" s="2" t="s">
        <v>1517</v>
      </c>
      <c r="E112" t="s">
        <v>81</v>
      </c>
      <c r="F112" t="s">
        <v>31</v>
      </c>
      <c r="G112" t="s">
        <v>31</v>
      </c>
      <c r="H112" t="s">
        <v>31</v>
      </c>
      <c r="I112" t="s">
        <v>32</v>
      </c>
    </row>
    <row r="113" spans="1:9" x14ac:dyDescent="0.25">
      <c r="A113" t="s">
        <v>1518</v>
      </c>
      <c r="B113" t="s">
        <v>1517</v>
      </c>
      <c r="C113" t="s">
        <v>228</v>
      </c>
      <c r="D113" s="3" t="s">
        <v>1519</v>
      </c>
      <c r="E113" t="s">
        <v>81</v>
      </c>
      <c r="F113" t="s">
        <v>31</v>
      </c>
      <c r="G113" t="s">
        <v>31</v>
      </c>
      <c r="H113" t="s">
        <v>31</v>
      </c>
      <c r="I113" t="s">
        <v>31</v>
      </c>
    </row>
    <row r="114" spans="1:9" x14ac:dyDescent="0.25">
      <c r="A114" t="s">
        <v>1520</v>
      </c>
      <c r="B114" t="s">
        <v>1517</v>
      </c>
      <c r="C114" t="s">
        <v>1372</v>
      </c>
      <c r="D114" s="3" t="s">
        <v>1521</v>
      </c>
      <c r="E114" t="s">
        <v>81</v>
      </c>
      <c r="F114" t="s">
        <v>31</v>
      </c>
      <c r="G114" t="s">
        <v>31</v>
      </c>
      <c r="H114" t="s">
        <v>31</v>
      </c>
      <c r="I114" t="s">
        <v>31</v>
      </c>
    </row>
    <row r="115" spans="1:9" x14ac:dyDescent="0.25">
      <c r="A115" t="s">
        <v>1522</v>
      </c>
      <c r="B115" t="s">
        <v>1517</v>
      </c>
      <c r="C115" t="s">
        <v>1375</v>
      </c>
      <c r="D115" s="3">
        <v>3</v>
      </c>
      <c r="E115" t="s">
        <v>30</v>
      </c>
      <c r="F115" t="s">
        <v>31</v>
      </c>
      <c r="G115">
        <v>1</v>
      </c>
      <c r="H115">
        <v>10</v>
      </c>
      <c r="I115" t="s">
        <v>31</v>
      </c>
    </row>
    <row r="116" spans="1:9" x14ac:dyDescent="0.25">
      <c r="A116" t="s">
        <v>1523</v>
      </c>
      <c r="B116" t="s">
        <v>1517</v>
      </c>
      <c r="C116" t="s">
        <v>1377</v>
      </c>
      <c r="D116" s="3">
        <v>4</v>
      </c>
      <c r="E116" t="s">
        <v>30</v>
      </c>
      <c r="F116" t="s">
        <v>31</v>
      </c>
      <c r="G116">
        <v>1</v>
      </c>
      <c r="H116">
        <v>10</v>
      </c>
      <c r="I116" t="s">
        <v>31</v>
      </c>
    </row>
    <row r="117" spans="1:9" x14ac:dyDescent="0.25">
      <c r="A117" t="s">
        <v>1524</v>
      </c>
      <c r="B117" t="s">
        <v>1517</v>
      </c>
      <c r="C117" t="s">
        <v>1379</v>
      </c>
      <c r="D117" s="3">
        <v>1</v>
      </c>
      <c r="E117" t="s">
        <v>30</v>
      </c>
      <c r="F117" t="s">
        <v>31</v>
      </c>
      <c r="G117">
        <v>0.0001</v>
      </c>
      <c r="H117">
        <v>100</v>
      </c>
      <c r="I117" t="s">
        <v>31</v>
      </c>
    </row>
    <row r="118" spans="1:9" x14ac:dyDescent="0.25">
      <c r="A118" t="s">
        <v>1525</v>
      </c>
      <c r="B118" t="s">
        <v>1517</v>
      </c>
      <c r="C118" t="s">
        <v>1381</v>
      </c>
      <c r="D118" s="3">
        <v>1</v>
      </c>
      <c r="E118" t="s">
        <v>30</v>
      </c>
      <c r="F118" t="s">
        <v>31</v>
      </c>
      <c r="G118">
        <v>0.0001</v>
      </c>
      <c r="H118">
        <v>100</v>
      </c>
      <c r="I118" t="s">
        <v>31</v>
      </c>
    </row>
    <row r="119" spans="1:9" x14ac:dyDescent="0.25">
      <c r="A119" t="s">
        <v>1526</v>
      </c>
      <c r="B119" t="s">
        <v>1517</v>
      </c>
      <c r="C119" t="s">
        <v>1383</v>
      </c>
      <c r="D119" s="3">
        <v>0</v>
      </c>
      <c r="E119" t="s">
        <v>30</v>
      </c>
      <c r="F119" t="s">
        <v>31</v>
      </c>
      <c r="G119">
        <v>0</v>
      </c>
      <c r="H119">
        <v>10</v>
      </c>
      <c r="I119" t="s">
        <v>31</v>
      </c>
    </row>
    <row r="120" spans="1:9" x14ac:dyDescent="0.25">
      <c r="A120" t="s">
        <v>1527</v>
      </c>
      <c r="B120" t="s">
        <v>1517</v>
      </c>
      <c r="C120" t="s">
        <v>1385</v>
      </c>
      <c r="D120" s="3">
        <v>0</v>
      </c>
      <c r="E120" t="s">
        <v>30</v>
      </c>
      <c r="F120" t="s">
        <v>31</v>
      </c>
      <c r="G120">
        <v>0</v>
      </c>
      <c r="H120">
        <v>10</v>
      </c>
      <c r="I120" t="s">
        <v>31</v>
      </c>
    </row>
    <row r="121" spans="1:9" x14ac:dyDescent="0.25">
      <c r="A121" t="s">
        <v>1528</v>
      </c>
      <c r="B121" t="s">
        <v>1517</v>
      </c>
      <c r="C121" t="s">
        <v>1387</v>
      </c>
      <c r="D121" s="3" t="s">
        <v>697</v>
      </c>
      <c r="E121" t="s">
        <v>81</v>
      </c>
      <c r="F121" t="s">
        <v>31</v>
      </c>
      <c r="G121" t="s">
        <v>31</v>
      </c>
      <c r="H121" t="s">
        <v>31</v>
      </c>
      <c r="I121" t="s">
        <v>31</v>
      </c>
    </row>
    <row r="122" spans="1:9" x14ac:dyDescent="0.25">
      <c r="A122" t="s">
        <v>1529</v>
      </c>
      <c r="B122" t="s">
        <v>1530</v>
      </c>
      <c r="C122" t="s">
        <v>226</v>
      </c>
      <c r="D122" s="2" t="s">
        <v>1530</v>
      </c>
      <c r="E122" t="s">
        <v>81</v>
      </c>
      <c r="F122" t="s">
        <v>31</v>
      </c>
      <c r="G122" t="s">
        <v>31</v>
      </c>
      <c r="H122" t="s">
        <v>31</v>
      </c>
      <c r="I122" t="s">
        <v>32</v>
      </c>
    </row>
    <row r="123" spans="1:9" x14ac:dyDescent="0.25">
      <c r="A123" t="s">
        <v>1531</v>
      </c>
      <c r="B123" t="s">
        <v>1530</v>
      </c>
      <c r="C123" t="s">
        <v>228</v>
      </c>
      <c r="D123" s="3" t="s">
        <v>1532</v>
      </c>
      <c r="E123" t="s">
        <v>81</v>
      </c>
      <c r="F123" t="s">
        <v>31</v>
      </c>
      <c r="G123" t="s">
        <v>31</v>
      </c>
      <c r="H123" t="s">
        <v>31</v>
      </c>
      <c r="I123" t="s">
        <v>31</v>
      </c>
    </row>
    <row r="124" spans="1:9" x14ac:dyDescent="0.25">
      <c r="A124" t="s">
        <v>1533</v>
      </c>
      <c r="B124" t="s">
        <v>1530</v>
      </c>
      <c r="C124" t="s">
        <v>1372</v>
      </c>
      <c r="D124" s="3" t="s">
        <v>1534</v>
      </c>
      <c r="E124" t="s">
        <v>81</v>
      </c>
      <c r="F124" t="s">
        <v>31</v>
      </c>
      <c r="G124" t="s">
        <v>31</v>
      </c>
      <c r="H124" t="s">
        <v>31</v>
      </c>
      <c r="I124" t="s">
        <v>31</v>
      </c>
    </row>
    <row r="125" spans="1:9" x14ac:dyDescent="0.25">
      <c r="A125" t="s">
        <v>1535</v>
      </c>
      <c r="B125" t="s">
        <v>1530</v>
      </c>
      <c r="C125" t="s">
        <v>1375</v>
      </c>
      <c r="D125" s="3">
        <v>5</v>
      </c>
      <c r="E125" t="s">
        <v>30</v>
      </c>
      <c r="F125" t="s">
        <v>31</v>
      </c>
      <c r="G125">
        <v>1</v>
      </c>
      <c r="H125">
        <v>10</v>
      </c>
      <c r="I125" t="s">
        <v>31</v>
      </c>
    </row>
    <row r="126" spans="1:9" x14ac:dyDescent="0.25">
      <c r="A126" t="s">
        <v>1536</v>
      </c>
      <c r="B126" t="s">
        <v>1530</v>
      </c>
      <c r="C126" t="s">
        <v>1377</v>
      </c>
      <c r="D126" s="3">
        <v>6</v>
      </c>
      <c r="E126" t="s">
        <v>30</v>
      </c>
      <c r="F126" t="s">
        <v>31</v>
      </c>
      <c r="G126">
        <v>1</v>
      </c>
      <c r="H126">
        <v>10</v>
      </c>
      <c r="I126" t="s">
        <v>31</v>
      </c>
    </row>
    <row r="127" spans="1:9" x14ac:dyDescent="0.25">
      <c r="A127" t="s">
        <v>1537</v>
      </c>
      <c r="B127" t="s">
        <v>1530</v>
      </c>
      <c r="C127" t="s">
        <v>1379</v>
      </c>
      <c r="D127" s="3">
        <v>1</v>
      </c>
      <c r="E127" t="s">
        <v>30</v>
      </c>
      <c r="F127" t="s">
        <v>31</v>
      </c>
      <c r="G127">
        <v>0.0001</v>
      </c>
      <c r="H127">
        <v>100</v>
      </c>
      <c r="I127" t="s">
        <v>31</v>
      </c>
    </row>
    <row r="128" spans="1:9" x14ac:dyDescent="0.25">
      <c r="A128" t="s">
        <v>1538</v>
      </c>
      <c r="B128" t="s">
        <v>1530</v>
      </c>
      <c r="C128" t="s">
        <v>1381</v>
      </c>
      <c r="D128" s="3">
        <v>1</v>
      </c>
      <c r="E128" t="s">
        <v>30</v>
      </c>
      <c r="F128" t="s">
        <v>31</v>
      </c>
      <c r="G128">
        <v>0.0001</v>
      </c>
      <c r="H128">
        <v>100</v>
      </c>
      <c r="I128" t="s">
        <v>31</v>
      </c>
    </row>
    <row r="129" spans="1:9" x14ac:dyDescent="0.25">
      <c r="A129" t="s">
        <v>1539</v>
      </c>
      <c r="B129" t="s">
        <v>1530</v>
      </c>
      <c r="C129" t="s">
        <v>1383</v>
      </c>
      <c r="D129" s="3">
        <v>0</v>
      </c>
      <c r="E129" t="s">
        <v>30</v>
      </c>
      <c r="F129" t="s">
        <v>31</v>
      </c>
      <c r="G129">
        <v>0</v>
      </c>
      <c r="H129">
        <v>10</v>
      </c>
      <c r="I129" t="s">
        <v>31</v>
      </c>
    </row>
    <row r="130" spans="1:9" x14ac:dyDescent="0.25">
      <c r="A130" t="s">
        <v>1540</v>
      </c>
      <c r="B130" t="s">
        <v>1530</v>
      </c>
      <c r="C130" t="s">
        <v>1385</v>
      </c>
      <c r="D130" s="3">
        <v>0</v>
      </c>
      <c r="E130" t="s">
        <v>30</v>
      </c>
      <c r="F130" t="s">
        <v>31</v>
      </c>
      <c r="G130">
        <v>0</v>
      </c>
      <c r="H130">
        <v>10</v>
      </c>
      <c r="I130" t="s">
        <v>31</v>
      </c>
    </row>
    <row r="131" spans="1:9" x14ac:dyDescent="0.25">
      <c r="A131" t="s">
        <v>1541</v>
      </c>
      <c r="B131" t="s">
        <v>1530</v>
      </c>
      <c r="C131" t="s">
        <v>1387</v>
      </c>
      <c r="D131" s="3" t="s">
        <v>753</v>
      </c>
      <c r="E131" t="s">
        <v>81</v>
      </c>
      <c r="F131" t="s">
        <v>31</v>
      </c>
      <c r="G131" t="s">
        <v>31</v>
      </c>
      <c r="H131" t="s">
        <v>31</v>
      </c>
      <c r="I131" t="s">
        <v>31</v>
      </c>
    </row>
    <row r="132" spans="1:9" x14ac:dyDescent="0.25">
      <c r="A132" t="s">
        <v>1542</v>
      </c>
      <c r="B132" t="s">
        <v>1543</v>
      </c>
      <c r="C132" t="s">
        <v>226</v>
      </c>
      <c r="D132" s="2" t="s">
        <v>1543</v>
      </c>
      <c r="E132" t="s">
        <v>81</v>
      </c>
      <c r="F132" t="s">
        <v>31</v>
      </c>
      <c r="G132" t="s">
        <v>31</v>
      </c>
      <c r="H132" t="s">
        <v>31</v>
      </c>
      <c r="I132" t="s">
        <v>32</v>
      </c>
    </row>
    <row r="133" spans="1:9" x14ac:dyDescent="0.25">
      <c r="A133" t="s">
        <v>1544</v>
      </c>
      <c r="B133" t="s">
        <v>1543</v>
      </c>
      <c r="C133" t="s">
        <v>228</v>
      </c>
      <c r="D133" s="3" t="s">
        <v>1545</v>
      </c>
      <c r="E133" t="s">
        <v>81</v>
      </c>
      <c r="F133" t="s">
        <v>31</v>
      </c>
      <c r="G133" t="s">
        <v>31</v>
      </c>
      <c r="H133" t="s">
        <v>31</v>
      </c>
      <c r="I133" t="s">
        <v>31</v>
      </c>
    </row>
    <row r="134" spans="1:9" x14ac:dyDescent="0.25">
      <c r="A134" t="s">
        <v>1546</v>
      </c>
      <c r="B134" t="s">
        <v>1543</v>
      </c>
      <c r="C134" t="s">
        <v>1372</v>
      </c>
      <c r="D134" s="3" t="s">
        <v>1547</v>
      </c>
      <c r="E134" t="s">
        <v>81</v>
      </c>
      <c r="F134" t="s">
        <v>31</v>
      </c>
      <c r="G134" t="s">
        <v>31</v>
      </c>
      <c r="H134" t="s">
        <v>31</v>
      </c>
      <c r="I134" t="s">
        <v>31</v>
      </c>
    </row>
    <row r="135" spans="1:9" x14ac:dyDescent="0.25">
      <c r="A135" t="s">
        <v>1548</v>
      </c>
      <c r="B135" t="s">
        <v>1543</v>
      </c>
      <c r="C135" t="s">
        <v>1375</v>
      </c>
      <c r="D135" s="3">
        <v>7</v>
      </c>
      <c r="E135" t="s">
        <v>30</v>
      </c>
      <c r="F135" t="s">
        <v>31</v>
      </c>
      <c r="G135">
        <v>1</v>
      </c>
      <c r="H135">
        <v>10</v>
      </c>
      <c r="I135" t="s">
        <v>31</v>
      </c>
    </row>
    <row r="136" spans="1:9" x14ac:dyDescent="0.25">
      <c r="A136" t="s">
        <v>1549</v>
      </c>
      <c r="B136" t="s">
        <v>1543</v>
      </c>
      <c r="C136" t="s">
        <v>1377</v>
      </c>
      <c r="D136" s="3">
        <v>8</v>
      </c>
      <c r="E136" t="s">
        <v>30</v>
      </c>
      <c r="F136" t="s">
        <v>31</v>
      </c>
      <c r="G136">
        <v>1</v>
      </c>
      <c r="H136">
        <v>10</v>
      </c>
      <c r="I136" t="s">
        <v>31</v>
      </c>
    </row>
    <row r="137" spans="1:9" x14ac:dyDescent="0.25">
      <c r="A137" t="s">
        <v>1550</v>
      </c>
      <c r="B137" t="s">
        <v>1543</v>
      </c>
      <c r="C137" t="s">
        <v>1379</v>
      </c>
      <c r="D137" s="3">
        <v>1</v>
      </c>
      <c r="E137" t="s">
        <v>30</v>
      </c>
      <c r="F137" t="s">
        <v>31</v>
      </c>
      <c r="G137">
        <v>0.0001</v>
      </c>
      <c r="H137">
        <v>100</v>
      </c>
      <c r="I137" t="s">
        <v>31</v>
      </c>
    </row>
    <row r="138" spans="1:9" x14ac:dyDescent="0.25">
      <c r="A138" t="s">
        <v>1551</v>
      </c>
      <c r="B138" t="s">
        <v>1543</v>
      </c>
      <c r="C138" t="s">
        <v>1381</v>
      </c>
      <c r="D138" s="3">
        <v>1</v>
      </c>
      <c r="E138" t="s">
        <v>30</v>
      </c>
      <c r="F138" t="s">
        <v>31</v>
      </c>
      <c r="G138">
        <v>0.0001</v>
      </c>
      <c r="H138">
        <v>100</v>
      </c>
      <c r="I138" t="s">
        <v>31</v>
      </c>
    </row>
    <row r="139" spans="1:9" x14ac:dyDescent="0.25">
      <c r="A139" t="s">
        <v>1552</v>
      </c>
      <c r="B139" t="s">
        <v>1543</v>
      </c>
      <c r="C139" t="s">
        <v>1383</v>
      </c>
      <c r="D139" s="3">
        <v>0</v>
      </c>
      <c r="E139" t="s">
        <v>30</v>
      </c>
      <c r="F139" t="s">
        <v>31</v>
      </c>
      <c r="G139">
        <v>0</v>
      </c>
      <c r="H139">
        <v>10</v>
      </c>
      <c r="I139" t="s">
        <v>31</v>
      </c>
    </row>
    <row r="140" spans="1:9" x14ac:dyDescent="0.25">
      <c r="A140" t="s">
        <v>1553</v>
      </c>
      <c r="B140" t="s">
        <v>1543</v>
      </c>
      <c r="C140" t="s">
        <v>1385</v>
      </c>
      <c r="D140" s="3">
        <v>0</v>
      </c>
      <c r="E140" t="s">
        <v>30</v>
      </c>
      <c r="F140" t="s">
        <v>31</v>
      </c>
      <c r="G140">
        <v>0</v>
      </c>
      <c r="H140">
        <v>10</v>
      </c>
      <c r="I140" t="s">
        <v>31</v>
      </c>
    </row>
    <row r="141" spans="1:9" x14ac:dyDescent="0.25">
      <c r="A141" t="s">
        <v>1554</v>
      </c>
      <c r="B141" t="s">
        <v>1543</v>
      </c>
      <c r="C141" t="s">
        <v>1387</v>
      </c>
      <c r="D141" s="3" t="s">
        <v>810</v>
      </c>
      <c r="E141" t="s">
        <v>81</v>
      </c>
      <c r="F141" t="s">
        <v>31</v>
      </c>
      <c r="G141" t="s">
        <v>31</v>
      </c>
      <c r="H141" t="s">
        <v>31</v>
      </c>
      <c r="I141" t="s">
        <v>31</v>
      </c>
    </row>
    <row r="142" spans="1:9" x14ac:dyDescent="0.25">
      <c r="A142" t="s">
        <v>1555</v>
      </c>
      <c r="B142" t="s">
        <v>1556</v>
      </c>
      <c r="C142" t="s">
        <v>226</v>
      </c>
      <c r="D142" s="2" t="s">
        <v>1556</v>
      </c>
      <c r="E142" t="s">
        <v>81</v>
      </c>
      <c r="F142" t="s">
        <v>31</v>
      </c>
      <c r="G142" t="s">
        <v>31</v>
      </c>
      <c r="H142" t="s">
        <v>31</v>
      </c>
      <c r="I142" t="s">
        <v>32</v>
      </c>
    </row>
    <row r="143" spans="1:9" x14ac:dyDescent="0.25">
      <c r="A143" t="s">
        <v>1557</v>
      </c>
      <c r="B143" t="s">
        <v>1556</v>
      </c>
      <c r="C143" t="s">
        <v>228</v>
      </c>
      <c r="D143" s="3" t="s">
        <v>1558</v>
      </c>
      <c r="E143" t="s">
        <v>81</v>
      </c>
      <c r="F143" t="s">
        <v>31</v>
      </c>
      <c r="G143" t="s">
        <v>31</v>
      </c>
      <c r="H143" t="s">
        <v>31</v>
      </c>
      <c r="I143" t="s">
        <v>31</v>
      </c>
    </row>
    <row r="144" spans="1:9" x14ac:dyDescent="0.25">
      <c r="A144" t="s">
        <v>1559</v>
      </c>
      <c r="B144" t="s">
        <v>1556</v>
      </c>
      <c r="C144" t="s">
        <v>1372</v>
      </c>
      <c r="D144" s="3" t="s">
        <v>1560</v>
      </c>
      <c r="E144" t="s">
        <v>81</v>
      </c>
      <c r="F144" t="s">
        <v>31</v>
      </c>
      <c r="G144" t="s">
        <v>31</v>
      </c>
      <c r="H144" t="s">
        <v>31</v>
      </c>
      <c r="I144" t="s">
        <v>31</v>
      </c>
    </row>
    <row r="145" spans="1:9" x14ac:dyDescent="0.25">
      <c r="A145" t="s">
        <v>1561</v>
      </c>
      <c r="B145" t="s">
        <v>1556</v>
      </c>
      <c r="C145" t="s">
        <v>1375</v>
      </c>
      <c r="D145" s="3">
        <v>9</v>
      </c>
      <c r="E145" t="s">
        <v>30</v>
      </c>
      <c r="F145" t="s">
        <v>31</v>
      </c>
      <c r="G145">
        <v>1</v>
      </c>
      <c r="H145">
        <v>10</v>
      </c>
      <c r="I145" t="s">
        <v>31</v>
      </c>
    </row>
    <row r="146" spans="1:9" x14ac:dyDescent="0.25">
      <c r="A146" t="s">
        <v>1562</v>
      </c>
      <c r="B146" t="s">
        <v>1556</v>
      </c>
      <c r="C146" t="s">
        <v>1377</v>
      </c>
      <c r="D146" s="3">
        <v>10</v>
      </c>
      <c r="E146" t="s">
        <v>30</v>
      </c>
      <c r="F146" t="s">
        <v>31</v>
      </c>
      <c r="G146">
        <v>1</v>
      </c>
      <c r="H146">
        <v>10</v>
      </c>
      <c r="I146" t="s">
        <v>31</v>
      </c>
    </row>
    <row r="147" spans="1:9" x14ac:dyDescent="0.25">
      <c r="A147" t="s">
        <v>1563</v>
      </c>
      <c r="B147" t="s">
        <v>1556</v>
      </c>
      <c r="C147" t="s">
        <v>1379</v>
      </c>
      <c r="D147" s="3">
        <v>1</v>
      </c>
      <c r="E147" t="s">
        <v>30</v>
      </c>
      <c r="F147" t="s">
        <v>31</v>
      </c>
      <c r="G147">
        <v>0.0001</v>
      </c>
      <c r="H147">
        <v>100</v>
      </c>
      <c r="I147" t="s">
        <v>31</v>
      </c>
    </row>
    <row r="148" spans="1:9" x14ac:dyDescent="0.25">
      <c r="A148" t="s">
        <v>1564</v>
      </c>
      <c r="B148" t="s">
        <v>1556</v>
      </c>
      <c r="C148" t="s">
        <v>1381</v>
      </c>
      <c r="D148" s="3">
        <v>1</v>
      </c>
      <c r="E148" t="s">
        <v>30</v>
      </c>
      <c r="F148" t="s">
        <v>31</v>
      </c>
      <c r="G148">
        <v>0.0001</v>
      </c>
      <c r="H148">
        <v>100</v>
      </c>
      <c r="I148" t="s">
        <v>31</v>
      </c>
    </row>
    <row r="149" spans="1:9" x14ac:dyDescent="0.25">
      <c r="A149" t="s">
        <v>1565</v>
      </c>
      <c r="B149" t="s">
        <v>1556</v>
      </c>
      <c r="C149" t="s">
        <v>1383</v>
      </c>
      <c r="D149" s="3">
        <v>0</v>
      </c>
      <c r="E149" t="s">
        <v>30</v>
      </c>
      <c r="F149" t="s">
        <v>31</v>
      </c>
      <c r="G149">
        <v>0</v>
      </c>
      <c r="H149">
        <v>10</v>
      </c>
      <c r="I149" t="s">
        <v>31</v>
      </c>
    </row>
    <row r="150" spans="1:9" x14ac:dyDescent="0.25">
      <c r="A150" t="s">
        <v>1566</v>
      </c>
      <c r="B150" t="s">
        <v>1556</v>
      </c>
      <c r="C150" t="s">
        <v>1385</v>
      </c>
      <c r="D150" s="3">
        <v>0</v>
      </c>
      <c r="E150" t="s">
        <v>30</v>
      </c>
      <c r="F150" t="s">
        <v>31</v>
      </c>
      <c r="G150">
        <v>0</v>
      </c>
      <c r="H150">
        <v>10</v>
      </c>
      <c r="I150" t="s">
        <v>31</v>
      </c>
    </row>
    <row r="151" spans="1:9" x14ac:dyDescent="0.25">
      <c r="A151" t="s">
        <v>1567</v>
      </c>
      <c r="B151" t="s">
        <v>1556</v>
      </c>
      <c r="C151" t="s">
        <v>1387</v>
      </c>
      <c r="D151" s="3" t="s">
        <v>866</v>
      </c>
      <c r="E151" t="s">
        <v>81</v>
      </c>
      <c r="F151" t="s">
        <v>31</v>
      </c>
      <c r="G151" t="s">
        <v>31</v>
      </c>
      <c r="H151" t="s">
        <v>31</v>
      </c>
      <c r="I151" t="s">
        <v>31</v>
      </c>
    </row>
    <row r="152" spans="1:9" x14ac:dyDescent="0.25">
      <c r="A152" t="s">
        <v>1568</v>
      </c>
      <c r="B152" t="s">
        <v>1569</v>
      </c>
      <c r="C152" t="s">
        <v>226</v>
      </c>
      <c r="D152" s="2" t="s">
        <v>1569</v>
      </c>
      <c r="E152" t="s">
        <v>81</v>
      </c>
      <c r="F152" t="s">
        <v>31</v>
      </c>
      <c r="G152" t="s">
        <v>31</v>
      </c>
      <c r="H152" t="s">
        <v>31</v>
      </c>
      <c r="I152" t="s">
        <v>32</v>
      </c>
    </row>
    <row r="153" spans="1:9" x14ac:dyDescent="0.25">
      <c r="A153" t="s">
        <v>1570</v>
      </c>
      <c r="B153" t="s">
        <v>1569</v>
      </c>
      <c r="C153" t="s">
        <v>228</v>
      </c>
      <c r="D153" s="3" t="s">
        <v>1571</v>
      </c>
      <c r="E153" t="s">
        <v>81</v>
      </c>
      <c r="F153" t="s">
        <v>31</v>
      </c>
      <c r="G153" t="s">
        <v>31</v>
      </c>
      <c r="H153" t="s">
        <v>31</v>
      </c>
      <c r="I153" t="s">
        <v>31</v>
      </c>
    </row>
    <row r="154" spans="1:9" x14ac:dyDescent="0.25">
      <c r="A154" t="s">
        <v>1572</v>
      </c>
      <c r="B154" t="s">
        <v>1569</v>
      </c>
      <c r="C154" t="s">
        <v>1372</v>
      </c>
      <c r="D154" s="3" t="s">
        <v>1573</v>
      </c>
      <c r="E154" t="s">
        <v>81</v>
      </c>
      <c r="F154" t="s">
        <v>31</v>
      </c>
      <c r="G154" t="s">
        <v>31</v>
      </c>
      <c r="H154" t="s">
        <v>31</v>
      </c>
      <c r="I154" t="s">
        <v>31</v>
      </c>
    </row>
    <row r="155" spans="1:9" x14ac:dyDescent="0.25">
      <c r="A155" t="s">
        <v>1574</v>
      </c>
      <c r="B155" t="s">
        <v>1569</v>
      </c>
      <c r="C155" t="s">
        <v>1375</v>
      </c>
      <c r="D155" s="3">
        <v>1</v>
      </c>
      <c r="E155" t="s">
        <v>30</v>
      </c>
      <c r="F155" t="s">
        <v>31</v>
      </c>
      <c r="G155">
        <v>1</v>
      </c>
      <c r="H155">
        <v>10</v>
      </c>
      <c r="I155" t="s">
        <v>31</v>
      </c>
    </row>
    <row r="156" spans="1:9" x14ac:dyDescent="0.25">
      <c r="A156" t="s">
        <v>1575</v>
      </c>
      <c r="B156" t="s">
        <v>1569</v>
      </c>
      <c r="C156" t="s">
        <v>1377</v>
      </c>
      <c r="D156" s="3">
        <v>10</v>
      </c>
      <c r="E156" t="s">
        <v>30</v>
      </c>
      <c r="F156" t="s">
        <v>31</v>
      </c>
      <c r="G156">
        <v>1</v>
      </c>
      <c r="H156">
        <v>10</v>
      </c>
      <c r="I156" t="s">
        <v>31</v>
      </c>
    </row>
    <row r="157" spans="1:9" x14ac:dyDescent="0.25">
      <c r="A157" t="s">
        <v>1576</v>
      </c>
      <c r="B157" t="s">
        <v>1569</v>
      </c>
      <c r="C157" t="s">
        <v>1379</v>
      </c>
      <c r="D157" s="3">
        <v>1</v>
      </c>
      <c r="E157" t="s">
        <v>30</v>
      </c>
      <c r="F157" t="s">
        <v>31</v>
      </c>
      <c r="G157">
        <v>0.0001</v>
      </c>
      <c r="H157">
        <v>100</v>
      </c>
      <c r="I157" t="s">
        <v>31</v>
      </c>
    </row>
    <row r="158" spans="1:9" x14ac:dyDescent="0.25">
      <c r="A158" t="s">
        <v>1577</v>
      </c>
      <c r="B158" t="s">
        <v>1569</v>
      </c>
      <c r="C158" t="s">
        <v>1381</v>
      </c>
      <c r="D158" s="3">
        <v>1</v>
      </c>
      <c r="E158" t="s">
        <v>30</v>
      </c>
      <c r="F158" t="s">
        <v>31</v>
      </c>
      <c r="G158">
        <v>0.0001</v>
      </c>
      <c r="H158">
        <v>100</v>
      </c>
      <c r="I158" t="s">
        <v>31</v>
      </c>
    </row>
    <row r="159" spans="1:9" x14ac:dyDescent="0.25">
      <c r="A159" t="s">
        <v>1578</v>
      </c>
      <c r="B159" t="s">
        <v>1569</v>
      </c>
      <c r="C159" t="s">
        <v>1383</v>
      </c>
      <c r="D159" s="3">
        <v>0</v>
      </c>
      <c r="E159" t="s">
        <v>30</v>
      </c>
      <c r="F159" t="s">
        <v>31</v>
      </c>
      <c r="G159">
        <v>0</v>
      </c>
      <c r="H159">
        <v>10</v>
      </c>
      <c r="I159" t="s">
        <v>31</v>
      </c>
    </row>
    <row r="160" spans="1:9" x14ac:dyDescent="0.25">
      <c r="A160" t="s">
        <v>1579</v>
      </c>
      <c r="B160" t="s">
        <v>1569</v>
      </c>
      <c r="C160" t="s">
        <v>1385</v>
      </c>
      <c r="D160" s="3">
        <v>0</v>
      </c>
      <c r="E160" t="s">
        <v>30</v>
      </c>
      <c r="F160" t="s">
        <v>31</v>
      </c>
      <c r="G160">
        <v>0</v>
      </c>
      <c r="H160">
        <v>10</v>
      </c>
      <c r="I160" t="s">
        <v>31</v>
      </c>
    </row>
    <row r="161" spans="1:9" x14ac:dyDescent="0.25">
      <c r="A161" t="s">
        <v>1580</v>
      </c>
      <c r="B161" t="s">
        <v>1569</v>
      </c>
      <c r="C161" t="s">
        <v>1387</v>
      </c>
      <c r="D161" s="3" t="s">
        <v>697</v>
      </c>
      <c r="E161" t="s">
        <v>81</v>
      </c>
      <c r="F161" t="s">
        <v>31</v>
      </c>
      <c r="G161" t="s">
        <v>31</v>
      </c>
      <c r="H161" t="s">
        <v>31</v>
      </c>
      <c r="I161" t="s">
        <v>31</v>
      </c>
    </row>
    <row r="162" spans="1:9" x14ac:dyDescent="0.25">
      <c r="A162" t="s">
        <v>1581</v>
      </c>
      <c r="B162" t="s">
        <v>1582</v>
      </c>
      <c r="C162" t="s">
        <v>226</v>
      </c>
      <c r="D162" s="2" t="s">
        <v>1582</v>
      </c>
      <c r="E162" t="s">
        <v>81</v>
      </c>
      <c r="F162" t="s">
        <v>31</v>
      </c>
      <c r="G162" t="s">
        <v>31</v>
      </c>
      <c r="H162" t="s">
        <v>31</v>
      </c>
      <c r="I162" t="s">
        <v>32</v>
      </c>
    </row>
    <row r="163" spans="1:9" x14ac:dyDescent="0.25">
      <c r="A163" t="s">
        <v>1583</v>
      </c>
      <c r="B163" t="s">
        <v>1582</v>
      </c>
      <c r="C163" t="s">
        <v>228</v>
      </c>
      <c r="D163" s="3" t="s">
        <v>1584</v>
      </c>
      <c r="E163" t="s">
        <v>81</v>
      </c>
      <c r="F163" t="s">
        <v>31</v>
      </c>
      <c r="G163" t="s">
        <v>31</v>
      </c>
      <c r="H163" t="s">
        <v>31</v>
      </c>
      <c r="I163" t="s">
        <v>31</v>
      </c>
    </row>
    <row r="164" spans="1:9" x14ac:dyDescent="0.25">
      <c r="A164" t="s">
        <v>1585</v>
      </c>
      <c r="B164" t="s">
        <v>1582</v>
      </c>
      <c r="C164" t="s">
        <v>1372</v>
      </c>
      <c r="D164" s="3" t="s">
        <v>1586</v>
      </c>
      <c r="E164" t="s">
        <v>81</v>
      </c>
      <c r="F164" t="s">
        <v>31</v>
      </c>
      <c r="G164" t="s">
        <v>31</v>
      </c>
      <c r="H164" t="s">
        <v>31</v>
      </c>
      <c r="I164" t="s">
        <v>31</v>
      </c>
    </row>
    <row r="165" spans="1:9" x14ac:dyDescent="0.25">
      <c r="A165" t="s">
        <v>1587</v>
      </c>
      <c r="B165" t="s">
        <v>1582</v>
      </c>
      <c r="C165" t="s">
        <v>1375</v>
      </c>
      <c r="D165" s="3">
        <v>1</v>
      </c>
      <c r="E165" t="s">
        <v>30</v>
      </c>
      <c r="F165" t="s">
        <v>31</v>
      </c>
      <c r="G165">
        <v>1</v>
      </c>
      <c r="H165">
        <v>10</v>
      </c>
      <c r="I165" t="s">
        <v>31</v>
      </c>
    </row>
    <row r="166" spans="1:9" x14ac:dyDescent="0.25">
      <c r="A166" t="s">
        <v>1588</v>
      </c>
      <c r="B166" t="s">
        <v>1582</v>
      </c>
      <c r="C166" t="s">
        <v>1377</v>
      </c>
      <c r="D166" s="3">
        <v>10</v>
      </c>
      <c r="E166" t="s">
        <v>30</v>
      </c>
      <c r="F166" t="s">
        <v>31</v>
      </c>
      <c r="G166">
        <v>1</v>
      </c>
      <c r="H166">
        <v>10</v>
      </c>
      <c r="I166" t="s">
        <v>31</v>
      </c>
    </row>
    <row r="167" spans="1:9" x14ac:dyDescent="0.25">
      <c r="A167" t="s">
        <v>1589</v>
      </c>
      <c r="B167" t="s">
        <v>1582</v>
      </c>
      <c r="C167" t="s">
        <v>1379</v>
      </c>
      <c r="D167" s="3">
        <v>1</v>
      </c>
      <c r="E167" t="s">
        <v>30</v>
      </c>
      <c r="F167" t="s">
        <v>31</v>
      </c>
      <c r="G167">
        <v>0.0001</v>
      </c>
      <c r="H167">
        <v>100</v>
      </c>
      <c r="I167" t="s">
        <v>31</v>
      </c>
    </row>
    <row r="168" spans="1:9" x14ac:dyDescent="0.25">
      <c r="A168" t="s">
        <v>1590</v>
      </c>
      <c r="B168" t="s">
        <v>1582</v>
      </c>
      <c r="C168" t="s">
        <v>1381</v>
      </c>
      <c r="D168" s="3">
        <v>1</v>
      </c>
      <c r="E168" t="s">
        <v>30</v>
      </c>
      <c r="F168" t="s">
        <v>31</v>
      </c>
      <c r="G168">
        <v>0.0001</v>
      </c>
      <c r="H168">
        <v>100</v>
      </c>
      <c r="I168" t="s">
        <v>31</v>
      </c>
    </row>
    <row r="169" spans="1:9" x14ac:dyDescent="0.25">
      <c r="A169" t="s">
        <v>1591</v>
      </c>
      <c r="B169" t="s">
        <v>1582</v>
      </c>
      <c r="C169" t="s">
        <v>1383</v>
      </c>
      <c r="D169" s="3">
        <v>0</v>
      </c>
      <c r="E169" t="s">
        <v>30</v>
      </c>
      <c r="F169" t="s">
        <v>31</v>
      </c>
      <c r="G169">
        <v>0</v>
      </c>
      <c r="H169">
        <v>10</v>
      </c>
      <c r="I169" t="s">
        <v>31</v>
      </c>
    </row>
    <row r="170" spans="1:9" x14ac:dyDescent="0.25">
      <c r="A170" t="s">
        <v>1592</v>
      </c>
      <c r="B170" t="s">
        <v>1582</v>
      </c>
      <c r="C170" t="s">
        <v>1385</v>
      </c>
      <c r="D170" s="3">
        <v>0</v>
      </c>
      <c r="E170" t="s">
        <v>30</v>
      </c>
      <c r="F170" t="s">
        <v>31</v>
      </c>
      <c r="G170">
        <v>0</v>
      </c>
      <c r="H170">
        <v>10</v>
      </c>
      <c r="I170" t="s">
        <v>31</v>
      </c>
    </row>
    <row r="171" spans="1:9" x14ac:dyDescent="0.25">
      <c r="A171" t="s">
        <v>1593</v>
      </c>
      <c r="B171" t="s">
        <v>1582</v>
      </c>
      <c r="C171" t="s">
        <v>1387</v>
      </c>
      <c r="D171" s="3" t="s">
        <v>697</v>
      </c>
      <c r="E171" t="s">
        <v>81</v>
      </c>
      <c r="F171" t="s">
        <v>31</v>
      </c>
      <c r="G171" t="s">
        <v>31</v>
      </c>
      <c r="H171" t="s">
        <v>31</v>
      </c>
      <c r="I171" t="s">
        <v>31</v>
      </c>
    </row>
    <row r="172" spans="1:9" x14ac:dyDescent="0.25">
      <c r="A172" t="s">
        <v>1594</v>
      </c>
      <c r="B172" t="s">
        <v>1595</v>
      </c>
      <c r="C172" t="s">
        <v>226</v>
      </c>
      <c r="D172" s="2" t="s">
        <v>1595</v>
      </c>
      <c r="E172" t="s">
        <v>81</v>
      </c>
      <c r="F172" t="s">
        <v>31</v>
      </c>
      <c r="G172" t="s">
        <v>31</v>
      </c>
      <c r="H172" t="s">
        <v>31</v>
      </c>
      <c r="I172" t="s">
        <v>32</v>
      </c>
    </row>
    <row r="173" spans="1:9" x14ac:dyDescent="0.25">
      <c r="A173" t="s">
        <v>1596</v>
      </c>
      <c r="B173" t="s">
        <v>1595</v>
      </c>
      <c r="C173" t="s">
        <v>228</v>
      </c>
      <c r="D173" s="3" t="s">
        <v>1597</v>
      </c>
      <c r="E173" t="s">
        <v>81</v>
      </c>
      <c r="F173" t="s">
        <v>31</v>
      </c>
      <c r="G173" t="s">
        <v>31</v>
      </c>
      <c r="H173" t="s">
        <v>31</v>
      </c>
      <c r="I173" t="s">
        <v>31</v>
      </c>
    </row>
    <row r="174" spans="1:9" x14ac:dyDescent="0.25">
      <c r="A174" t="s">
        <v>1598</v>
      </c>
      <c r="B174" t="s">
        <v>1595</v>
      </c>
      <c r="C174" t="s">
        <v>1372</v>
      </c>
      <c r="D174" s="3" t="s">
        <v>1495</v>
      </c>
      <c r="E174" t="s">
        <v>81</v>
      </c>
      <c r="F174" t="s">
        <v>31</v>
      </c>
      <c r="G174" t="s">
        <v>31</v>
      </c>
      <c r="H174" t="s">
        <v>31</v>
      </c>
      <c r="I174" t="s">
        <v>31</v>
      </c>
    </row>
    <row r="175" spans="1:9" x14ac:dyDescent="0.25">
      <c r="A175" t="s">
        <v>1599</v>
      </c>
      <c r="B175" t="s">
        <v>1595</v>
      </c>
      <c r="C175" t="s">
        <v>1375</v>
      </c>
      <c r="D175" s="3">
        <v>1</v>
      </c>
      <c r="E175" t="s">
        <v>30</v>
      </c>
      <c r="F175" t="s">
        <v>31</v>
      </c>
      <c r="G175">
        <v>1</v>
      </c>
      <c r="H175">
        <v>10</v>
      </c>
      <c r="I175" t="s">
        <v>31</v>
      </c>
    </row>
    <row r="176" spans="1:9" x14ac:dyDescent="0.25">
      <c r="A176" t="s">
        <v>1600</v>
      </c>
      <c r="B176" t="s">
        <v>1595</v>
      </c>
      <c r="C176" t="s">
        <v>1377</v>
      </c>
      <c r="D176" s="3">
        <v>10</v>
      </c>
      <c r="E176" t="s">
        <v>30</v>
      </c>
      <c r="F176" t="s">
        <v>31</v>
      </c>
      <c r="G176">
        <v>1</v>
      </c>
      <c r="H176">
        <v>10</v>
      </c>
      <c r="I176" t="s">
        <v>31</v>
      </c>
    </row>
    <row r="177" spans="1:9" x14ac:dyDescent="0.25">
      <c r="A177" t="s">
        <v>1601</v>
      </c>
      <c r="B177" t="s">
        <v>1595</v>
      </c>
      <c r="C177" t="s">
        <v>1379</v>
      </c>
      <c r="D177" s="3">
        <v>1</v>
      </c>
      <c r="E177" t="s">
        <v>30</v>
      </c>
      <c r="F177" t="s">
        <v>31</v>
      </c>
      <c r="G177">
        <v>0.0001</v>
      </c>
      <c r="H177">
        <v>100</v>
      </c>
      <c r="I177" t="s">
        <v>31</v>
      </c>
    </row>
    <row r="178" spans="1:9" x14ac:dyDescent="0.25">
      <c r="A178" t="s">
        <v>1602</v>
      </c>
      <c r="B178" t="s">
        <v>1595</v>
      </c>
      <c r="C178" t="s">
        <v>1381</v>
      </c>
      <c r="D178" s="3">
        <v>1</v>
      </c>
      <c r="E178" t="s">
        <v>30</v>
      </c>
      <c r="F178" t="s">
        <v>31</v>
      </c>
      <c r="G178">
        <v>0.0001</v>
      </c>
      <c r="H178">
        <v>100</v>
      </c>
      <c r="I178" t="s">
        <v>31</v>
      </c>
    </row>
    <row r="179" spans="1:9" x14ac:dyDescent="0.25">
      <c r="A179" t="s">
        <v>1603</v>
      </c>
      <c r="B179" t="s">
        <v>1595</v>
      </c>
      <c r="C179" t="s">
        <v>1383</v>
      </c>
      <c r="D179" s="3">
        <v>0</v>
      </c>
      <c r="E179" t="s">
        <v>30</v>
      </c>
      <c r="F179" t="s">
        <v>31</v>
      </c>
      <c r="G179">
        <v>0</v>
      </c>
      <c r="H179">
        <v>10</v>
      </c>
      <c r="I179" t="s">
        <v>31</v>
      </c>
    </row>
    <row r="180" spans="1:9" x14ac:dyDescent="0.25">
      <c r="A180" t="s">
        <v>1604</v>
      </c>
      <c r="B180" t="s">
        <v>1595</v>
      </c>
      <c r="C180" t="s">
        <v>1385</v>
      </c>
      <c r="D180" s="3">
        <v>0</v>
      </c>
      <c r="E180" t="s">
        <v>30</v>
      </c>
      <c r="F180" t="s">
        <v>31</v>
      </c>
      <c r="G180">
        <v>0</v>
      </c>
      <c r="H180">
        <v>10</v>
      </c>
      <c r="I180" t="s">
        <v>31</v>
      </c>
    </row>
    <row r="181" spans="1:9" x14ac:dyDescent="0.25">
      <c r="A181" t="s">
        <v>1605</v>
      </c>
      <c r="B181" t="s">
        <v>1595</v>
      </c>
      <c r="C181" t="s">
        <v>1387</v>
      </c>
      <c r="D181" s="3" t="s">
        <v>866</v>
      </c>
      <c r="E181" t="s">
        <v>81</v>
      </c>
      <c r="F181" t="s">
        <v>31</v>
      </c>
      <c r="G181" t="s">
        <v>31</v>
      </c>
      <c r="H181" t="s">
        <v>31</v>
      </c>
      <c r="I181" t="s">
        <v>31</v>
      </c>
    </row>
    <row r="182" spans="1:9" x14ac:dyDescent="0.25">
      <c r="A182" t="s">
        <v>1606</v>
      </c>
      <c r="B182" t="s">
        <v>1607</v>
      </c>
      <c r="C182" t="s">
        <v>226</v>
      </c>
      <c r="D182" s="2" t="s">
        <v>1607</v>
      </c>
      <c r="E182" t="s">
        <v>81</v>
      </c>
      <c r="F182" t="s">
        <v>31</v>
      </c>
      <c r="G182" t="s">
        <v>31</v>
      </c>
      <c r="H182" t="s">
        <v>31</v>
      </c>
      <c r="I182" t="s">
        <v>32</v>
      </c>
    </row>
    <row r="183" spans="1:9" x14ac:dyDescent="0.25">
      <c r="A183" t="s">
        <v>1608</v>
      </c>
      <c r="B183" t="s">
        <v>1607</v>
      </c>
      <c r="C183" t="s">
        <v>228</v>
      </c>
      <c r="D183" s="3" t="s">
        <v>1609</v>
      </c>
      <c r="E183" t="s">
        <v>81</v>
      </c>
      <c r="F183" t="s">
        <v>31</v>
      </c>
      <c r="G183" t="s">
        <v>31</v>
      </c>
      <c r="H183" t="s">
        <v>31</v>
      </c>
      <c r="I183" t="s">
        <v>31</v>
      </c>
    </row>
    <row r="184" spans="1:9" x14ac:dyDescent="0.25">
      <c r="A184" t="s">
        <v>1610</v>
      </c>
      <c r="B184" t="s">
        <v>1607</v>
      </c>
      <c r="C184" t="s">
        <v>1372</v>
      </c>
      <c r="D184" s="3" t="s">
        <v>1419</v>
      </c>
      <c r="E184" t="s">
        <v>81</v>
      </c>
      <c r="F184" t="s">
        <v>31</v>
      </c>
      <c r="G184" t="s">
        <v>31</v>
      </c>
      <c r="H184" t="s">
        <v>31</v>
      </c>
      <c r="I184" t="s">
        <v>31</v>
      </c>
    </row>
    <row r="185" spans="1:9" x14ac:dyDescent="0.25">
      <c r="A185" t="s">
        <v>1611</v>
      </c>
      <c r="B185" t="s">
        <v>1607</v>
      </c>
      <c r="C185" t="s">
        <v>1375</v>
      </c>
      <c r="D185" s="3">
        <v>1</v>
      </c>
      <c r="E185" t="s">
        <v>30</v>
      </c>
      <c r="F185" t="s">
        <v>31</v>
      </c>
      <c r="G185">
        <v>1</v>
      </c>
      <c r="H185">
        <v>10</v>
      </c>
      <c r="I185" t="s">
        <v>31</v>
      </c>
    </row>
    <row r="186" spans="1:9" x14ac:dyDescent="0.25">
      <c r="A186" t="s">
        <v>1612</v>
      </c>
      <c r="B186" t="s">
        <v>1607</v>
      </c>
      <c r="C186" t="s">
        <v>1377</v>
      </c>
      <c r="D186" s="3">
        <v>1</v>
      </c>
      <c r="E186" t="s">
        <v>30</v>
      </c>
      <c r="F186" t="s">
        <v>31</v>
      </c>
      <c r="G186">
        <v>1</v>
      </c>
      <c r="H186">
        <v>10</v>
      </c>
      <c r="I186" t="s">
        <v>31</v>
      </c>
    </row>
    <row r="187" spans="1:9" x14ac:dyDescent="0.25">
      <c r="A187" t="s">
        <v>1613</v>
      </c>
      <c r="B187" t="s">
        <v>1607</v>
      </c>
      <c r="C187" t="s">
        <v>1379</v>
      </c>
      <c r="D187" s="3">
        <v>1</v>
      </c>
      <c r="E187" t="s">
        <v>30</v>
      </c>
      <c r="F187" t="s">
        <v>31</v>
      </c>
      <c r="G187">
        <v>0.0001</v>
      </c>
      <c r="H187">
        <v>100</v>
      </c>
      <c r="I187" t="s">
        <v>31</v>
      </c>
    </row>
    <row r="188" spans="1:9" x14ac:dyDescent="0.25">
      <c r="A188" t="s">
        <v>1614</v>
      </c>
      <c r="B188" t="s">
        <v>1607</v>
      </c>
      <c r="C188" t="s">
        <v>1381</v>
      </c>
      <c r="D188" s="3">
        <v>1</v>
      </c>
      <c r="E188" t="s">
        <v>30</v>
      </c>
      <c r="F188" t="s">
        <v>31</v>
      </c>
      <c r="G188">
        <v>0.0001</v>
      </c>
      <c r="H188">
        <v>100</v>
      </c>
      <c r="I188" t="s">
        <v>31</v>
      </c>
    </row>
    <row r="189" spans="1:9" x14ac:dyDescent="0.25">
      <c r="A189" t="s">
        <v>1615</v>
      </c>
      <c r="B189" t="s">
        <v>1607</v>
      </c>
      <c r="C189" t="s">
        <v>1383</v>
      </c>
      <c r="D189" s="3">
        <v>0</v>
      </c>
      <c r="E189" t="s">
        <v>30</v>
      </c>
      <c r="F189" t="s">
        <v>31</v>
      </c>
      <c r="G189">
        <v>0</v>
      </c>
      <c r="H189">
        <v>10</v>
      </c>
      <c r="I189" t="s">
        <v>31</v>
      </c>
    </row>
    <row r="190" spans="1:9" x14ac:dyDescent="0.25">
      <c r="A190" t="s">
        <v>1616</v>
      </c>
      <c r="B190" t="s">
        <v>1607</v>
      </c>
      <c r="C190" t="s">
        <v>1385</v>
      </c>
      <c r="D190" s="3">
        <v>0</v>
      </c>
      <c r="E190" t="s">
        <v>30</v>
      </c>
      <c r="F190" t="s">
        <v>31</v>
      </c>
      <c r="G190">
        <v>0</v>
      </c>
      <c r="H190">
        <v>10</v>
      </c>
      <c r="I190" t="s">
        <v>31</v>
      </c>
    </row>
    <row r="191" spans="1:9" x14ac:dyDescent="0.25">
      <c r="A191" t="s">
        <v>1617</v>
      </c>
      <c r="B191" t="s">
        <v>1607</v>
      </c>
      <c r="C191" t="s">
        <v>1387</v>
      </c>
      <c r="D191" s="3" t="s">
        <v>697</v>
      </c>
      <c r="E191" t="s">
        <v>81</v>
      </c>
      <c r="F191" t="s">
        <v>31</v>
      </c>
      <c r="G191" t="s">
        <v>31</v>
      </c>
      <c r="H191" t="s">
        <v>31</v>
      </c>
      <c r="I191" t="s">
        <v>31</v>
      </c>
    </row>
    <row r="192" spans="1:9" x14ac:dyDescent="0.25">
      <c r="A192" t="s">
        <v>1618</v>
      </c>
      <c r="B192" t="s">
        <v>1619</v>
      </c>
      <c r="C192" t="s">
        <v>226</v>
      </c>
      <c r="D192" s="2" t="s">
        <v>1619</v>
      </c>
      <c r="E192" t="s">
        <v>81</v>
      </c>
      <c r="F192" t="s">
        <v>31</v>
      </c>
      <c r="G192" t="s">
        <v>31</v>
      </c>
      <c r="H192" t="s">
        <v>31</v>
      </c>
      <c r="I192" t="s">
        <v>32</v>
      </c>
    </row>
    <row r="193" spans="1:9" x14ac:dyDescent="0.25">
      <c r="A193" t="s">
        <v>1620</v>
      </c>
      <c r="B193" t="s">
        <v>1619</v>
      </c>
      <c r="C193" t="s">
        <v>228</v>
      </c>
      <c r="D193" s="3" t="s">
        <v>1621</v>
      </c>
      <c r="E193" t="s">
        <v>81</v>
      </c>
      <c r="F193" t="s">
        <v>31</v>
      </c>
      <c r="G193" t="s">
        <v>31</v>
      </c>
      <c r="H193" t="s">
        <v>31</v>
      </c>
      <c r="I193" t="s">
        <v>31</v>
      </c>
    </row>
    <row r="194" spans="1:9" x14ac:dyDescent="0.25">
      <c r="A194" t="s">
        <v>1622</v>
      </c>
      <c r="B194" t="s">
        <v>1619</v>
      </c>
      <c r="C194" t="s">
        <v>1372</v>
      </c>
      <c r="D194" s="3" t="s">
        <v>1508</v>
      </c>
      <c r="E194" t="s">
        <v>81</v>
      </c>
      <c r="F194" t="s">
        <v>31</v>
      </c>
      <c r="G194" t="s">
        <v>31</v>
      </c>
      <c r="H194" t="s">
        <v>31</v>
      </c>
      <c r="I194" t="s">
        <v>31</v>
      </c>
    </row>
    <row r="195" spans="1:9" x14ac:dyDescent="0.25">
      <c r="A195" t="s">
        <v>1623</v>
      </c>
      <c r="B195" t="s">
        <v>1619</v>
      </c>
      <c r="C195" t="s">
        <v>1375</v>
      </c>
      <c r="D195" s="3">
        <v>2</v>
      </c>
      <c r="E195" t="s">
        <v>30</v>
      </c>
      <c r="F195" t="s">
        <v>31</v>
      </c>
      <c r="G195">
        <v>1</v>
      </c>
      <c r="H195">
        <v>10</v>
      </c>
      <c r="I195" t="s">
        <v>31</v>
      </c>
    </row>
    <row r="196" spans="1:9" x14ac:dyDescent="0.25">
      <c r="A196" t="s">
        <v>1624</v>
      </c>
      <c r="B196" t="s">
        <v>1619</v>
      </c>
      <c r="C196" t="s">
        <v>1377</v>
      </c>
      <c r="D196" s="3">
        <v>2</v>
      </c>
      <c r="E196" t="s">
        <v>30</v>
      </c>
      <c r="F196" t="s">
        <v>31</v>
      </c>
      <c r="G196">
        <v>1</v>
      </c>
      <c r="H196">
        <v>10</v>
      </c>
      <c r="I196" t="s">
        <v>31</v>
      </c>
    </row>
    <row r="197" spans="1:9" x14ac:dyDescent="0.25">
      <c r="A197" t="s">
        <v>1625</v>
      </c>
      <c r="B197" t="s">
        <v>1619</v>
      </c>
      <c r="C197" t="s">
        <v>1379</v>
      </c>
      <c r="D197" s="3">
        <v>1</v>
      </c>
      <c r="E197" t="s">
        <v>30</v>
      </c>
      <c r="F197" t="s">
        <v>31</v>
      </c>
      <c r="G197">
        <v>0.0001</v>
      </c>
      <c r="H197">
        <v>100</v>
      </c>
      <c r="I197" t="s">
        <v>31</v>
      </c>
    </row>
    <row r="198" spans="1:9" x14ac:dyDescent="0.25">
      <c r="A198" t="s">
        <v>1626</v>
      </c>
      <c r="B198" t="s">
        <v>1619</v>
      </c>
      <c r="C198" t="s">
        <v>1381</v>
      </c>
      <c r="D198" s="3">
        <v>1</v>
      </c>
      <c r="E198" t="s">
        <v>30</v>
      </c>
      <c r="F198" t="s">
        <v>31</v>
      </c>
      <c r="G198">
        <v>0.0001</v>
      </c>
      <c r="H198">
        <v>100</v>
      </c>
      <c r="I198" t="s">
        <v>31</v>
      </c>
    </row>
    <row r="199" spans="1:9" x14ac:dyDescent="0.25">
      <c r="A199" t="s">
        <v>1627</v>
      </c>
      <c r="B199" t="s">
        <v>1619</v>
      </c>
      <c r="C199" t="s">
        <v>1383</v>
      </c>
      <c r="D199" s="3">
        <v>0</v>
      </c>
      <c r="E199" t="s">
        <v>30</v>
      </c>
      <c r="F199" t="s">
        <v>31</v>
      </c>
      <c r="G199">
        <v>0</v>
      </c>
      <c r="H199">
        <v>10</v>
      </c>
      <c r="I199" t="s">
        <v>31</v>
      </c>
    </row>
    <row r="200" spans="1:9" x14ac:dyDescent="0.25">
      <c r="A200" t="s">
        <v>1628</v>
      </c>
      <c r="B200" t="s">
        <v>1619</v>
      </c>
      <c r="C200" t="s">
        <v>1385</v>
      </c>
      <c r="D200" s="3">
        <v>0</v>
      </c>
      <c r="E200" t="s">
        <v>30</v>
      </c>
      <c r="F200" t="s">
        <v>31</v>
      </c>
      <c r="G200">
        <v>0</v>
      </c>
      <c r="H200">
        <v>10</v>
      </c>
      <c r="I200" t="s">
        <v>31</v>
      </c>
    </row>
    <row r="201" spans="1:9" x14ac:dyDescent="0.25">
      <c r="A201" t="s">
        <v>1629</v>
      </c>
      <c r="B201" t="s">
        <v>1619</v>
      </c>
      <c r="C201" t="s">
        <v>1387</v>
      </c>
      <c r="D201" s="3" t="s">
        <v>753</v>
      </c>
      <c r="E201" t="s">
        <v>81</v>
      </c>
      <c r="F201" t="s">
        <v>31</v>
      </c>
      <c r="G201" t="s">
        <v>31</v>
      </c>
      <c r="H201" t="s">
        <v>31</v>
      </c>
      <c r="I201" t="s">
        <v>31</v>
      </c>
    </row>
    <row r="202" spans="1:9" x14ac:dyDescent="0.25">
      <c r="A202" t="s">
        <v>1630</v>
      </c>
      <c r="B202" t="s">
        <v>1631</v>
      </c>
      <c r="C202" t="s">
        <v>226</v>
      </c>
      <c r="D202" s="2" t="s">
        <v>1631</v>
      </c>
      <c r="E202" t="s">
        <v>81</v>
      </c>
      <c r="F202" t="s">
        <v>31</v>
      </c>
      <c r="G202" t="s">
        <v>31</v>
      </c>
      <c r="H202" t="s">
        <v>31</v>
      </c>
      <c r="I202" t="s">
        <v>32</v>
      </c>
    </row>
    <row r="203" spans="1:9" x14ac:dyDescent="0.25">
      <c r="A203" t="s">
        <v>1632</v>
      </c>
      <c r="B203" t="s">
        <v>1631</v>
      </c>
      <c r="C203" t="s">
        <v>228</v>
      </c>
      <c r="D203" s="3" t="s">
        <v>1633</v>
      </c>
      <c r="E203" t="s">
        <v>81</v>
      </c>
      <c r="F203" t="s">
        <v>31</v>
      </c>
      <c r="G203" t="s">
        <v>31</v>
      </c>
      <c r="H203" t="s">
        <v>31</v>
      </c>
      <c r="I203" t="s">
        <v>31</v>
      </c>
    </row>
    <row r="204" spans="1:9" x14ac:dyDescent="0.25">
      <c r="A204" t="s">
        <v>1634</v>
      </c>
      <c r="B204" t="s">
        <v>1631</v>
      </c>
      <c r="C204" t="s">
        <v>1372</v>
      </c>
      <c r="D204" s="3" t="s">
        <v>1432</v>
      </c>
      <c r="E204" t="s">
        <v>81</v>
      </c>
      <c r="F204" t="s">
        <v>31</v>
      </c>
      <c r="G204" t="s">
        <v>31</v>
      </c>
      <c r="H204" t="s">
        <v>31</v>
      </c>
      <c r="I204" t="s">
        <v>31</v>
      </c>
    </row>
    <row r="205" spans="1:9" x14ac:dyDescent="0.25">
      <c r="A205" t="s">
        <v>1635</v>
      </c>
      <c r="B205" t="s">
        <v>1631</v>
      </c>
      <c r="C205" t="s">
        <v>1375</v>
      </c>
      <c r="D205" s="3">
        <v>3</v>
      </c>
      <c r="E205" t="s">
        <v>30</v>
      </c>
      <c r="F205" t="s">
        <v>31</v>
      </c>
      <c r="G205">
        <v>1</v>
      </c>
      <c r="H205">
        <v>10</v>
      </c>
      <c r="I205" t="s">
        <v>31</v>
      </c>
    </row>
    <row r="206" spans="1:9" x14ac:dyDescent="0.25">
      <c r="A206" t="s">
        <v>1636</v>
      </c>
      <c r="B206" t="s">
        <v>1631</v>
      </c>
      <c r="C206" t="s">
        <v>1377</v>
      </c>
      <c r="D206" s="3">
        <v>3</v>
      </c>
      <c r="E206" t="s">
        <v>30</v>
      </c>
      <c r="F206" t="s">
        <v>31</v>
      </c>
      <c r="G206">
        <v>1</v>
      </c>
      <c r="H206">
        <v>10</v>
      </c>
      <c r="I206" t="s">
        <v>31</v>
      </c>
    </row>
    <row r="207" spans="1:9" x14ac:dyDescent="0.25">
      <c r="A207" t="s">
        <v>1637</v>
      </c>
      <c r="B207" t="s">
        <v>1631</v>
      </c>
      <c r="C207" t="s">
        <v>1379</v>
      </c>
      <c r="D207" s="3">
        <v>1</v>
      </c>
      <c r="E207" t="s">
        <v>30</v>
      </c>
      <c r="F207" t="s">
        <v>31</v>
      </c>
      <c r="G207">
        <v>0.0001</v>
      </c>
      <c r="H207">
        <v>100</v>
      </c>
      <c r="I207" t="s">
        <v>31</v>
      </c>
    </row>
    <row r="208" spans="1:9" x14ac:dyDescent="0.25">
      <c r="A208" t="s">
        <v>1638</v>
      </c>
      <c r="B208" t="s">
        <v>1631</v>
      </c>
      <c r="C208" t="s">
        <v>1381</v>
      </c>
      <c r="D208" s="3">
        <v>1</v>
      </c>
      <c r="E208" t="s">
        <v>30</v>
      </c>
      <c r="F208" t="s">
        <v>31</v>
      </c>
      <c r="G208">
        <v>0.0001</v>
      </c>
      <c r="H208">
        <v>100</v>
      </c>
      <c r="I208" t="s">
        <v>31</v>
      </c>
    </row>
    <row r="209" spans="1:9" x14ac:dyDescent="0.25">
      <c r="A209" t="s">
        <v>1639</v>
      </c>
      <c r="B209" t="s">
        <v>1631</v>
      </c>
      <c r="C209" t="s">
        <v>1383</v>
      </c>
      <c r="D209" s="3">
        <v>0</v>
      </c>
      <c r="E209" t="s">
        <v>30</v>
      </c>
      <c r="F209" t="s">
        <v>31</v>
      </c>
      <c r="G209">
        <v>0</v>
      </c>
      <c r="H209">
        <v>10</v>
      </c>
      <c r="I209" t="s">
        <v>31</v>
      </c>
    </row>
    <row r="210" spans="1:9" x14ac:dyDescent="0.25">
      <c r="A210" t="s">
        <v>1640</v>
      </c>
      <c r="B210" t="s">
        <v>1631</v>
      </c>
      <c r="C210" t="s">
        <v>1385</v>
      </c>
      <c r="D210" s="3">
        <v>0</v>
      </c>
      <c r="E210" t="s">
        <v>30</v>
      </c>
      <c r="F210" t="s">
        <v>31</v>
      </c>
      <c r="G210">
        <v>0</v>
      </c>
      <c r="H210">
        <v>10</v>
      </c>
      <c r="I210" t="s">
        <v>31</v>
      </c>
    </row>
    <row r="211" spans="1:9" x14ac:dyDescent="0.25">
      <c r="A211" t="s">
        <v>1641</v>
      </c>
      <c r="B211" t="s">
        <v>1631</v>
      </c>
      <c r="C211" t="s">
        <v>1387</v>
      </c>
      <c r="D211" s="3" t="s">
        <v>697</v>
      </c>
      <c r="E211" t="s">
        <v>81</v>
      </c>
      <c r="F211" t="s">
        <v>31</v>
      </c>
      <c r="G211" t="s">
        <v>31</v>
      </c>
      <c r="H211" t="s">
        <v>31</v>
      </c>
      <c r="I211" t="s">
        <v>31</v>
      </c>
    </row>
    <row r="212" spans="1:9" x14ac:dyDescent="0.25">
      <c r="A212" t="s">
        <v>1642</v>
      </c>
      <c r="B212" t="s">
        <v>1643</v>
      </c>
      <c r="C212" t="s">
        <v>226</v>
      </c>
      <c r="D212" s="2" t="s">
        <v>1643</v>
      </c>
      <c r="E212" t="s">
        <v>81</v>
      </c>
      <c r="F212" t="s">
        <v>31</v>
      </c>
      <c r="G212" t="s">
        <v>31</v>
      </c>
      <c r="H212" t="s">
        <v>31</v>
      </c>
      <c r="I212" t="s">
        <v>32</v>
      </c>
    </row>
    <row r="213" spans="1:9" x14ac:dyDescent="0.25">
      <c r="A213" t="s">
        <v>1644</v>
      </c>
      <c r="B213" t="s">
        <v>1643</v>
      </c>
      <c r="C213" t="s">
        <v>228</v>
      </c>
      <c r="D213" s="3" t="s">
        <v>1645</v>
      </c>
      <c r="E213" t="s">
        <v>81</v>
      </c>
      <c r="F213" t="s">
        <v>31</v>
      </c>
      <c r="G213" t="s">
        <v>31</v>
      </c>
      <c r="H213" t="s">
        <v>31</v>
      </c>
      <c r="I213" t="s">
        <v>31</v>
      </c>
    </row>
    <row r="214" spans="1:9" x14ac:dyDescent="0.25">
      <c r="A214" t="s">
        <v>1646</v>
      </c>
      <c r="B214" t="s">
        <v>1643</v>
      </c>
      <c r="C214" t="s">
        <v>1372</v>
      </c>
      <c r="D214" s="3" t="s">
        <v>1521</v>
      </c>
      <c r="E214" t="s">
        <v>81</v>
      </c>
      <c r="F214" t="s">
        <v>31</v>
      </c>
      <c r="G214" t="s">
        <v>31</v>
      </c>
      <c r="H214" t="s">
        <v>31</v>
      </c>
      <c r="I214" t="s">
        <v>31</v>
      </c>
    </row>
    <row r="215" spans="1:9" x14ac:dyDescent="0.25">
      <c r="A215" t="s">
        <v>1647</v>
      </c>
      <c r="B215" t="s">
        <v>1643</v>
      </c>
      <c r="C215" t="s">
        <v>1375</v>
      </c>
      <c r="D215" s="3">
        <v>4</v>
      </c>
      <c r="E215" t="s">
        <v>30</v>
      </c>
      <c r="F215" t="s">
        <v>31</v>
      </c>
      <c r="G215">
        <v>1</v>
      </c>
      <c r="H215">
        <v>10</v>
      </c>
      <c r="I215" t="s">
        <v>31</v>
      </c>
    </row>
    <row r="216" spans="1:9" x14ac:dyDescent="0.25">
      <c r="A216" t="s">
        <v>1648</v>
      </c>
      <c r="B216" t="s">
        <v>1643</v>
      </c>
      <c r="C216" t="s">
        <v>1377</v>
      </c>
      <c r="D216" s="3">
        <v>4</v>
      </c>
      <c r="E216" t="s">
        <v>30</v>
      </c>
      <c r="F216" t="s">
        <v>31</v>
      </c>
      <c r="G216">
        <v>1</v>
      </c>
      <c r="H216">
        <v>10</v>
      </c>
      <c r="I216" t="s">
        <v>31</v>
      </c>
    </row>
    <row r="217" spans="1:9" x14ac:dyDescent="0.25">
      <c r="A217" t="s">
        <v>1649</v>
      </c>
      <c r="B217" t="s">
        <v>1643</v>
      </c>
      <c r="C217" t="s">
        <v>1379</v>
      </c>
      <c r="D217" s="3">
        <v>1</v>
      </c>
      <c r="E217" t="s">
        <v>30</v>
      </c>
      <c r="F217" t="s">
        <v>31</v>
      </c>
      <c r="G217">
        <v>0.0001</v>
      </c>
      <c r="H217">
        <v>100</v>
      </c>
      <c r="I217" t="s">
        <v>31</v>
      </c>
    </row>
    <row r="218" spans="1:9" x14ac:dyDescent="0.25">
      <c r="A218" t="s">
        <v>1650</v>
      </c>
      <c r="B218" t="s">
        <v>1643</v>
      </c>
      <c r="C218" t="s">
        <v>1381</v>
      </c>
      <c r="D218" s="3">
        <v>1</v>
      </c>
      <c r="E218" t="s">
        <v>30</v>
      </c>
      <c r="F218" t="s">
        <v>31</v>
      </c>
      <c r="G218">
        <v>0.0001</v>
      </c>
      <c r="H218">
        <v>100</v>
      </c>
      <c r="I218" t="s">
        <v>31</v>
      </c>
    </row>
    <row r="219" spans="1:9" x14ac:dyDescent="0.25">
      <c r="A219" t="s">
        <v>1651</v>
      </c>
      <c r="B219" t="s">
        <v>1643</v>
      </c>
      <c r="C219" t="s">
        <v>1383</v>
      </c>
      <c r="D219" s="3">
        <v>0</v>
      </c>
      <c r="E219" t="s">
        <v>30</v>
      </c>
      <c r="F219" t="s">
        <v>31</v>
      </c>
      <c r="G219">
        <v>0</v>
      </c>
      <c r="H219">
        <v>10</v>
      </c>
      <c r="I219" t="s">
        <v>31</v>
      </c>
    </row>
    <row r="220" spans="1:9" x14ac:dyDescent="0.25">
      <c r="A220" t="s">
        <v>1652</v>
      </c>
      <c r="B220" t="s">
        <v>1643</v>
      </c>
      <c r="C220" t="s">
        <v>1385</v>
      </c>
      <c r="D220" s="3">
        <v>0</v>
      </c>
      <c r="E220" t="s">
        <v>30</v>
      </c>
      <c r="F220" t="s">
        <v>31</v>
      </c>
      <c r="G220">
        <v>0</v>
      </c>
      <c r="H220">
        <v>10</v>
      </c>
      <c r="I220" t="s">
        <v>31</v>
      </c>
    </row>
    <row r="221" spans="1:9" x14ac:dyDescent="0.25">
      <c r="A221" t="s">
        <v>1653</v>
      </c>
      <c r="B221" t="s">
        <v>1643</v>
      </c>
      <c r="C221" t="s">
        <v>1387</v>
      </c>
      <c r="D221" s="3" t="s">
        <v>697</v>
      </c>
      <c r="E221" t="s">
        <v>81</v>
      </c>
      <c r="F221" t="s">
        <v>31</v>
      </c>
      <c r="G221" t="s">
        <v>31</v>
      </c>
      <c r="H221" t="s">
        <v>31</v>
      </c>
      <c r="I221" t="s">
        <v>31</v>
      </c>
    </row>
    <row r="222" spans="1:9" x14ac:dyDescent="0.25">
      <c r="A222" t="s">
        <v>1654</v>
      </c>
      <c r="B222" t="s">
        <v>1655</v>
      </c>
      <c r="C222" t="s">
        <v>226</v>
      </c>
      <c r="D222" s="2" t="s">
        <v>1655</v>
      </c>
      <c r="E222" t="s">
        <v>81</v>
      </c>
      <c r="F222" t="s">
        <v>31</v>
      </c>
      <c r="G222" t="s">
        <v>31</v>
      </c>
      <c r="H222" t="s">
        <v>31</v>
      </c>
      <c r="I222" t="s">
        <v>32</v>
      </c>
    </row>
    <row r="223" spans="1:9" x14ac:dyDescent="0.25">
      <c r="A223" t="s">
        <v>1656</v>
      </c>
      <c r="B223" t="s">
        <v>1655</v>
      </c>
      <c r="C223" t="s">
        <v>228</v>
      </c>
      <c r="D223" s="3" t="s">
        <v>1657</v>
      </c>
      <c r="E223" t="s">
        <v>81</v>
      </c>
      <c r="F223" t="s">
        <v>31</v>
      </c>
      <c r="G223" t="s">
        <v>31</v>
      </c>
      <c r="H223" t="s">
        <v>31</v>
      </c>
      <c r="I223" t="s">
        <v>31</v>
      </c>
    </row>
    <row r="224" spans="1:9" x14ac:dyDescent="0.25">
      <c r="A224" t="s">
        <v>1658</v>
      </c>
      <c r="B224" t="s">
        <v>1655</v>
      </c>
      <c r="C224" t="s">
        <v>1372</v>
      </c>
      <c r="D224" s="3" t="s">
        <v>1534</v>
      </c>
      <c r="E224" t="s">
        <v>81</v>
      </c>
      <c r="F224" t="s">
        <v>31</v>
      </c>
      <c r="G224" t="s">
        <v>31</v>
      </c>
      <c r="H224" t="s">
        <v>31</v>
      </c>
      <c r="I224" t="s">
        <v>31</v>
      </c>
    </row>
    <row r="225" spans="1:9" x14ac:dyDescent="0.25">
      <c r="A225" t="s">
        <v>1659</v>
      </c>
      <c r="B225" t="s">
        <v>1655</v>
      </c>
      <c r="C225" t="s">
        <v>1375</v>
      </c>
      <c r="D225" s="3">
        <v>5</v>
      </c>
      <c r="E225" t="s">
        <v>30</v>
      </c>
      <c r="F225" t="s">
        <v>31</v>
      </c>
      <c r="G225">
        <v>1</v>
      </c>
      <c r="H225">
        <v>10</v>
      </c>
      <c r="I225" t="s">
        <v>31</v>
      </c>
    </row>
    <row r="226" spans="1:9" x14ac:dyDescent="0.25">
      <c r="A226" t="s">
        <v>1660</v>
      </c>
      <c r="B226" t="s">
        <v>1655</v>
      </c>
      <c r="C226" t="s">
        <v>1377</v>
      </c>
      <c r="D226" s="3">
        <v>5</v>
      </c>
      <c r="E226" t="s">
        <v>30</v>
      </c>
      <c r="F226" t="s">
        <v>31</v>
      </c>
      <c r="G226">
        <v>1</v>
      </c>
      <c r="H226">
        <v>10</v>
      </c>
      <c r="I226" t="s">
        <v>31</v>
      </c>
    </row>
    <row r="227" spans="1:9" x14ac:dyDescent="0.25">
      <c r="A227" t="s">
        <v>1661</v>
      </c>
      <c r="B227" t="s">
        <v>1655</v>
      </c>
      <c r="C227" t="s">
        <v>1379</v>
      </c>
      <c r="D227" s="3">
        <v>1</v>
      </c>
      <c r="E227" t="s">
        <v>30</v>
      </c>
      <c r="F227" t="s">
        <v>31</v>
      </c>
      <c r="G227">
        <v>0.0001</v>
      </c>
      <c r="H227">
        <v>100</v>
      </c>
      <c r="I227" t="s">
        <v>31</v>
      </c>
    </row>
    <row r="228" spans="1:9" x14ac:dyDescent="0.25">
      <c r="A228" t="s">
        <v>1662</v>
      </c>
      <c r="B228" t="s">
        <v>1655</v>
      </c>
      <c r="C228" t="s">
        <v>1381</v>
      </c>
      <c r="D228" s="3">
        <v>1</v>
      </c>
      <c r="E228" t="s">
        <v>30</v>
      </c>
      <c r="F228" t="s">
        <v>31</v>
      </c>
      <c r="G228">
        <v>0.0001</v>
      </c>
      <c r="H228">
        <v>100</v>
      </c>
      <c r="I228" t="s">
        <v>31</v>
      </c>
    </row>
    <row r="229" spans="1:9" x14ac:dyDescent="0.25">
      <c r="A229" t="s">
        <v>1663</v>
      </c>
      <c r="B229" t="s">
        <v>1655</v>
      </c>
      <c r="C229" t="s">
        <v>1383</v>
      </c>
      <c r="D229" s="3">
        <v>0</v>
      </c>
      <c r="E229" t="s">
        <v>30</v>
      </c>
      <c r="F229" t="s">
        <v>31</v>
      </c>
      <c r="G229">
        <v>0</v>
      </c>
      <c r="H229">
        <v>10</v>
      </c>
      <c r="I229" t="s">
        <v>31</v>
      </c>
    </row>
    <row r="230" spans="1:9" x14ac:dyDescent="0.25">
      <c r="A230" t="s">
        <v>1664</v>
      </c>
      <c r="B230" t="s">
        <v>1655</v>
      </c>
      <c r="C230" t="s">
        <v>1385</v>
      </c>
      <c r="D230" s="3">
        <v>0</v>
      </c>
      <c r="E230" t="s">
        <v>30</v>
      </c>
      <c r="F230" t="s">
        <v>31</v>
      </c>
      <c r="G230">
        <v>0</v>
      </c>
      <c r="H230">
        <v>10</v>
      </c>
      <c r="I230" t="s">
        <v>31</v>
      </c>
    </row>
    <row r="231" spans="1:9" x14ac:dyDescent="0.25">
      <c r="A231" t="s">
        <v>1665</v>
      </c>
      <c r="B231" t="s">
        <v>1655</v>
      </c>
      <c r="C231" t="s">
        <v>1387</v>
      </c>
      <c r="D231" s="3" t="s">
        <v>753</v>
      </c>
      <c r="E231" t="s">
        <v>81</v>
      </c>
      <c r="F231" t="s">
        <v>31</v>
      </c>
      <c r="G231" t="s">
        <v>31</v>
      </c>
      <c r="H231" t="s">
        <v>31</v>
      </c>
      <c r="I231" t="s">
        <v>31</v>
      </c>
    </row>
    <row r="232" spans="1:9" x14ac:dyDescent="0.25">
      <c r="A232" t="s">
        <v>1666</v>
      </c>
      <c r="B232" t="s">
        <v>1667</v>
      </c>
      <c r="C232" t="s">
        <v>226</v>
      </c>
      <c r="D232" s="2" t="s">
        <v>1667</v>
      </c>
      <c r="E232" t="s">
        <v>81</v>
      </c>
      <c r="F232" t="s">
        <v>31</v>
      </c>
      <c r="G232" t="s">
        <v>31</v>
      </c>
      <c r="H232" t="s">
        <v>31</v>
      </c>
      <c r="I232" t="s">
        <v>32</v>
      </c>
    </row>
    <row r="233" spans="1:9" x14ac:dyDescent="0.25">
      <c r="A233" t="s">
        <v>1668</v>
      </c>
      <c r="B233" t="s">
        <v>1667</v>
      </c>
      <c r="C233" t="s">
        <v>228</v>
      </c>
      <c r="D233" s="3" t="s">
        <v>1669</v>
      </c>
      <c r="E233" t="s">
        <v>81</v>
      </c>
      <c r="F233" t="s">
        <v>31</v>
      </c>
      <c r="G233" t="s">
        <v>31</v>
      </c>
      <c r="H233" t="s">
        <v>31</v>
      </c>
      <c r="I233" t="s">
        <v>31</v>
      </c>
    </row>
    <row r="234" spans="1:9" x14ac:dyDescent="0.25">
      <c r="A234" t="s">
        <v>1670</v>
      </c>
      <c r="B234" t="s">
        <v>1667</v>
      </c>
      <c r="C234" t="s">
        <v>1372</v>
      </c>
      <c r="D234" s="3" t="s">
        <v>1445</v>
      </c>
      <c r="E234" t="s">
        <v>81</v>
      </c>
      <c r="F234" t="s">
        <v>31</v>
      </c>
      <c r="G234" t="s">
        <v>31</v>
      </c>
      <c r="H234" t="s">
        <v>31</v>
      </c>
      <c r="I234" t="s">
        <v>31</v>
      </c>
    </row>
    <row r="235" spans="1:9" x14ac:dyDescent="0.25">
      <c r="A235" t="s">
        <v>1671</v>
      </c>
      <c r="B235" t="s">
        <v>1667</v>
      </c>
      <c r="C235" t="s">
        <v>1375</v>
      </c>
      <c r="D235" s="3">
        <v>6</v>
      </c>
      <c r="E235" t="s">
        <v>30</v>
      </c>
      <c r="F235" t="s">
        <v>31</v>
      </c>
      <c r="G235">
        <v>1</v>
      </c>
      <c r="H235">
        <v>10</v>
      </c>
      <c r="I235" t="s">
        <v>31</v>
      </c>
    </row>
    <row r="236" spans="1:9" x14ac:dyDescent="0.25">
      <c r="A236" t="s">
        <v>1672</v>
      </c>
      <c r="B236" t="s">
        <v>1667</v>
      </c>
      <c r="C236" t="s">
        <v>1377</v>
      </c>
      <c r="D236" s="3">
        <v>6</v>
      </c>
      <c r="E236" t="s">
        <v>30</v>
      </c>
      <c r="F236" t="s">
        <v>31</v>
      </c>
      <c r="G236">
        <v>1</v>
      </c>
      <c r="H236">
        <v>10</v>
      </c>
      <c r="I236" t="s">
        <v>31</v>
      </c>
    </row>
    <row r="237" spans="1:9" x14ac:dyDescent="0.25">
      <c r="A237" t="s">
        <v>1673</v>
      </c>
      <c r="B237" t="s">
        <v>1667</v>
      </c>
      <c r="C237" t="s">
        <v>1379</v>
      </c>
      <c r="D237" s="3">
        <v>1</v>
      </c>
      <c r="E237" t="s">
        <v>30</v>
      </c>
      <c r="F237" t="s">
        <v>31</v>
      </c>
      <c r="G237">
        <v>0.0001</v>
      </c>
      <c r="H237">
        <v>100</v>
      </c>
      <c r="I237" t="s">
        <v>31</v>
      </c>
    </row>
    <row r="238" spans="1:9" x14ac:dyDescent="0.25">
      <c r="A238" t="s">
        <v>1674</v>
      </c>
      <c r="B238" t="s">
        <v>1667</v>
      </c>
      <c r="C238" t="s">
        <v>1381</v>
      </c>
      <c r="D238" s="3">
        <v>1</v>
      </c>
      <c r="E238" t="s">
        <v>30</v>
      </c>
      <c r="F238" t="s">
        <v>31</v>
      </c>
      <c r="G238">
        <v>0.0001</v>
      </c>
      <c r="H238">
        <v>100</v>
      </c>
      <c r="I238" t="s">
        <v>31</v>
      </c>
    </row>
    <row r="239" spans="1:9" x14ac:dyDescent="0.25">
      <c r="A239" t="s">
        <v>1675</v>
      </c>
      <c r="B239" t="s">
        <v>1667</v>
      </c>
      <c r="C239" t="s">
        <v>1383</v>
      </c>
      <c r="D239" s="3">
        <v>0</v>
      </c>
      <c r="E239" t="s">
        <v>30</v>
      </c>
      <c r="F239" t="s">
        <v>31</v>
      </c>
      <c r="G239">
        <v>0</v>
      </c>
      <c r="H239">
        <v>10</v>
      </c>
      <c r="I239" t="s">
        <v>31</v>
      </c>
    </row>
    <row r="240" spans="1:9" x14ac:dyDescent="0.25">
      <c r="A240" t="s">
        <v>1676</v>
      </c>
      <c r="B240" t="s">
        <v>1667</v>
      </c>
      <c r="C240" t="s">
        <v>1385</v>
      </c>
      <c r="D240" s="3">
        <v>0</v>
      </c>
      <c r="E240" t="s">
        <v>30</v>
      </c>
      <c r="F240" t="s">
        <v>31</v>
      </c>
      <c r="G240">
        <v>0</v>
      </c>
      <c r="H240">
        <v>10</v>
      </c>
      <c r="I240" t="s">
        <v>31</v>
      </c>
    </row>
    <row r="241" spans="1:9" x14ac:dyDescent="0.25">
      <c r="A241" t="s">
        <v>1677</v>
      </c>
      <c r="B241" t="s">
        <v>1667</v>
      </c>
      <c r="C241" t="s">
        <v>1387</v>
      </c>
      <c r="D241" s="3" t="s">
        <v>922</v>
      </c>
      <c r="E241" t="s">
        <v>81</v>
      </c>
      <c r="F241" t="s">
        <v>31</v>
      </c>
      <c r="G241" t="s">
        <v>31</v>
      </c>
      <c r="H241" t="s">
        <v>31</v>
      </c>
      <c r="I241" t="s">
        <v>31</v>
      </c>
    </row>
    <row r="242" spans="1:9" x14ac:dyDescent="0.25">
      <c r="A242" t="s">
        <v>1678</v>
      </c>
      <c r="B242" t="s">
        <v>1679</v>
      </c>
      <c r="C242" t="s">
        <v>226</v>
      </c>
      <c r="D242" s="2" t="s">
        <v>1679</v>
      </c>
      <c r="E242" t="s">
        <v>81</v>
      </c>
      <c r="F242" t="s">
        <v>31</v>
      </c>
      <c r="G242" t="s">
        <v>31</v>
      </c>
      <c r="H242" t="s">
        <v>31</v>
      </c>
      <c r="I242" t="s">
        <v>32</v>
      </c>
    </row>
    <row r="243" spans="1:9" x14ac:dyDescent="0.25">
      <c r="A243" t="s">
        <v>1680</v>
      </c>
      <c r="B243" t="s">
        <v>1679</v>
      </c>
      <c r="C243" t="s">
        <v>228</v>
      </c>
      <c r="D243" s="3" t="s">
        <v>1681</v>
      </c>
      <c r="E243" t="s">
        <v>81</v>
      </c>
      <c r="F243" t="s">
        <v>31</v>
      </c>
      <c r="G243" t="s">
        <v>31</v>
      </c>
      <c r="H243" t="s">
        <v>31</v>
      </c>
      <c r="I243" t="s">
        <v>31</v>
      </c>
    </row>
    <row r="244" spans="1:9" x14ac:dyDescent="0.25">
      <c r="A244" t="s">
        <v>1682</v>
      </c>
      <c r="B244" t="s">
        <v>1679</v>
      </c>
      <c r="C244" t="s">
        <v>1372</v>
      </c>
      <c r="D244" s="3" t="s">
        <v>1547</v>
      </c>
      <c r="E244" t="s">
        <v>81</v>
      </c>
      <c r="F244" t="s">
        <v>31</v>
      </c>
      <c r="G244" t="s">
        <v>31</v>
      </c>
      <c r="H244" t="s">
        <v>31</v>
      </c>
      <c r="I244" t="s">
        <v>31</v>
      </c>
    </row>
    <row r="245" spans="1:9" x14ac:dyDescent="0.25">
      <c r="A245" t="s">
        <v>1683</v>
      </c>
      <c r="B245" t="s">
        <v>1679</v>
      </c>
      <c r="C245" t="s">
        <v>1375</v>
      </c>
      <c r="D245" s="3">
        <v>7</v>
      </c>
      <c r="E245" t="s">
        <v>30</v>
      </c>
      <c r="F245" t="s">
        <v>31</v>
      </c>
      <c r="G245">
        <v>1</v>
      </c>
      <c r="H245">
        <v>10</v>
      </c>
      <c r="I245" t="s">
        <v>31</v>
      </c>
    </row>
    <row r="246" spans="1:9" x14ac:dyDescent="0.25">
      <c r="A246" t="s">
        <v>1684</v>
      </c>
      <c r="B246" t="s">
        <v>1679</v>
      </c>
      <c r="C246" t="s">
        <v>1377</v>
      </c>
      <c r="D246" s="3">
        <v>7</v>
      </c>
      <c r="E246" t="s">
        <v>30</v>
      </c>
      <c r="F246" t="s">
        <v>31</v>
      </c>
      <c r="G246">
        <v>1</v>
      </c>
      <c r="H246">
        <v>10</v>
      </c>
      <c r="I246" t="s">
        <v>31</v>
      </c>
    </row>
    <row r="247" spans="1:9" x14ac:dyDescent="0.25">
      <c r="A247" t="s">
        <v>1685</v>
      </c>
      <c r="B247" t="s">
        <v>1679</v>
      </c>
      <c r="C247" t="s">
        <v>1379</v>
      </c>
      <c r="D247" s="3">
        <v>1</v>
      </c>
      <c r="E247" t="s">
        <v>30</v>
      </c>
      <c r="F247" t="s">
        <v>31</v>
      </c>
      <c r="G247">
        <v>0.0001</v>
      </c>
      <c r="H247">
        <v>100</v>
      </c>
      <c r="I247" t="s">
        <v>31</v>
      </c>
    </row>
    <row r="248" spans="1:9" x14ac:dyDescent="0.25">
      <c r="A248" t="s">
        <v>1686</v>
      </c>
      <c r="B248" t="s">
        <v>1679</v>
      </c>
      <c r="C248" t="s">
        <v>1381</v>
      </c>
      <c r="D248" s="3">
        <v>1</v>
      </c>
      <c r="E248" t="s">
        <v>30</v>
      </c>
      <c r="F248" t="s">
        <v>31</v>
      </c>
      <c r="G248">
        <v>0.0001</v>
      </c>
      <c r="H248">
        <v>100</v>
      </c>
      <c r="I248" t="s">
        <v>31</v>
      </c>
    </row>
    <row r="249" spans="1:9" x14ac:dyDescent="0.25">
      <c r="A249" t="s">
        <v>1687</v>
      </c>
      <c r="B249" t="s">
        <v>1679</v>
      </c>
      <c r="C249" t="s">
        <v>1383</v>
      </c>
      <c r="D249" s="3">
        <v>0</v>
      </c>
      <c r="E249" t="s">
        <v>30</v>
      </c>
      <c r="F249" t="s">
        <v>31</v>
      </c>
      <c r="G249">
        <v>0</v>
      </c>
      <c r="H249">
        <v>10</v>
      </c>
      <c r="I249" t="s">
        <v>31</v>
      </c>
    </row>
    <row r="250" spans="1:9" x14ac:dyDescent="0.25">
      <c r="A250" t="s">
        <v>1688</v>
      </c>
      <c r="B250" t="s">
        <v>1679</v>
      </c>
      <c r="C250" t="s">
        <v>1385</v>
      </c>
      <c r="D250" s="3">
        <v>0</v>
      </c>
      <c r="E250" t="s">
        <v>30</v>
      </c>
      <c r="F250" t="s">
        <v>31</v>
      </c>
      <c r="G250">
        <v>0</v>
      </c>
      <c r="H250">
        <v>10</v>
      </c>
      <c r="I250" t="s">
        <v>31</v>
      </c>
    </row>
    <row r="251" spans="1:9" x14ac:dyDescent="0.25">
      <c r="A251" t="s">
        <v>1689</v>
      </c>
      <c r="B251" t="s">
        <v>1679</v>
      </c>
      <c r="C251" t="s">
        <v>1387</v>
      </c>
      <c r="D251" s="3" t="s">
        <v>810</v>
      </c>
      <c r="E251" t="s">
        <v>81</v>
      </c>
      <c r="F251" t="s">
        <v>31</v>
      </c>
      <c r="G251" t="s">
        <v>31</v>
      </c>
      <c r="H251" t="s">
        <v>31</v>
      </c>
      <c r="I251" t="s">
        <v>31</v>
      </c>
    </row>
    <row r="252" spans="1:9" x14ac:dyDescent="0.25">
      <c r="A252" t="s">
        <v>1690</v>
      </c>
      <c r="B252" t="s">
        <v>1691</v>
      </c>
      <c r="C252" t="s">
        <v>226</v>
      </c>
      <c r="D252" s="2" t="s">
        <v>1691</v>
      </c>
      <c r="E252" t="s">
        <v>81</v>
      </c>
      <c r="F252" t="s">
        <v>31</v>
      </c>
      <c r="G252" t="s">
        <v>31</v>
      </c>
      <c r="H252" t="s">
        <v>31</v>
      </c>
      <c r="I252" t="s">
        <v>32</v>
      </c>
    </row>
    <row r="253" spans="1:9" x14ac:dyDescent="0.25">
      <c r="A253" t="s">
        <v>1692</v>
      </c>
      <c r="B253" t="s">
        <v>1691</v>
      </c>
      <c r="C253" t="s">
        <v>228</v>
      </c>
      <c r="D253" s="3" t="s">
        <v>1693</v>
      </c>
      <c r="E253" t="s">
        <v>81</v>
      </c>
      <c r="F253" t="s">
        <v>31</v>
      </c>
      <c r="G253" t="s">
        <v>31</v>
      </c>
      <c r="H253" t="s">
        <v>31</v>
      </c>
      <c r="I253" t="s">
        <v>31</v>
      </c>
    </row>
    <row r="254" spans="1:9" x14ac:dyDescent="0.25">
      <c r="A254" t="s">
        <v>1694</v>
      </c>
      <c r="B254" t="s">
        <v>1691</v>
      </c>
      <c r="C254" t="s">
        <v>1372</v>
      </c>
      <c r="D254" s="3" t="s">
        <v>1495</v>
      </c>
      <c r="E254" t="s">
        <v>81</v>
      </c>
      <c r="F254" t="s">
        <v>31</v>
      </c>
      <c r="G254" t="s">
        <v>31</v>
      </c>
      <c r="H254" t="s">
        <v>31</v>
      </c>
      <c r="I254" t="s">
        <v>31</v>
      </c>
    </row>
    <row r="255" spans="1:9" x14ac:dyDescent="0.25">
      <c r="A255" t="s">
        <v>1695</v>
      </c>
      <c r="B255" t="s">
        <v>1691</v>
      </c>
      <c r="C255" t="s">
        <v>1375</v>
      </c>
      <c r="D255" s="3">
        <v>8</v>
      </c>
      <c r="E255" t="s">
        <v>30</v>
      </c>
      <c r="F255" t="s">
        <v>31</v>
      </c>
      <c r="G255">
        <v>1</v>
      </c>
      <c r="H255">
        <v>10</v>
      </c>
      <c r="I255" t="s">
        <v>31</v>
      </c>
    </row>
    <row r="256" spans="1:9" x14ac:dyDescent="0.25">
      <c r="A256" t="s">
        <v>1696</v>
      </c>
      <c r="B256" t="s">
        <v>1691</v>
      </c>
      <c r="C256" t="s">
        <v>1377</v>
      </c>
      <c r="D256" s="3">
        <v>8</v>
      </c>
      <c r="E256" t="s">
        <v>30</v>
      </c>
      <c r="F256" t="s">
        <v>31</v>
      </c>
      <c r="G256">
        <v>1</v>
      </c>
      <c r="H256">
        <v>10</v>
      </c>
      <c r="I256" t="s">
        <v>31</v>
      </c>
    </row>
    <row r="257" spans="1:9" x14ac:dyDescent="0.25">
      <c r="A257" t="s">
        <v>1697</v>
      </c>
      <c r="B257" t="s">
        <v>1691</v>
      </c>
      <c r="C257" t="s">
        <v>1379</v>
      </c>
      <c r="D257" s="3">
        <v>1</v>
      </c>
      <c r="E257" t="s">
        <v>30</v>
      </c>
      <c r="F257" t="s">
        <v>31</v>
      </c>
      <c r="G257">
        <v>0.0001</v>
      </c>
      <c r="H257">
        <v>100</v>
      </c>
      <c r="I257" t="s">
        <v>31</v>
      </c>
    </row>
    <row r="258" spans="1:9" x14ac:dyDescent="0.25">
      <c r="A258" t="s">
        <v>1698</v>
      </c>
      <c r="B258" t="s">
        <v>1691</v>
      </c>
      <c r="C258" t="s">
        <v>1381</v>
      </c>
      <c r="D258" s="3">
        <v>1</v>
      </c>
      <c r="E258" t="s">
        <v>30</v>
      </c>
      <c r="F258" t="s">
        <v>31</v>
      </c>
      <c r="G258">
        <v>0.0001</v>
      </c>
      <c r="H258">
        <v>100</v>
      </c>
      <c r="I258" t="s">
        <v>31</v>
      </c>
    </row>
    <row r="259" spans="1:9" x14ac:dyDescent="0.25">
      <c r="A259" t="s">
        <v>1699</v>
      </c>
      <c r="B259" t="s">
        <v>1691</v>
      </c>
      <c r="C259" t="s">
        <v>1383</v>
      </c>
      <c r="D259" s="3">
        <v>0</v>
      </c>
      <c r="E259" t="s">
        <v>30</v>
      </c>
      <c r="F259" t="s">
        <v>31</v>
      </c>
      <c r="G259">
        <v>0</v>
      </c>
      <c r="H259">
        <v>10</v>
      </c>
      <c r="I259" t="s">
        <v>31</v>
      </c>
    </row>
    <row r="260" spans="1:9" x14ac:dyDescent="0.25">
      <c r="A260" t="s">
        <v>1700</v>
      </c>
      <c r="B260" t="s">
        <v>1691</v>
      </c>
      <c r="C260" t="s">
        <v>1385</v>
      </c>
      <c r="D260" s="3">
        <v>0</v>
      </c>
      <c r="E260" t="s">
        <v>30</v>
      </c>
      <c r="F260" t="s">
        <v>31</v>
      </c>
      <c r="G260">
        <v>0</v>
      </c>
      <c r="H260">
        <v>10</v>
      </c>
      <c r="I260" t="s">
        <v>31</v>
      </c>
    </row>
    <row r="261" spans="1:9" x14ac:dyDescent="0.25">
      <c r="A261" t="s">
        <v>1701</v>
      </c>
      <c r="B261" t="s">
        <v>1691</v>
      </c>
      <c r="C261" t="s">
        <v>1387</v>
      </c>
      <c r="D261" s="3" t="s">
        <v>866</v>
      </c>
      <c r="E261" t="s">
        <v>81</v>
      </c>
      <c r="F261" t="s">
        <v>31</v>
      </c>
      <c r="G261" t="s">
        <v>31</v>
      </c>
      <c r="H261" t="s">
        <v>31</v>
      </c>
      <c r="I261" t="s">
        <v>31</v>
      </c>
    </row>
    <row r="262" spans="1:9" x14ac:dyDescent="0.25">
      <c r="A262" t="s">
        <v>1702</v>
      </c>
      <c r="B262" t="s">
        <v>1703</v>
      </c>
      <c r="C262" t="s">
        <v>226</v>
      </c>
      <c r="D262" s="2" t="s">
        <v>1703</v>
      </c>
      <c r="E262" t="s">
        <v>81</v>
      </c>
      <c r="F262" t="s">
        <v>31</v>
      </c>
      <c r="G262" t="s">
        <v>31</v>
      </c>
      <c r="H262" t="s">
        <v>31</v>
      </c>
      <c r="I262" t="s">
        <v>32</v>
      </c>
    </row>
    <row r="263" spans="1:9" x14ac:dyDescent="0.25">
      <c r="A263" t="s">
        <v>1704</v>
      </c>
      <c r="B263" t="s">
        <v>1703</v>
      </c>
      <c r="C263" t="s">
        <v>228</v>
      </c>
      <c r="D263" s="3" t="s">
        <v>1705</v>
      </c>
      <c r="E263" t="s">
        <v>81</v>
      </c>
      <c r="F263" t="s">
        <v>31</v>
      </c>
      <c r="G263" t="s">
        <v>31</v>
      </c>
      <c r="H263" t="s">
        <v>31</v>
      </c>
      <c r="I263" t="s">
        <v>31</v>
      </c>
    </row>
    <row r="264" spans="1:9" x14ac:dyDescent="0.25">
      <c r="A264" t="s">
        <v>1706</v>
      </c>
      <c r="B264" t="s">
        <v>1703</v>
      </c>
      <c r="C264" t="s">
        <v>1372</v>
      </c>
      <c r="D264" s="3" t="s">
        <v>1560</v>
      </c>
      <c r="E264" t="s">
        <v>81</v>
      </c>
      <c r="F264" t="s">
        <v>31</v>
      </c>
      <c r="G264" t="s">
        <v>31</v>
      </c>
      <c r="H264" t="s">
        <v>31</v>
      </c>
      <c r="I264" t="s">
        <v>31</v>
      </c>
    </row>
    <row r="265" spans="1:9" x14ac:dyDescent="0.25">
      <c r="A265" t="s">
        <v>1707</v>
      </c>
      <c r="B265" t="s">
        <v>1703</v>
      </c>
      <c r="C265" t="s">
        <v>1375</v>
      </c>
      <c r="D265" s="3">
        <v>9</v>
      </c>
      <c r="E265" t="s">
        <v>30</v>
      </c>
      <c r="F265" t="s">
        <v>31</v>
      </c>
      <c r="G265">
        <v>1</v>
      </c>
      <c r="H265">
        <v>10</v>
      </c>
      <c r="I265" t="s">
        <v>31</v>
      </c>
    </row>
    <row r="266" spans="1:9" x14ac:dyDescent="0.25">
      <c r="A266" t="s">
        <v>1708</v>
      </c>
      <c r="B266" t="s">
        <v>1703</v>
      </c>
      <c r="C266" t="s">
        <v>1377</v>
      </c>
      <c r="D266" s="3">
        <v>9</v>
      </c>
      <c r="E266" t="s">
        <v>30</v>
      </c>
      <c r="F266" t="s">
        <v>31</v>
      </c>
      <c r="G266">
        <v>1</v>
      </c>
      <c r="H266">
        <v>10</v>
      </c>
      <c r="I266" t="s">
        <v>31</v>
      </c>
    </row>
    <row r="267" spans="1:9" x14ac:dyDescent="0.25">
      <c r="A267" t="s">
        <v>1709</v>
      </c>
      <c r="B267" t="s">
        <v>1703</v>
      </c>
      <c r="C267" t="s">
        <v>1379</v>
      </c>
      <c r="D267" s="3">
        <v>1</v>
      </c>
      <c r="E267" t="s">
        <v>30</v>
      </c>
      <c r="F267" t="s">
        <v>31</v>
      </c>
      <c r="G267">
        <v>0.0001</v>
      </c>
      <c r="H267">
        <v>100</v>
      </c>
      <c r="I267" t="s">
        <v>31</v>
      </c>
    </row>
    <row r="268" spans="1:9" x14ac:dyDescent="0.25">
      <c r="A268" t="s">
        <v>1710</v>
      </c>
      <c r="B268" t="s">
        <v>1703</v>
      </c>
      <c r="C268" t="s">
        <v>1381</v>
      </c>
      <c r="D268" s="3">
        <v>1</v>
      </c>
      <c r="E268" t="s">
        <v>30</v>
      </c>
      <c r="F268" t="s">
        <v>31</v>
      </c>
      <c r="G268">
        <v>0.0001</v>
      </c>
      <c r="H268">
        <v>100</v>
      </c>
      <c r="I268" t="s">
        <v>31</v>
      </c>
    </row>
    <row r="269" spans="1:9" x14ac:dyDescent="0.25">
      <c r="A269" t="s">
        <v>1711</v>
      </c>
      <c r="B269" t="s">
        <v>1703</v>
      </c>
      <c r="C269" t="s">
        <v>1383</v>
      </c>
      <c r="D269" s="3">
        <v>0</v>
      </c>
      <c r="E269" t="s">
        <v>30</v>
      </c>
      <c r="F269" t="s">
        <v>31</v>
      </c>
      <c r="G269">
        <v>0</v>
      </c>
      <c r="H269">
        <v>10</v>
      </c>
      <c r="I269" t="s">
        <v>31</v>
      </c>
    </row>
    <row r="270" spans="1:9" x14ac:dyDescent="0.25">
      <c r="A270" t="s">
        <v>1712</v>
      </c>
      <c r="B270" t="s">
        <v>1703</v>
      </c>
      <c r="C270" t="s">
        <v>1385</v>
      </c>
      <c r="D270" s="3">
        <v>0</v>
      </c>
      <c r="E270" t="s">
        <v>30</v>
      </c>
      <c r="F270" t="s">
        <v>31</v>
      </c>
      <c r="G270">
        <v>0</v>
      </c>
      <c r="H270">
        <v>10</v>
      </c>
      <c r="I270" t="s">
        <v>31</v>
      </c>
    </row>
    <row r="271" spans="1:9" x14ac:dyDescent="0.25">
      <c r="A271" t="s">
        <v>1713</v>
      </c>
      <c r="B271" t="s">
        <v>1703</v>
      </c>
      <c r="C271" t="s">
        <v>1387</v>
      </c>
      <c r="D271" s="3" t="s">
        <v>866</v>
      </c>
      <c r="E271" t="s">
        <v>81</v>
      </c>
      <c r="F271" t="s">
        <v>31</v>
      </c>
      <c r="G271" t="s">
        <v>31</v>
      </c>
      <c r="H271" t="s">
        <v>31</v>
      </c>
      <c r="I271" t="s">
        <v>31</v>
      </c>
    </row>
    <row r="272" spans="1:9" x14ac:dyDescent="0.25">
      <c r="A272" t="s">
        <v>1714</v>
      </c>
      <c r="B272" t="s">
        <v>1715</v>
      </c>
      <c r="C272" t="s">
        <v>226</v>
      </c>
      <c r="D272" s="2" t="s">
        <v>1715</v>
      </c>
      <c r="E272" t="s">
        <v>81</v>
      </c>
      <c r="F272" t="s">
        <v>31</v>
      </c>
      <c r="G272" t="s">
        <v>31</v>
      </c>
      <c r="H272" t="s">
        <v>31</v>
      </c>
      <c r="I272" t="s">
        <v>32</v>
      </c>
    </row>
    <row r="273" spans="1:9" x14ac:dyDescent="0.25">
      <c r="A273" t="s">
        <v>1716</v>
      </c>
      <c r="B273" t="s">
        <v>1715</v>
      </c>
      <c r="C273" t="s">
        <v>228</v>
      </c>
      <c r="D273" s="3" t="s">
        <v>1717</v>
      </c>
      <c r="E273" t="s">
        <v>81</v>
      </c>
      <c r="F273" t="s">
        <v>31</v>
      </c>
      <c r="G273" t="s">
        <v>31</v>
      </c>
      <c r="H273" t="s">
        <v>31</v>
      </c>
      <c r="I273" t="s">
        <v>31</v>
      </c>
    </row>
    <row r="274" spans="1:9" x14ac:dyDescent="0.25">
      <c r="A274" t="s">
        <v>1718</v>
      </c>
      <c r="B274" t="s">
        <v>1715</v>
      </c>
      <c r="C274" t="s">
        <v>1372</v>
      </c>
      <c r="D274" s="3" t="s">
        <v>1458</v>
      </c>
      <c r="E274" t="s">
        <v>81</v>
      </c>
      <c r="F274" t="s">
        <v>31</v>
      </c>
      <c r="G274" t="s">
        <v>31</v>
      </c>
      <c r="H274" t="s">
        <v>31</v>
      </c>
      <c r="I274" t="s">
        <v>31</v>
      </c>
    </row>
    <row r="275" spans="1:9" x14ac:dyDescent="0.25">
      <c r="A275" t="s">
        <v>1719</v>
      </c>
      <c r="B275" t="s">
        <v>1715</v>
      </c>
      <c r="C275" t="s">
        <v>1375</v>
      </c>
      <c r="D275" s="3">
        <v>10</v>
      </c>
      <c r="E275" t="s">
        <v>30</v>
      </c>
      <c r="F275" t="s">
        <v>31</v>
      </c>
      <c r="G275">
        <v>1</v>
      </c>
      <c r="H275">
        <v>10</v>
      </c>
      <c r="I275" t="s">
        <v>31</v>
      </c>
    </row>
    <row r="276" spans="1:9" x14ac:dyDescent="0.25">
      <c r="A276" t="s">
        <v>1720</v>
      </c>
      <c r="B276" t="s">
        <v>1715</v>
      </c>
      <c r="C276" t="s">
        <v>1377</v>
      </c>
      <c r="D276" s="3">
        <v>10</v>
      </c>
      <c r="E276" t="s">
        <v>30</v>
      </c>
      <c r="F276" t="s">
        <v>31</v>
      </c>
      <c r="G276">
        <v>1</v>
      </c>
      <c r="H276">
        <v>10</v>
      </c>
      <c r="I276" t="s">
        <v>31</v>
      </c>
    </row>
    <row r="277" spans="1:9" x14ac:dyDescent="0.25">
      <c r="A277" t="s">
        <v>1721</v>
      </c>
      <c r="B277" t="s">
        <v>1715</v>
      </c>
      <c r="C277" t="s">
        <v>1379</v>
      </c>
      <c r="D277" s="3">
        <v>1</v>
      </c>
      <c r="E277" t="s">
        <v>30</v>
      </c>
      <c r="F277" t="s">
        <v>31</v>
      </c>
      <c r="G277">
        <v>0.0001</v>
      </c>
      <c r="H277">
        <v>100</v>
      </c>
      <c r="I277" t="s">
        <v>31</v>
      </c>
    </row>
    <row r="278" spans="1:9" x14ac:dyDescent="0.25">
      <c r="A278" t="s">
        <v>1722</v>
      </c>
      <c r="B278" t="s">
        <v>1715</v>
      </c>
      <c r="C278" t="s">
        <v>1381</v>
      </c>
      <c r="D278" s="3">
        <v>1</v>
      </c>
      <c r="E278" t="s">
        <v>30</v>
      </c>
      <c r="F278" t="s">
        <v>31</v>
      </c>
      <c r="G278">
        <v>0.0001</v>
      </c>
      <c r="H278">
        <v>100</v>
      </c>
      <c r="I278" t="s">
        <v>31</v>
      </c>
    </row>
    <row r="279" spans="1:9" x14ac:dyDescent="0.25">
      <c r="A279" t="s">
        <v>1723</v>
      </c>
      <c r="B279" t="s">
        <v>1715</v>
      </c>
      <c r="C279" t="s">
        <v>1383</v>
      </c>
      <c r="D279" s="3">
        <v>0</v>
      </c>
      <c r="E279" t="s">
        <v>30</v>
      </c>
      <c r="F279" t="s">
        <v>31</v>
      </c>
      <c r="G279">
        <v>0</v>
      </c>
      <c r="H279">
        <v>10</v>
      </c>
      <c r="I279" t="s">
        <v>31</v>
      </c>
    </row>
    <row r="280" spans="1:9" x14ac:dyDescent="0.25">
      <c r="A280" t="s">
        <v>1724</v>
      </c>
      <c r="B280" t="s">
        <v>1715</v>
      </c>
      <c r="C280" t="s">
        <v>1385</v>
      </c>
      <c r="D280" s="3">
        <v>0</v>
      </c>
      <c r="E280" t="s">
        <v>30</v>
      </c>
      <c r="F280" t="s">
        <v>31</v>
      </c>
      <c r="G280">
        <v>0</v>
      </c>
      <c r="H280">
        <v>10</v>
      </c>
      <c r="I280" t="s">
        <v>31</v>
      </c>
    </row>
    <row r="281" spans="1:9" x14ac:dyDescent="0.25">
      <c r="A281" t="s">
        <v>1725</v>
      </c>
      <c r="B281" t="s">
        <v>1715</v>
      </c>
      <c r="C281" t="s">
        <v>1387</v>
      </c>
      <c r="D281" s="3" t="s">
        <v>978</v>
      </c>
      <c r="E281" t="s">
        <v>81</v>
      </c>
      <c r="F281" t="s">
        <v>31</v>
      </c>
      <c r="G281" t="s">
        <v>31</v>
      </c>
      <c r="H281" t="s">
        <v>31</v>
      </c>
      <c r="I281" t="s">
        <v>31</v>
      </c>
    </row>
    <row r="282" spans="1:9" x14ac:dyDescent="0.25">
      <c r="A282" t="s">
        <v>1726</v>
      </c>
      <c r="B282" t="s">
        <v>1727</v>
      </c>
      <c r="C282" t="s">
        <v>158</v>
      </c>
      <c r="D282" s="3" t="s">
        <v>1607</v>
      </c>
      <c r="E282" t="s">
        <v>81</v>
      </c>
      <c r="F282" t="s">
        <v>31</v>
      </c>
      <c r="G282" t="s">
        <v>31</v>
      </c>
      <c r="H282" t="s">
        <v>31</v>
      </c>
      <c r="I282" t="s">
        <v>31</v>
      </c>
    </row>
    <row r="283" spans="1:9" x14ac:dyDescent="0.25">
      <c r="A283" t="s">
        <v>1728</v>
      </c>
      <c r="B283" t="s">
        <v>1727</v>
      </c>
      <c r="C283" t="s">
        <v>12</v>
      </c>
      <c r="D283" s="3" t="s">
        <v>1619</v>
      </c>
      <c r="E283" t="s">
        <v>81</v>
      </c>
      <c r="F283" t="s">
        <v>31</v>
      </c>
      <c r="G283" t="s">
        <v>31</v>
      </c>
      <c r="H283" t="s">
        <v>31</v>
      </c>
      <c r="I283" t="s">
        <v>31</v>
      </c>
    </row>
    <row r="284" spans="1:9" x14ac:dyDescent="0.25">
      <c r="A284" t="s">
        <v>1729</v>
      </c>
      <c r="B284" t="s">
        <v>1727</v>
      </c>
      <c r="C284" t="s">
        <v>163</v>
      </c>
      <c r="D284" s="3" t="s">
        <v>1631</v>
      </c>
      <c r="E284" t="s">
        <v>81</v>
      </c>
      <c r="F284" t="s">
        <v>31</v>
      </c>
      <c r="G284" t="s">
        <v>31</v>
      </c>
      <c r="H284" t="s">
        <v>31</v>
      </c>
      <c r="I284" t="s">
        <v>31</v>
      </c>
    </row>
    <row r="285" spans="1:9" x14ac:dyDescent="0.25">
      <c r="A285" t="s">
        <v>1730</v>
      </c>
      <c r="B285" t="s">
        <v>1727</v>
      </c>
      <c r="C285" t="s">
        <v>166</v>
      </c>
      <c r="D285" s="3" t="s">
        <v>1643</v>
      </c>
      <c r="E285" t="s">
        <v>81</v>
      </c>
      <c r="F285" t="s">
        <v>31</v>
      </c>
      <c r="G285" t="s">
        <v>31</v>
      </c>
      <c r="H285" t="s">
        <v>31</v>
      </c>
      <c r="I285" t="s">
        <v>31</v>
      </c>
    </row>
    <row r="286" spans="1:9" x14ac:dyDescent="0.25">
      <c r="A286" t="s">
        <v>1731</v>
      </c>
      <c r="B286" t="s">
        <v>1727</v>
      </c>
      <c r="C286" t="s">
        <v>169</v>
      </c>
      <c r="D286" s="3" t="s">
        <v>1655</v>
      </c>
      <c r="E286" t="s">
        <v>81</v>
      </c>
      <c r="F286" t="s">
        <v>31</v>
      </c>
      <c r="G286" t="s">
        <v>31</v>
      </c>
      <c r="H286" t="s">
        <v>31</v>
      </c>
      <c r="I286" t="s">
        <v>31</v>
      </c>
    </row>
    <row r="287" spans="1:9" x14ac:dyDescent="0.25">
      <c r="A287" t="s">
        <v>1732</v>
      </c>
      <c r="B287" t="s">
        <v>1727</v>
      </c>
      <c r="C287" t="s">
        <v>172</v>
      </c>
      <c r="D287" s="3" t="s">
        <v>1667</v>
      </c>
      <c r="E287" t="s">
        <v>81</v>
      </c>
      <c r="F287" t="s">
        <v>31</v>
      </c>
      <c r="G287" t="s">
        <v>31</v>
      </c>
      <c r="H287" t="s">
        <v>31</v>
      </c>
      <c r="I287" t="s">
        <v>31</v>
      </c>
    </row>
    <row r="288" spans="1:9" x14ac:dyDescent="0.25">
      <c r="A288" t="s">
        <v>1733</v>
      </c>
      <c r="B288" t="s">
        <v>1727</v>
      </c>
      <c r="C288" t="s">
        <v>175</v>
      </c>
      <c r="D288" s="3" t="s">
        <v>1679</v>
      </c>
      <c r="E288" t="s">
        <v>81</v>
      </c>
      <c r="F288" t="s">
        <v>31</v>
      </c>
      <c r="G288" t="s">
        <v>31</v>
      </c>
      <c r="H288" t="s">
        <v>31</v>
      </c>
      <c r="I288" t="s">
        <v>31</v>
      </c>
    </row>
    <row r="289" spans="1:9" x14ac:dyDescent="0.25">
      <c r="A289" t="s">
        <v>1734</v>
      </c>
      <c r="B289" t="s">
        <v>1727</v>
      </c>
      <c r="C289" t="s">
        <v>178</v>
      </c>
      <c r="D289" s="3" t="s">
        <v>1691</v>
      </c>
      <c r="E289" t="s">
        <v>81</v>
      </c>
      <c r="F289" t="s">
        <v>31</v>
      </c>
      <c r="G289" t="s">
        <v>31</v>
      </c>
      <c r="H289" t="s">
        <v>31</v>
      </c>
      <c r="I289" t="s">
        <v>31</v>
      </c>
    </row>
    <row r="290" spans="1:9" x14ac:dyDescent="0.25">
      <c r="A290" t="s">
        <v>1735</v>
      </c>
      <c r="B290" t="s">
        <v>1727</v>
      </c>
      <c r="C290" t="s">
        <v>181</v>
      </c>
      <c r="D290" s="3" t="s">
        <v>1703</v>
      </c>
      <c r="E290" t="s">
        <v>81</v>
      </c>
      <c r="F290" t="s">
        <v>31</v>
      </c>
      <c r="G290" t="s">
        <v>31</v>
      </c>
      <c r="H290" t="s">
        <v>31</v>
      </c>
      <c r="I290" t="s">
        <v>31</v>
      </c>
    </row>
    <row r="291" spans="1:9" x14ac:dyDescent="0.25">
      <c r="A291" t="s">
        <v>1736</v>
      </c>
      <c r="B291" t="s">
        <v>1727</v>
      </c>
      <c r="C291" t="s">
        <v>1737</v>
      </c>
      <c r="D291" s="3" t="s">
        <v>1715</v>
      </c>
      <c r="E291" t="s">
        <v>81</v>
      </c>
      <c r="F291" t="s">
        <v>31</v>
      </c>
      <c r="G291" t="s">
        <v>31</v>
      </c>
      <c r="H291" t="s">
        <v>31</v>
      </c>
      <c r="I291" t="s">
        <v>31</v>
      </c>
    </row>
    <row r="292" spans="1:9" x14ac:dyDescent="0.25">
      <c r="A292" t="s">
        <v>1738</v>
      </c>
      <c r="B292" t="s">
        <v>1739</v>
      </c>
      <c r="C292" t="s">
        <v>158</v>
      </c>
      <c r="D292" s="3" t="s">
        <v>1368</v>
      </c>
      <c r="E292" t="s">
        <v>81</v>
      </c>
      <c r="F292" t="s">
        <v>31</v>
      </c>
      <c r="G292" t="s">
        <v>31</v>
      </c>
      <c r="H292" t="s">
        <v>31</v>
      </c>
      <c r="I292" t="s">
        <v>31</v>
      </c>
    </row>
    <row r="293" spans="1:9" x14ac:dyDescent="0.25">
      <c r="A293" t="s">
        <v>1740</v>
      </c>
      <c r="B293" t="s">
        <v>1739</v>
      </c>
      <c r="C293" t="s">
        <v>12</v>
      </c>
      <c r="D293" s="3" t="s">
        <v>1389</v>
      </c>
      <c r="E293" t="s">
        <v>81</v>
      </c>
      <c r="F293" t="s">
        <v>31</v>
      </c>
      <c r="G293" t="s">
        <v>31</v>
      </c>
      <c r="H293" t="s">
        <v>31</v>
      </c>
      <c r="I293" t="s">
        <v>31</v>
      </c>
    </row>
    <row r="294" spans="1:9" x14ac:dyDescent="0.25">
      <c r="A294" t="s">
        <v>1741</v>
      </c>
      <c r="B294" t="s">
        <v>1739</v>
      </c>
      <c r="C294" t="s">
        <v>163</v>
      </c>
      <c r="D294" s="3" t="s">
        <v>1402</v>
      </c>
      <c r="E294" t="s">
        <v>81</v>
      </c>
      <c r="F294" t="s">
        <v>31</v>
      </c>
      <c r="G294" t="s">
        <v>31</v>
      </c>
      <c r="H294" t="s">
        <v>31</v>
      </c>
      <c r="I294" t="s">
        <v>31</v>
      </c>
    </row>
    <row r="295" spans="1:9" x14ac:dyDescent="0.25">
      <c r="A295" t="s">
        <v>1742</v>
      </c>
      <c r="B295" t="s">
        <v>1739</v>
      </c>
      <c r="C295" t="s">
        <v>166</v>
      </c>
      <c r="D295" s="3" t="s">
        <v>1415</v>
      </c>
      <c r="E295" t="s">
        <v>81</v>
      </c>
      <c r="F295" t="s">
        <v>31</v>
      </c>
      <c r="G295" t="s">
        <v>31</v>
      </c>
      <c r="H295" t="s">
        <v>31</v>
      </c>
      <c r="I295" t="s">
        <v>31</v>
      </c>
    </row>
    <row r="296" spans="1:9" x14ac:dyDescent="0.25">
      <c r="A296" t="s">
        <v>1743</v>
      </c>
      <c r="B296" t="s">
        <v>1744</v>
      </c>
      <c r="C296" t="s">
        <v>158</v>
      </c>
      <c r="D296" s="3" t="s">
        <v>1428</v>
      </c>
      <c r="E296" t="s">
        <v>81</v>
      </c>
      <c r="F296" t="s">
        <v>31</v>
      </c>
      <c r="G296" t="s">
        <v>31</v>
      </c>
      <c r="H296" t="s">
        <v>31</v>
      </c>
      <c r="I296" t="s">
        <v>31</v>
      </c>
    </row>
    <row r="297" spans="1:9" x14ac:dyDescent="0.25">
      <c r="A297" t="s">
        <v>1745</v>
      </c>
      <c r="B297" t="s">
        <v>1744</v>
      </c>
      <c r="C297" t="s">
        <v>12</v>
      </c>
      <c r="D297" s="3" t="s">
        <v>1441</v>
      </c>
      <c r="E297" t="s">
        <v>81</v>
      </c>
      <c r="F297" t="s">
        <v>31</v>
      </c>
      <c r="G297" t="s">
        <v>31</v>
      </c>
      <c r="H297" t="s">
        <v>31</v>
      </c>
      <c r="I297" t="s">
        <v>31</v>
      </c>
    </row>
    <row r="298" spans="1:9" x14ac:dyDescent="0.25">
      <c r="A298" t="s">
        <v>1746</v>
      </c>
      <c r="B298" t="s">
        <v>1744</v>
      </c>
      <c r="C298" t="s">
        <v>163</v>
      </c>
      <c r="D298" s="3" t="s">
        <v>1454</v>
      </c>
      <c r="E298" t="s">
        <v>81</v>
      </c>
      <c r="F298" t="s">
        <v>31</v>
      </c>
      <c r="G298" t="s">
        <v>31</v>
      </c>
      <c r="H298" t="s">
        <v>31</v>
      </c>
      <c r="I298" t="s">
        <v>31</v>
      </c>
    </row>
    <row r="299" spans="1:9" x14ac:dyDescent="0.25">
      <c r="A299" t="s">
        <v>1747</v>
      </c>
      <c r="B299" t="s">
        <v>1748</v>
      </c>
      <c r="C299" t="s">
        <v>158</v>
      </c>
      <c r="D299" s="3" t="s">
        <v>1467</v>
      </c>
      <c r="E299" t="s">
        <v>81</v>
      </c>
      <c r="F299" t="s">
        <v>31</v>
      </c>
      <c r="G299" t="s">
        <v>31</v>
      </c>
      <c r="H299" t="s">
        <v>31</v>
      </c>
      <c r="I299" t="s">
        <v>31</v>
      </c>
    </row>
    <row r="300" spans="1:9" x14ac:dyDescent="0.25">
      <c r="A300" t="s">
        <v>1749</v>
      </c>
      <c r="B300" t="s">
        <v>1748</v>
      </c>
      <c r="C300" t="s">
        <v>12</v>
      </c>
      <c r="D300" s="3" t="s">
        <v>1479</v>
      </c>
      <c r="E300" t="s">
        <v>81</v>
      </c>
      <c r="F300" t="s">
        <v>31</v>
      </c>
      <c r="G300" t="s">
        <v>31</v>
      </c>
      <c r="H300" t="s">
        <v>31</v>
      </c>
      <c r="I300" t="s">
        <v>31</v>
      </c>
    </row>
    <row r="301" spans="1:9" x14ac:dyDescent="0.25">
      <c r="A301" t="s">
        <v>1750</v>
      </c>
      <c r="B301" t="s">
        <v>1748</v>
      </c>
      <c r="C301" t="s">
        <v>163</v>
      </c>
      <c r="D301" s="3" t="s">
        <v>1491</v>
      </c>
      <c r="E301" t="s">
        <v>81</v>
      </c>
      <c r="F301" t="s">
        <v>31</v>
      </c>
      <c r="G301" t="s">
        <v>31</v>
      </c>
      <c r="H301" t="s">
        <v>31</v>
      </c>
      <c r="I301" t="s">
        <v>31</v>
      </c>
    </row>
    <row r="302" spans="1:9" x14ac:dyDescent="0.25">
      <c r="A302" t="s">
        <v>1751</v>
      </c>
      <c r="B302" t="s">
        <v>1752</v>
      </c>
      <c r="C302" t="s">
        <v>158</v>
      </c>
      <c r="D302" s="3" t="s">
        <v>1504</v>
      </c>
      <c r="E302" t="s">
        <v>81</v>
      </c>
      <c r="F302" t="s">
        <v>31</v>
      </c>
      <c r="G302" t="s">
        <v>31</v>
      </c>
      <c r="H302" t="s">
        <v>31</v>
      </c>
      <c r="I302" t="s">
        <v>31</v>
      </c>
    </row>
    <row r="303" spans="1:9" x14ac:dyDescent="0.25">
      <c r="A303" t="s">
        <v>1753</v>
      </c>
      <c r="B303" t="s">
        <v>1752</v>
      </c>
      <c r="C303" t="s">
        <v>12</v>
      </c>
      <c r="D303" s="3" t="s">
        <v>1517</v>
      </c>
      <c r="E303" t="s">
        <v>81</v>
      </c>
      <c r="F303" t="s">
        <v>31</v>
      </c>
      <c r="G303" t="s">
        <v>31</v>
      </c>
      <c r="H303" t="s">
        <v>31</v>
      </c>
      <c r="I303" t="s">
        <v>31</v>
      </c>
    </row>
    <row r="304" spans="1:9" x14ac:dyDescent="0.25">
      <c r="A304" t="s">
        <v>1754</v>
      </c>
      <c r="B304" t="s">
        <v>1752</v>
      </c>
      <c r="C304" t="s">
        <v>163</v>
      </c>
      <c r="D304" s="3" t="s">
        <v>1530</v>
      </c>
      <c r="E304" t="s">
        <v>81</v>
      </c>
      <c r="F304" t="s">
        <v>31</v>
      </c>
      <c r="G304" t="s">
        <v>31</v>
      </c>
      <c r="H304" t="s">
        <v>31</v>
      </c>
      <c r="I304" t="s">
        <v>31</v>
      </c>
    </row>
    <row r="305" spans="1:9" x14ac:dyDescent="0.25">
      <c r="A305" t="s">
        <v>1755</v>
      </c>
      <c r="B305" t="s">
        <v>1752</v>
      </c>
      <c r="C305" t="s">
        <v>166</v>
      </c>
      <c r="D305" s="3" t="s">
        <v>1543</v>
      </c>
      <c r="E305" t="s">
        <v>81</v>
      </c>
      <c r="F305" t="s">
        <v>31</v>
      </c>
      <c r="G305" t="s">
        <v>31</v>
      </c>
      <c r="H305" t="s">
        <v>31</v>
      </c>
      <c r="I305" t="s">
        <v>31</v>
      </c>
    </row>
    <row r="306" spans="1:9" x14ac:dyDescent="0.25">
      <c r="A306" t="s">
        <v>1756</v>
      </c>
      <c r="B306" t="s">
        <v>1752</v>
      </c>
      <c r="C306" t="s">
        <v>169</v>
      </c>
      <c r="D306" s="3" t="s">
        <v>1556</v>
      </c>
      <c r="E306" t="s">
        <v>81</v>
      </c>
      <c r="F306" t="s">
        <v>31</v>
      </c>
      <c r="G306" t="s">
        <v>31</v>
      </c>
      <c r="H306" t="s">
        <v>31</v>
      </c>
      <c r="I306" t="s">
        <v>31</v>
      </c>
    </row>
    <row r="307" spans="1:9" x14ac:dyDescent="0.25">
      <c r="A307" t="s">
        <v>1757</v>
      </c>
      <c r="B307" t="s">
        <v>1758</v>
      </c>
      <c r="C307" t="s">
        <v>1573</v>
      </c>
      <c r="D307" s="3" t="s">
        <v>1569</v>
      </c>
      <c r="E307" t="s">
        <v>81</v>
      </c>
      <c r="F307" t="s">
        <v>31</v>
      </c>
      <c r="G307" t="s">
        <v>31</v>
      </c>
      <c r="H307" t="s">
        <v>31</v>
      </c>
      <c r="I307" t="s">
        <v>31</v>
      </c>
    </row>
    <row r="308" spans="1:9" x14ac:dyDescent="0.25">
      <c r="A308" t="s">
        <v>1759</v>
      </c>
      <c r="B308" t="s">
        <v>1758</v>
      </c>
      <c r="C308" t="s">
        <v>1586</v>
      </c>
      <c r="D308" s="3" t="s">
        <v>1582</v>
      </c>
      <c r="E308" t="s">
        <v>81</v>
      </c>
      <c r="F308" t="s">
        <v>31</v>
      </c>
      <c r="G308" t="s">
        <v>31</v>
      </c>
      <c r="H308" t="s">
        <v>31</v>
      </c>
      <c r="I308" t="s">
        <v>31</v>
      </c>
    </row>
    <row r="309" spans="1:9" x14ac:dyDescent="0.25">
      <c r="A309" t="s">
        <v>1760</v>
      </c>
      <c r="B309" t="s">
        <v>1758</v>
      </c>
      <c r="C309" t="s">
        <v>1761</v>
      </c>
      <c r="D309" s="3" t="s">
        <v>1595</v>
      </c>
      <c r="E309" t="s">
        <v>81</v>
      </c>
      <c r="F309" t="s">
        <v>31</v>
      </c>
      <c r="G309" t="s">
        <v>31</v>
      </c>
      <c r="H309" t="s">
        <v>31</v>
      </c>
      <c r="I309" t="s">
        <v>31</v>
      </c>
    </row>
    <row r="310" spans="1:9" x14ac:dyDescent="0.25">
      <c r="A310" t="s">
        <v>1762</v>
      </c>
      <c r="B310" t="s">
        <v>1763</v>
      </c>
      <c r="C310" t="s">
        <v>226</v>
      </c>
      <c r="D310" s="2" t="s">
        <v>1763</v>
      </c>
      <c r="E310" t="s">
        <v>81</v>
      </c>
      <c r="F310" t="s">
        <v>31</v>
      </c>
      <c r="G310" t="s">
        <v>31</v>
      </c>
      <c r="H310" t="s">
        <v>31</v>
      </c>
      <c r="I310" t="s">
        <v>32</v>
      </c>
    </row>
    <row r="311" spans="1:9" x14ac:dyDescent="0.25">
      <c r="A311" t="s">
        <v>1764</v>
      </c>
      <c r="B311" t="s">
        <v>1763</v>
      </c>
      <c r="C311" t="s">
        <v>228</v>
      </c>
      <c r="D311" s="3" t="s">
        <v>1765</v>
      </c>
      <c r="E311" t="s">
        <v>81</v>
      </c>
      <c r="F311" t="s">
        <v>31</v>
      </c>
      <c r="G311" t="s">
        <v>31</v>
      </c>
      <c r="H311" t="s">
        <v>31</v>
      </c>
      <c r="I311" t="s">
        <v>31</v>
      </c>
    </row>
    <row r="312" spans="1:9" x14ac:dyDescent="0.25">
      <c r="A312" t="s">
        <v>1766</v>
      </c>
      <c r="B312" t="s">
        <v>1763</v>
      </c>
      <c r="C312" t="s">
        <v>1767</v>
      </c>
      <c r="D312" s="3">
        <v>0</v>
      </c>
      <c r="E312" t="s">
        <v>30</v>
      </c>
      <c r="F312" t="s">
        <v>31</v>
      </c>
      <c r="G312">
        <v>0</v>
      </c>
      <c r="H312">
        <v>100000</v>
      </c>
      <c r="I312" t="s">
        <v>31</v>
      </c>
    </row>
    <row r="313" spans="1:9" x14ac:dyDescent="0.25">
      <c r="A313" t="s">
        <v>1768</v>
      </c>
      <c r="B313" t="s">
        <v>1763</v>
      </c>
      <c r="C313" t="s">
        <v>1769</v>
      </c>
      <c r="D313" s="3">
        <v>2</v>
      </c>
      <c r="E313" t="s">
        <v>30</v>
      </c>
      <c r="F313" t="s">
        <v>31</v>
      </c>
      <c r="G313">
        <v>0</v>
      </c>
      <c r="H313">
        <v>100000</v>
      </c>
      <c r="I313" t="s">
        <v>31</v>
      </c>
    </row>
    <row r="314" spans="1:9" x14ac:dyDescent="0.25">
      <c r="A314" t="s">
        <v>1770</v>
      </c>
      <c r="B314" t="s">
        <v>1763</v>
      </c>
      <c r="C314" t="s">
        <v>1771</v>
      </c>
      <c r="D314" s="3">
        <v>1</v>
      </c>
      <c r="E314" t="s">
        <v>30</v>
      </c>
      <c r="F314" t="s">
        <v>31</v>
      </c>
      <c r="G314">
        <v>0</v>
      </c>
      <c r="H314">
        <v>100000</v>
      </c>
      <c r="I314" t="s">
        <v>31</v>
      </c>
    </row>
    <row r="315" spans="1:9" x14ac:dyDescent="0.25">
      <c r="A315" t="s">
        <v>1772</v>
      </c>
      <c r="B315" t="s">
        <v>1763</v>
      </c>
      <c r="C315" t="s">
        <v>1773</v>
      </c>
      <c r="D315" s="3">
        <v>0</v>
      </c>
      <c r="E315" t="s">
        <v>30</v>
      </c>
      <c r="F315" t="s">
        <v>31</v>
      </c>
      <c r="G315">
        <v>0</v>
      </c>
      <c r="H315">
        <v>100000</v>
      </c>
      <c r="I315" t="s">
        <v>31</v>
      </c>
    </row>
    <row r="316" spans="1:9" x14ac:dyDescent="0.25">
      <c r="A316" t="s">
        <v>1774</v>
      </c>
      <c r="B316" t="s">
        <v>1775</v>
      </c>
      <c r="C316" t="s">
        <v>226</v>
      </c>
      <c r="D316" s="2" t="s">
        <v>1775</v>
      </c>
      <c r="E316" t="s">
        <v>81</v>
      </c>
      <c r="F316" t="s">
        <v>31</v>
      </c>
      <c r="G316" t="s">
        <v>31</v>
      </c>
      <c r="H316" t="s">
        <v>31</v>
      </c>
      <c r="I316" t="s">
        <v>32</v>
      </c>
    </row>
    <row r="317" spans="1:9" x14ac:dyDescent="0.25">
      <c r="A317" t="s">
        <v>1776</v>
      </c>
      <c r="B317" t="s">
        <v>1775</v>
      </c>
      <c r="C317" t="s">
        <v>228</v>
      </c>
      <c r="D317" s="3" t="s">
        <v>1777</v>
      </c>
      <c r="E317" t="s">
        <v>81</v>
      </c>
      <c r="F317" t="s">
        <v>31</v>
      </c>
      <c r="G317" t="s">
        <v>31</v>
      </c>
      <c r="H317" t="s">
        <v>31</v>
      </c>
      <c r="I317" t="s">
        <v>31</v>
      </c>
    </row>
    <row r="318" spans="1:9" x14ac:dyDescent="0.25">
      <c r="A318" t="s">
        <v>1778</v>
      </c>
      <c r="B318" t="s">
        <v>1775</v>
      </c>
      <c r="C318" t="s">
        <v>1767</v>
      </c>
      <c r="D318" s="3">
        <v>1</v>
      </c>
      <c r="E318" t="s">
        <v>30</v>
      </c>
      <c r="F318" t="s">
        <v>31</v>
      </c>
      <c r="G318">
        <v>0</v>
      </c>
      <c r="H318">
        <v>100000</v>
      </c>
      <c r="I318" t="s">
        <v>31</v>
      </c>
    </row>
    <row r="319" spans="1:9" x14ac:dyDescent="0.25">
      <c r="A319" t="s">
        <v>1779</v>
      </c>
      <c r="B319" t="s">
        <v>1775</v>
      </c>
      <c r="C319" t="s">
        <v>1769</v>
      </c>
      <c r="D319" s="3">
        <v>0</v>
      </c>
      <c r="E319" t="s">
        <v>30</v>
      </c>
      <c r="F319" t="s">
        <v>31</v>
      </c>
      <c r="G319">
        <v>0</v>
      </c>
      <c r="H319">
        <v>100000</v>
      </c>
      <c r="I319" t="s">
        <v>31</v>
      </c>
    </row>
    <row r="320" spans="1:9" x14ac:dyDescent="0.25">
      <c r="A320" t="s">
        <v>1780</v>
      </c>
      <c r="B320" t="s">
        <v>1775</v>
      </c>
      <c r="C320" t="s">
        <v>1771</v>
      </c>
      <c r="D320" s="3">
        <v>0</v>
      </c>
      <c r="E320" t="s">
        <v>30</v>
      </c>
      <c r="F320" t="s">
        <v>31</v>
      </c>
      <c r="G320">
        <v>0</v>
      </c>
      <c r="H320">
        <v>100000</v>
      </c>
      <c r="I320" t="s">
        <v>31</v>
      </c>
    </row>
    <row r="321" spans="1:9" x14ac:dyDescent="0.25">
      <c r="A321" t="s">
        <v>1781</v>
      </c>
      <c r="B321" t="s">
        <v>1775</v>
      </c>
      <c r="C321" t="s">
        <v>1773</v>
      </c>
      <c r="D321" s="3">
        <v>0</v>
      </c>
      <c r="E321" t="s">
        <v>30</v>
      </c>
      <c r="F321" t="s">
        <v>31</v>
      </c>
      <c r="G321">
        <v>0</v>
      </c>
      <c r="H321">
        <v>100000</v>
      </c>
      <c r="I321" t="s">
        <v>31</v>
      </c>
    </row>
    <row r="322" spans="1:9" x14ac:dyDescent="0.25">
      <c r="A322" t="s">
        <v>1782</v>
      </c>
      <c r="B322" t="s">
        <v>1783</v>
      </c>
      <c r="C322" t="s">
        <v>226</v>
      </c>
      <c r="D322" s="2" t="s">
        <v>1783</v>
      </c>
      <c r="E322" t="s">
        <v>81</v>
      </c>
      <c r="F322" t="s">
        <v>31</v>
      </c>
      <c r="G322" t="s">
        <v>31</v>
      </c>
      <c r="H322" t="s">
        <v>31</v>
      </c>
      <c r="I322" t="s">
        <v>32</v>
      </c>
    </row>
    <row r="323" spans="1:9" x14ac:dyDescent="0.25">
      <c r="A323" t="s">
        <v>1784</v>
      </c>
      <c r="B323" t="s">
        <v>1783</v>
      </c>
      <c r="C323" t="s">
        <v>228</v>
      </c>
      <c r="D323" s="3" t="s">
        <v>1785</v>
      </c>
      <c r="E323" t="s">
        <v>81</v>
      </c>
      <c r="F323" t="s">
        <v>31</v>
      </c>
      <c r="G323" t="s">
        <v>31</v>
      </c>
      <c r="H323" t="s">
        <v>31</v>
      </c>
      <c r="I323" t="s">
        <v>31</v>
      </c>
    </row>
    <row r="324" spans="1:9" x14ac:dyDescent="0.25">
      <c r="A324" t="s">
        <v>1786</v>
      </c>
      <c r="B324" t="s">
        <v>1783</v>
      </c>
      <c r="C324" t="s">
        <v>1767</v>
      </c>
      <c r="D324" s="3">
        <v>0</v>
      </c>
      <c r="E324" t="s">
        <v>30</v>
      </c>
      <c r="F324" t="s">
        <v>31</v>
      </c>
      <c r="G324">
        <v>0</v>
      </c>
      <c r="H324">
        <v>100000</v>
      </c>
      <c r="I324" t="s">
        <v>31</v>
      </c>
    </row>
    <row r="325" spans="1:9" x14ac:dyDescent="0.25">
      <c r="A325" t="s">
        <v>1787</v>
      </c>
      <c r="B325" t="s">
        <v>1783</v>
      </c>
      <c r="C325" t="s">
        <v>1769</v>
      </c>
      <c r="D325" s="3">
        <v>0</v>
      </c>
      <c r="E325" t="s">
        <v>30</v>
      </c>
      <c r="F325" t="s">
        <v>31</v>
      </c>
      <c r="G325">
        <v>0</v>
      </c>
      <c r="H325">
        <v>100000</v>
      </c>
      <c r="I325" t="s">
        <v>31</v>
      </c>
    </row>
    <row r="326" spans="1:9" x14ac:dyDescent="0.25">
      <c r="A326" t="s">
        <v>1788</v>
      </c>
      <c r="B326" t="s">
        <v>1783</v>
      </c>
      <c r="C326" t="s">
        <v>1771</v>
      </c>
      <c r="D326" s="3">
        <v>0</v>
      </c>
      <c r="E326" t="s">
        <v>30</v>
      </c>
      <c r="F326" t="s">
        <v>31</v>
      </c>
      <c r="G326">
        <v>0</v>
      </c>
      <c r="H326">
        <v>100000</v>
      </c>
      <c r="I326" t="s">
        <v>31</v>
      </c>
    </row>
    <row r="327" spans="1:9" x14ac:dyDescent="0.25">
      <c r="A327" t="s">
        <v>1789</v>
      </c>
      <c r="B327" t="s">
        <v>1783</v>
      </c>
      <c r="C327" t="s">
        <v>1773</v>
      </c>
      <c r="D327" s="3">
        <v>1</v>
      </c>
      <c r="E327" t="s">
        <v>30</v>
      </c>
      <c r="F327" t="s">
        <v>31</v>
      </c>
      <c r="G327">
        <v>0</v>
      </c>
      <c r="H327">
        <v>100000</v>
      </c>
      <c r="I327" t="s">
        <v>31</v>
      </c>
    </row>
    <row r="328" spans="1:9" x14ac:dyDescent="0.25">
      <c r="A328" t="s">
        <v>1790</v>
      </c>
      <c r="B328" t="s">
        <v>1791</v>
      </c>
      <c r="C328" t="s">
        <v>1792</v>
      </c>
      <c r="D328" s="3">
        <v>2</v>
      </c>
      <c r="E328" t="s">
        <v>30</v>
      </c>
      <c r="F328" t="s">
        <v>77</v>
      </c>
      <c r="G328">
        <v>1</v>
      </c>
      <c r="H328">
        <v>100</v>
      </c>
      <c r="I328" t="s">
        <v>1793</v>
      </c>
    </row>
    <row r="329" spans="1:9" x14ac:dyDescent="0.25">
      <c r="A329" t="s">
        <v>1794</v>
      </c>
      <c r="B329" t="s">
        <v>1791</v>
      </c>
      <c r="C329" t="s">
        <v>1792</v>
      </c>
      <c r="D329" s="2" t="s">
        <v>1795</v>
      </c>
      <c r="E329" t="s">
        <v>81</v>
      </c>
      <c r="F329" t="s">
        <v>77</v>
      </c>
      <c r="G329" t="s">
        <v>31</v>
      </c>
      <c r="H329" t="s">
        <v>31</v>
      </c>
      <c r="I329" t="s">
        <v>32</v>
      </c>
    </row>
    <row r="330" spans="1:9" x14ac:dyDescent="0.25">
      <c r="A330" t="s">
        <v>1796</v>
      </c>
      <c r="B330" t="s">
        <v>1791</v>
      </c>
      <c r="C330" t="s">
        <v>1792</v>
      </c>
      <c r="D330" s="2" t="s">
        <v>1792</v>
      </c>
      <c r="E330" t="s">
        <v>81</v>
      </c>
      <c r="F330" t="s">
        <v>77</v>
      </c>
      <c r="G330" t="s">
        <v>31</v>
      </c>
      <c r="H330" t="s">
        <v>31</v>
      </c>
      <c r="I330" t="s">
        <v>32</v>
      </c>
    </row>
    <row r="331" spans="1:9" x14ac:dyDescent="0.25">
      <c r="A331" t="s">
        <v>1797</v>
      </c>
      <c r="B331" t="s">
        <v>1791</v>
      </c>
      <c r="C331" t="s">
        <v>1792</v>
      </c>
      <c r="D331" s="2" t="s">
        <v>1793</v>
      </c>
      <c r="E331" t="s">
        <v>81</v>
      </c>
      <c r="F331" t="s">
        <v>77</v>
      </c>
      <c r="G331" t="s">
        <v>31</v>
      </c>
      <c r="H331" t="s">
        <v>31</v>
      </c>
      <c r="I331" t="s">
        <v>32</v>
      </c>
    </row>
    <row r="332" spans="1:9" x14ac:dyDescent="0.25">
      <c r="A332" t="s">
        <v>1798</v>
      </c>
      <c r="B332" t="s">
        <v>1791</v>
      </c>
      <c r="C332" t="s">
        <v>1792</v>
      </c>
      <c r="D332" s="2" t="s">
        <v>77</v>
      </c>
      <c r="E332" t="s">
        <v>81</v>
      </c>
      <c r="F332" t="s">
        <v>77</v>
      </c>
      <c r="G332" t="s">
        <v>31</v>
      </c>
      <c r="H332" t="s">
        <v>31</v>
      </c>
      <c r="I332" t="s">
        <v>32</v>
      </c>
    </row>
    <row r="333" spans="1:9" x14ac:dyDescent="0.25">
      <c r="A333" t="s">
        <v>1799</v>
      </c>
      <c r="B333" t="s">
        <v>1791</v>
      </c>
      <c r="C333" t="s">
        <v>1792</v>
      </c>
      <c r="D333" s="2">
        <v>0</v>
      </c>
      <c r="E333" t="s">
        <v>30</v>
      </c>
      <c r="F333" t="s">
        <v>77</v>
      </c>
      <c r="G333">
        <v>1</v>
      </c>
      <c r="H333">
        <v>100</v>
      </c>
      <c r="I333" t="s">
        <v>32</v>
      </c>
    </row>
    <row r="334" spans="1:9" x14ac:dyDescent="0.25">
      <c r="A334" t="s">
        <v>1800</v>
      </c>
      <c r="B334" t="s">
        <v>1791</v>
      </c>
      <c r="C334" t="s">
        <v>1792</v>
      </c>
      <c r="D334" s="2">
        <v>100</v>
      </c>
      <c r="E334" t="s">
        <v>30</v>
      </c>
      <c r="F334" t="s">
        <v>77</v>
      </c>
      <c r="G334">
        <v>1</v>
      </c>
      <c r="H334">
        <v>100</v>
      </c>
      <c r="I334" t="s">
        <v>32</v>
      </c>
    </row>
    <row r="335" spans="1:9" x14ac:dyDescent="0.25">
      <c r="A335" t="s">
        <v>1801</v>
      </c>
      <c r="B335" t="s">
        <v>1791</v>
      </c>
      <c r="C335" t="s">
        <v>1792</v>
      </c>
      <c r="D335" s="2" t="b">
        <v>1</v>
      </c>
      <c r="E335" t="s">
        <v>88</v>
      </c>
      <c r="F335" t="s">
        <v>77</v>
      </c>
      <c r="G335" t="s">
        <v>31</v>
      </c>
      <c r="H335" t="s">
        <v>31</v>
      </c>
      <c r="I335" t="s">
        <v>32</v>
      </c>
    </row>
    <row r="336" spans="1:9" x14ac:dyDescent="0.25">
      <c r="A336" t="s">
        <v>1802</v>
      </c>
      <c r="B336" t="s">
        <v>1803</v>
      </c>
      <c r="C336" t="s">
        <v>1804</v>
      </c>
      <c r="D336" s="3">
        <v>3</v>
      </c>
      <c r="E336" t="s">
        <v>30</v>
      </c>
      <c r="F336" t="s">
        <v>77</v>
      </c>
      <c r="G336">
        <v>1</v>
      </c>
      <c r="H336">
        <v>100</v>
      </c>
      <c r="I336" t="s">
        <v>1805</v>
      </c>
    </row>
    <row r="337" spans="1:9" x14ac:dyDescent="0.25">
      <c r="A337" t="s">
        <v>1806</v>
      </c>
      <c r="B337" t="s">
        <v>1803</v>
      </c>
      <c r="C337" t="s">
        <v>1804</v>
      </c>
      <c r="D337" s="2" t="s">
        <v>1795</v>
      </c>
      <c r="E337" t="s">
        <v>81</v>
      </c>
      <c r="F337" t="s">
        <v>77</v>
      </c>
      <c r="G337" t="s">
        <v>31</v>
      </c>
      <c r="H337" t="s">
        <v>31</v>
      </c>
      <c r="I337" t="s">
        <v>32</v>
      </c>
    </row>
    <row r="338" spans="1:9" x14ac:dyDescent="0.25">
      <c r="A338" t="s">
        <v>1807</v>
      </c>
      <c r="B338" t="s">
        <v>1803</v>
      </c>
      <c r="C338" t="s">
        <v>1804</v>
      </c>
      <c r="D338" s="2" t="s">
        <v>1804</v>
      </c>
      <c r="E338" t="s">
        <v>81</v>
      </c>
      <c r="F338" t="s">
        <v>77</v>
      </c>
      <c r="G338" t="s">
        <v>31</v>
      </c>
      <c r="H338" t="s">
        <v>31</v>
      </c>
      <c r="I338" t="s">
        <v>32</v>
      </c>
    </row>
    <row r="339" spans="1:9" x14ac:dyDescent="0.25">
      <c r="A339" t="s">
        <v>1808</v>
      </c>
      <c r="B339" t="s">
        <v>1803</v>
      </c>
      <c r="C339" t="s">
        <v>1804</v>
      </c>
      <c r="D339" s="2" t="s">
        <v>1805</v>
      </c>
      <c r="E339" t="s">
        <v>81</v>
      </c>
      <c r="F339" t="s">
        <v>77</v>
      </c>
      <c r="G339" t="s">
        <v>31</v>
      </c>
      <c r="H339" t="s">
        <v>31</v>
      </c>
      <c r="I339" t="s">
        <v>32</v>
      </c>
    </row>
    <row r="340" spans="1:9" x14ac:dyDescent="0.25">
      <c r="A340" t="s">
        <v>1809</v>
      </c>
      <c r="B340" t="s">
        <v>1803</v>
      </c>
      <c r="C340" t="s">
        <v>1804</v>
      </c>
      <c r="D340" s="2" t="s">
        <v>77</v>
      </c>
      <c r="E340" t="s">
        <v>81</v>
      </c>
      <c r="F340" t="s">
        <v>77</v>
      </c>
      <c r="G340" t="s">
        <v>31</v>
      </c>
      <c r="H340" t="s">
        <v>31</v>
      </c>
      <c r="I340" t="s">
        <v>32</v>
      </c>
    </row>
    <row r="341" spans="1:9" x14ac:dyDescent="0.25">
      <c r="A341" t="s">
        <v>1810</v>
      </c>
      <c r="B341" t="s">
        <v>1803</v>
      </c>
      <c r="C341" t="s">
        <v>1804</v>
      </c>
      <c r="D341" s="2">
        <v>0</v>
      </c>
      <c r="E341" t="s">
        <v>30</v>
      </c>
      <c r="F341" t="s">
        <v>77</v>
      </c>
      <c r="G341">
        <v>1</v>
      </c>
      <c r="H341">
        <v>100</v>
      </c>
      <c r="I341" t="s">
        <v>32</v>
      </c>
    </row>
    <row r="342" spans="1:9" x14ac:dyDescent="0.25">
      <c r="A342" t="s">
        <v>1811</v>
      </c>
      <c r="B342" t="s">
        <v>1803</v>
      </c>
      <c r="C342" t="s">
        <v>1804</v>
      </c>
      <c r="D342" s="2">
        <v>100</v>
      </c>
      <c r="E342" t="s">
        <v>30</v>
      </c>
      <c r="F342" t="s">
        <v>77</v>
      </c>
      <c r="G342">
        <v>1</v>
      </c>
      <c r="H342">
        <v>100</v>
      </c>
      <c r="I342" t="s">
        <v>32</v>
      </c>
    </row>
    <row r="343" spans="1:9" x14ac:dyDescent="0.25">
      <c r="A343" t="s">
        <v>1812</v>
      </c>
      <c r="B343" t="s">
        <v>1803</v>
      </c>
      <c r="C343" t="s">
        <v>1804</v>
      </c>
      <c r="D343" s="2" t="b">
        <v>1</v>
      </c>
      <c r="E343" t="s">
        <v>88</v>
      </c>
      <c r="F343" t="s">
        <v>77</v>
      </c>
      <c r="G343" t="s">
        <v>31</v>
      </c>
      <c r="H343" t="s">
        <v>31</v>
      </c>
      <c r="I343" t="s">
        <v>32</v>
      </c>
    </row>
    <row r="344" spans="1:9" x14ac:dyDescent="0.25">
      <c r="A344" t="s">
        <v>1813</v>
      </c>
      <c r="B344" t="s">
        <v>1814</v>
      </c>
      <c r="C344" t="s">
        <v>1815</v>
      </c>
      <c r="D344" s="3">
        <v>2</v>
      </c>
      <c r="E344" t="s">
        <v>30</v>
      </c>
      <c r="F344" t="s">
        <v>77</v>
      </c>
      <c r="G344">
        <v>1</v>
      </c>
      <c r="H344">
        <v>100</v>
      </c>
      <c r="I344" t="s">
        <v>1816</v>
      </c>
    </row>
    <row r="345" spans="1:9" x14ac:dyDescent="0.25">
      <c r="A345" t="s">
        <v>1817</v>
      </c>
      <c r="B345" t="s">
        <v>1814</v>
      </c>
      <c r="C345" t="s">
        <v>1815</v>
      </c>
      <c r="D345" s="2" t="s">
        <v>1795</v>
      </c>
      <c r="E345" t="s">
        <v>81</v>
      </c>
      <c r="F345" t="s">
        <v>77</v>
      </c>
      <c r="G345" t="s">
        <v>31</v>
      </c>
      <c r="H345" t="s">
        <v>31</v>
      </c>
      <c r="I345" t="s">
        <v>32</v>
      </c>
    </row>
    <row r="346" spans="1:9" x14ac:dyDescent="0.25">
      <c r="A346" t="s">
        <v>1818</v>
      </c>
      <c r="B346" t="s">
        <v>1814</v>
      </c>
      <c r="C346" t="s">
        <v>1815</v>
      </c>
      <c r="D346" s="2" t="s">
        <v>1815</v>
      </c>
      <c r="E346" t="s">
        <v>81</v>
      </c>
      <c r="F346" t="s">
        <v>77</v>
      </c>
      <c r="G346" t="s">
        <v>31</v>
      </c>
      <c r="H346" t="s">
        <v>31</v>
      </c>
      <c r="I346" t="s">
        <v>32</v>
      </c>
    </row>
    <row r="347" spans="1:9" x14ac:dyDescent="0.25">
      <c r="A347" t="s">
        <v>1819</v>
      </c>
      <c r="B347" t="s">
        <v>1814</v>
      </c>
      <c r="C347" t="s">
        <v>1815</v>
      </c>
      <c r="D347" s="2" t="s">
        <v>1816</v>
      </c>
      <c r="E347" t="s">
        <v>81</v>
      </c>
      <c r="F347" t="s">
        <v>77</v>
      </c>
      <c r="G347" t="s">
        <v>31</v>
      </c>
      <c r="H347" t="s">
        <v>31</v>
      </c>
      <c r="I347" t="s">
        <v>32</v>
      </c>
    </row>
    <row r="348" spans="1:9" x14ac:dyDescent="0.25">
      <c r="A348" t="s">
        <v>1820</v>
      </c>
      <c r="B348" t="s">
        <v>1814</v>
      </c>
      <c r="C348" t="s">
        <v>1815</v>
      </c>
      <c r="D348" s="2" t="s">
        <v>77</v>
      </c>
      <c r="E348" t="s">
        <v>81</v>
      </c>
      <c r="F348" t="s">
        <v>77</v>
      </c>
      <c r="G348" t="s">
        <v>31</v>
      </c>
      <c r="H348" t="s">
        <v>31</v>
      </c>
      <c r="I348" t="s">
        <v>32</v>
      </c>
    </row>
    <row r="349" spans="1:9" x14ac:dyDescent="0.25">
      <c r="A349" t="s">
        <v>1821</v>
      </c>
      <c r="B349" t="s">
        <v>1814</v>
      </c>
      <c r="C349" t="s">
        <v>1815</v>
      </c>
      <c r="D349" s="2">
        <v>0</v>
      </c>
      <c r="E349" t="s">
        <v>30</v>
      </c>
      <c r="F349" t="s">
        <v>77</v>
      </c>
      <c r="G349">
        <v>1</v>
      </c>
      <c r="H349">
        <v>100</v>
      </c>
      <c r="I349" t="s">
        <v>32</v>
      </c>
    </row>
    <row r="350" spans="1:9" x14ac:dyDescent="0.25">
      <c r="A350" t="s">
        <v>1822</v>
      </c>
      <c r="B350" t="s">
        <v>1814</v>
      </c>
      <c r="C350" t="s">
        <v>1815</v>
      </c>
      <c r="D350" s="2">
        <v>100</v>
      </c>
      <c r="E350" t="s">
        <v>30</v>
      </c>
      <c r="F350" t="s">
        <v>77</v>
      </c>
      <c r="G350">
        <v>1</v>
      </c>
      <c r="H350">
        <v>100</v>
      </c>
      <c r="I350" t="s">
        <v>32</v>
      </c>
    </row>
    <row r="351" spans="1:9" x14ac:dyDescent="0.25">
      <c r="A351" t="s">
        <v>1823</v>
      </c>
      <c r="B351" t="s">
        <v>1814</v>
      </c>
      <c r="C351" t="s">
        <v>1815</v>
      </c>
      <c r="D351" s="2" t="b">
        <v>1</v>
      </c>
      <c r="E351" t="s">
        <v>88</v>
      </c>
      <c r="F351" t="s">
        <v>77</v>
      </c>
      <c r="G351" t="s">
        <v>31</v>
      </c>
      <c r="H351" t="s">
        <v>31</v>
      </c>
      <c r="I351" t="s">
        <v>32</v>
      </c>
    </row>
    <row r="352" spans="1:9" x14ac:dyDescent="0.25">
      <c r="A352" t="s">
        <v>1824</v>
      </c>
      <c r="B352" t="s">
        <v>1825</v>
      </c>
      <c r="C352" t="s">
        <v>1826</v>
      </c>
      <c r="D352" s="3">
        <v>3</v>
      </c>
      <c r="E352" t="s">
        <v>30</v>
      </c>
      <c r="F352" t="s">
        <v>77</v>
      </c>
      <c r="G352">
        <v>1</v>
      </c>
      <c r="H352">
        <v>100</v>
      </c>
      <c r="I352" t="s">
        <v>1827</v>
      </c>
    </row>
    <row r="353" spans="1:9" x14ac:dyDescent="0.25">
      <c r="A353" t="s">
        <v>1828</v>
      </c>
      <c r="B353" t="s">
        <v>1825</v>
      </c>
      <c r="C353" t="s">
        <v>1826</v>
      </c>
      <c r="D353" s="2" t="s">
        <v>1795</v>
      </c>
      <c r="E353" t="s">
        <v>81</v>
      </c>
      <c r="F353" t="s">
        <v>77</v>
      </c>
      <c r="G353" t="s">
        <v>31</v>
      </c>
      <c r="H353" t="s">
        <v>31</v>
      </c>
      <c r="I353" t="s">
        <v>32</v>
      </c>
    </row>
    <row r="354" spans="1:9" x14ac:dyDescent="0.25">
      <c r="A354" t="s">
        <v>1829</v>
      </c>
      <c r="B354" t="s">
        <v>1825</v>
      </c>
      <c r="C354" t="s">
        <v>1826</v>
      </c>
      <c r="D354" s="2" t="s">
        <v>1826</v>
      </c>
      <c r="E354" t="s">
        <v>81</v>
      </c>
      <c r="F354" t="s">
        <v>77</v>
      </c>
      <c r="G354" t="s">
        <v>31</v>
      </c>
      <c r="H354" t="s">
        <v>31</v>
      </c>
      <c r="I354" t="s">
        <v>32</v>
      </c>
    </row>
    <row r="355" spans="1:9" x14ac:dyDescent="0.25">
      <c r="A355" t="s">
        <v>1830</v>
      </c>
      <c r="B355" t="s">
        <v>1825</v>
      </c>
      <c r="C355" t="s">
        <v>1826</v>
      </c>
      <c r="D355" s="2" t="s">
        <v>1827</v>
      </c>
      <c r="E355" t="s">
        <v>81</v>
      </c>
      <c r="F355" t="s">
        <v>77</v>
      </c>
      <c r="G355" t="s">
        <v>31</v>
      </c>
      <c r="H355" t="s">
        <v>31</v>
      </c>
      <c r="I355" t="s">
        <v>32</v>
      </c>
    </row>
    <row r="356" spans="1:9" x14ac:dyDescent="0.25">
      <c r="A356" t="s">
        <v>1831</v>
      </c>
      <c r="B356" t="s">
        <v>1825</v>
      </c>
      <c r="C356" t="s">
        <v>1826</v>
      </c>
      <c r="D356" s="2" t="s">
        <v>77</v>
      </c>
      <c r="E356" t="s">
        <v>81</v>
      </c>
      <c r="F356" t="s">
        <v>77</v>
      </c>
      <c r="G356" t="s">
        <v>31</v>
      </c>
      <c r="H356" t="s">
        <v>31</v>
      </c>
      <c r="I356" t="s">
        <v>32</v>
      </c>
    </row>
    <row r="357" spans="1:9" x14ac:dyDescent="0.25">
      <c r="A357" t="s">
        <v>1832</v>
      </c>
      <c r="B357" t="s">
        <v>1825</v>
      </c>
      <c r="C357" t="s">
        <v>1826</v>
      </c>
      <c r="D357" s="2">
        <v>0</v>
      </c>
      <c r="E357" t="s">
        <v>30</v>
      </c>
      <c r="F357" t="s">
        <v>77</v>
      </c>
      <c r="G357">
        <v>1</v>
      </c>
      <c r="H357">
        <v>100</v>
      </c>
      <c r="I357" t="s">
        <v>32</v>
      </c>
    </row>
    <row r="358" spans="1:9" x14ac:dyDescent="0.25">
      <c r="A358" t="s">
        <v>1833</v>
      </c>
      <c r="B358" t="s">
        <v>1825</v>
      </c>
      <c r="C358" t="s">
        <v>1826</v>
      </c>
      <c r="D358" s="2">
        <v>100</v>
      </c>
      <c r="E358" t="s">
        <v>30</v>
      </c>
      <c r="F358" t="s">
        <v>77</v>
      </c>
      <c r="G358">
        <v>1</v>
      </c>
      <c r="H358">
        <v>100</v>
      </c>
      <c r="I358" t="s">
        <v>32</v>
      </c>
    </row>
    <row r="359" spans="1:9" x14ac:dyDescent="0.25">
      <c r="A359" t="s">
        <v>1834</v>
      </c>
      <c r="B359" t="s">
        <v>1825</v>
      </c>
      <c r="C359" t="s">
        <v>1826</v>
      </c>
      <c r="D359" s="2" t="b">
        <v>1</v>
      </c>
      <c r="E359" t="s">
        <v>88</v>
      </c>
      <c r="F359" t="s">
        <v>77</v>
      </c>
      <c r="G359" t="s">
        <v>31</v>
      </c>
      <c r="H359" t="s">
        <v>31</v>
      </c>
      <c r="I359" t="s">
        <v>32</v>
      </c>
    </row>
    <row r="360" spans="1:9" x14ac:dyDescent="0.25">
      <c r="A360" t="s">
        <v>1835</v>
      </c>
      <c r="B360" t="s">
        <v>1836</v>
      </c>
      <c r="C360" t="s">
        <v>1837</v>
      </c>
      <c r="D360" s="3">
        <v>0.8</v>
      </c>
      <c r="E360" t="s">
        <v>30</v>
      </c>
      <c r="F360" t="s">
        <v>103</v>
      </c>
      <c r="G360">
        <v>0</v>
      </c>
      <c r="H360">
        <v>1</v>
      </c>
      <c r="I360" t="s">
        <v>1838</v>
      </c>
    </row>
    <row r="361" spans="1:9" x14ac:dyDescent="0.25">
      <c r="A361" t="s">
        <v>1839</v>
      </c>
      <c r="B361" t="s">
        <v>1836</v>
      </c>
      <c r="C361" t="s">
        <v>1837</v>
      </c>
      <c r="D361" s="2" t="s">
        <v>1795</v>
      </c>
      <c r="E361" t="s">
        <v>81</v>
      </c>
      <c r="F361" t="s">
        <v>103</v>
      </c>
      <c r="G361" t="s">
        <v>31</v>
      </c>
      <c r="H361" t="s">
        <v>31</v>
      </c>
      <c r="I361" t="s">
        <v>32</v>
      </c>
    </row>
    <row r="362" spans="1:9" x14ac:dyDescent="0.25">
      <c r="A362" t="s">
        <v>1840</v>
      </c>
      <c r="B362" t="s">
        <v>1836</v>
      </c>
      <c r="C362" t="s">
        <v>1837</v>
      </c>
      <c r="D362" s="2" t="s">
        <v>1837</v>
      </c>
      <c r="E362" t="s">
        <v>81</v>
      </c>
      <c r="F362" t="s">
        <v>103</v>
      </c>
      <c r="G362" t="s">
        <v>31</v>
      </c>
      <c r="H362" t="s">
        <v>31</v>
      </c>
      <c r="I362" t="s">
        <v>32</v>
      </c>
    </row>
    <row r="363" spans="1:9" x14ac:dyDescent="0.25">
      <c r="A363" t="s">
        <v>1841</v>
      </c>
      <c r="B363" t="s">
        <v>1836</v>
      </c>
      <c r="C363" t="s">
        <v>1837</v>
      </c>
      <c r="D363" s="2" t="s">
        <v>1838</v>
      </c>
      <c r="E363" t="s">
        <v>81</v>
      </c>
      <c r="F363" t="s">
        <v>103</v>
      </c>
      <c r="G363" t="s">
        <v>31</v>
      </c>
      <c r="H363" t="s">
        <v>31</v>
      </c>
      <c r="I363" t="s">
        <v>32</v>
      </c>
    </row>
    <row r="364" spans="1:9" x14ac:dyDescent="0.25">
      <c r="A364" t="s">
        <v>1842</v>
      </c>
      <c r="B364" t="s">
        <v>1836</v>
      </c>
      <c r="C364" t="s">
        <v>1837</v>
      </c>
      <c r="D364" s="2" t="s">
        <v>103</v>
      </c>
      <c r="E364" t="s">
        <v>81</v>
      </c>
      <c r="F364" t="s">
        <v>103</v>
      </c>
      <c r="G364" t="s">
        <v>31</v>
      </c>
      <c r="H364" t="s">
        <v>31</v>
      </c>
      <c r="I364" t="s">
        <v>32</v>
      </c>
    </row>
    <row r="365" spans="1:9" x14ac:dyDescent="0.25">
      <c r="A365" t="s">
        <v>1843</v>
      </c>
      <c r="B365" t="s">
        <v>1836</v>
      </c>
      <c r="C365" t="s">
        <v>1837</v>
      </c>
      <c r="D365" s="2">
        <v>0</v>
      </c>
      <c r="E365" t="s">
        <v>30</v>
      </c>
      <c r="F365" t="s">
        <v>103</v>
      </c>
      <c r="G365">
        <v>0</v>
      </c>
      <c r="H365">
        <v>1</v>
      </c>
      <c r="I365" t="s">
        <v>32</v>
      </c>
    </row>
    <row r="366" spans="1:9" x14ac:dyDescent="0.25">
      <c r="A366" t="s">
        <v>1844</v>
      </c>
      <c r="B366" t="s">
        <v>1836</v>
      </c>
      <c r="C366" t="s">
        <v>1837</v>
      </c>
      <c r="D366" s="2">
        <v>1</v>
      </c>
      <c r="E366" t="s">
        <v>30</v>
      </c>
      <c r="F366" t="s">
        <v>103</v>
      </c>
      <c r="G366">
        <v>0</v>
      </c>
      <c r="H366">
        <v>1</v>
      </c>
      <c r="I366" t="s">
        <v>32</v>
      </c>
    </row>
    <row r="367" spans="1:9" x14ac:dyDescent="0.25">
      <c r="A367" t="s">
        <v>1845</v>
      </c>
      <c r="B367" t="s">
        <v>1836</v>
      </c>
      <c r="C367" t="s">
        <v>1837</v>
      </c>
      <c r="D367" s="2" t="b">
        <v>0</v>
      </c>
      <c r="E367" t="s">
        <v>88</v>
      </c>
      <c r="F367" t="s">
        <v>103</v>
      </c>
      <c r="G367" t="s">
        <v>31</v>
      </c>
      <c r="H367" t="s">
        <v>31</v>
      </c>
      <c r="I367" t="s">
        <v>32</v>
      </c>
    </row>
    <row r="368" spans="1:9" x14ac:dyDescent="0.25">
      <c r="A368" t="s">
        <v>1846</v>
      </c>
      <c r="B368" t="s">
        <v>1847</v>
      </c>
      <c r="C368" t="s">
        <v>1848</v>
      </c>
      <c r="D368" s="3">
        <v>2</v>
      </c>
      <c r="E368" t="s">
        <v>30</v>
      </c>
      <c r="F368" t="s">
        <v>77</v>
      </c>
      <c r="G368">
        <v>1</v>
      </c>
      <c r="H368">
        <v>100</v>
      </c>
      <c r="I368" t="s">
        <v>1849</v>
      </c>
    </row>
    <row r="369" spans="1:9" x14ac:dyDescent="0.25">
      <c r="A369" t="s">
        <v>1850</v>
      </c>
      <c r="B369" t="s">
        <v>1847</v>
      </c>
      <c r="C369" t="s">
        <v>1848</v>
      </c>
      <c r="D369" s="2" t="s">
        <v>1795</v>
      </c>
      <c r="E369" t="s">
        <v>81</v>
      </c>
      <c r="F369" t="s">
        <v>77</v>
      </c>
      <c r="G369" t="s">
        <v>31</v>
      </c>
      <c r="H369" t="s">
        <v>31</v>
      </c>
      <c r="I369" t="s">
        <v>32</v>
      </c>
    </row>
    <row r="370" spans="1:9" x14ac:dyDescent="0.25">
      <c r="A370" t="s">
        <v>1851</v>
      </c>
      <c r="B370" t="s">
        <v>1847</v>
      </c>
      <c r="C370" t="s">
        <v>1848</v>
      </c>
      <c r="D370" s="2" t="s">
        <v>1848</v>
      </c>
      <c r="E370" t="s">
        <v>81</v>
      </c>
      <c r="F370" t="s">
        <v>77</v>
      </c>
      <c r="G370" t="s">
        <v>31</v>
      </c>
      <c r="H370" t="s">
        <v>31</v>
      </c>
      <c r="I370" t="s">
        <v>32</v>
      </c>
    </row>
    <row r="371" spans="1:9" x14ac:dyDescent="0.25">
      <c r="A371" t="s">
        <v>1852</v>
      </c>
      <c r="B371" t="s">
        <v>1847</v>
      </c>
      <c r="C371" t="s">
        <v>1848</v>
      </c>
      <c r="D371" s="2" t="s">
        <v>1849</v>
      </c>
      <c r="E371" t="s">
        <v>81</v>
      </c>
      <c r="F371" t="s">
        <v>77</v>
      </c>
      <c r="G371" t="s">
        <v>31</v>
      </c>
      <c r="H371" t="s">
        <v>31</v>
      </c>
      <c r="I371" t="s">
        <v>32</v>
      </c>
    </row>
    <row r="372" spans="1:9" x14ac:dyDescent="0.25">
      <c r="A372" t="s">
        <v>1853</v>
      </c>
      <c r="B372" t="s">
        <v>1847</v>
      </c>
      <c r="C372" t="s">
        <v>1848</v>
      </c>
      <c r="D372" s="2" t="s">
        <v>77</v>
      </c>
      <c r="E372" t="s">
        <v>81</v>
      </c>
      <c r="F372" t="s">
        <v>77</v>
      </c>
      <c r="G372" t="s">
        <v>31</v>
      </c>
      <c r="H372" t="s">
        <v>31</v>
      </c>
      <c r="I372" t="s">
        <v>32</v>
      </c>
    </row>
    <row r="373" spans="1:9" x14ac:dyDescent="0.25">
      <c r="A373" t="s">
        <v>1854</v>
      </c>
      <c r="B373" t="s">
        <v>1847</v>
      </c>
      <c r="C373" t="s">
        <v>1848</v>
      </c>
      <c r="D373" s="2">
        <v>0</v>
      </c>
      <c r="E373" t="s">
        <v>30</v>
      </c>
      <c r="F373" t="s">
        <v>77</v>
      </c>
      <c r="G373">
        <v>1</v>
      </c>
      <c r="H373">
        <v>100</v>
      </c>
      <c r="I373" t="s">
        <v>32</v>
      </c>
    </row>
    <row r="374" spans="1:9" x14ac:dyDescent="0.25">
      <c r="A374" t="s">
        <v>1855</v>
      </c>
      <c r="B374" t="s">
        <v>1847</v>
      </c>
      <c r="C374" t="s">
        <v>1848</v>
      </c>
      <c r="D374" s="2">
        <v>100</v>
      </c>
      <c r="E374" t="s">
        <v>30</v>
      </c>
      <c r="F374" t="s">
        <v>77</v>
      </c>
      <c r="G374">
        <v>1</v>
      </c>
      <c r="H374">
        <v>100</v>
      </c>
      <c r="I374" t="s">
        <v>32</v>
      </c>
    </row>
    <row r="375" spans="1:9" x14ac:dyDescent="0.25">
      <c r="A375" t="s">
        <v>1856</v>
      </c>
      <c r="B375" t="s">
        <v>1847</v>
      </c>
      <c r="C375" t="s">
        <v>1848</v>
      </c>
      <c r="D375" s="2" t="b">
        <v>1</v>
      </c>
      <c r="E375" t="s">
        <v>88</v>
      </c>
      <c r="F375" t="s">
        <v>77</v>
      </c>
      <c r="G375" t="s">
        <v>31</v>
      </c>
      <c r="H375" t="s">
        <v>31</v>
      </c>
      <c r="I375" t="s">
        <v>32</v>
      </c>
    </row>
    <row r="376" spans="1:9" x14ac:dyDescent="0.25">
      <c r="A376" t="s">
        <v>1857</v>
      </c>
      <c r="B376" t="s">
        <v>1858</v>
      </c>
      <c r="C376" t="s">
        <v>1859</v>
      </c>
      <c r="D376" s="3">
        <v>7</v>
      </c>
      <c r="E376" t="s">
        <v>30</v>
      </c>
      <c r="F376" t="s">
        <v>77</v>
      </c>
      <c r="G376">
        <v>1</v>
      </c>
      <c r="H376">
        <v>100</v>
      </c>
      <c r="I376" t="s">
        <v>1860</v>
      </c>
    </row>
    <row r="377" spans="1:9" x14ac:dyDescent="0.25">
      <c r="A377" t="s">
        <v>1861</v>
      </c>
      <c r="B377" t="s">
        <v>1858</v>
      </c>
      <c r="C377" t="s">
        <v>1859</v>
      </c>
      <c r="D377" s="2" t="s">
        <v>1795</v>
      </c>
      <c r="E377" t="s">
        <v>81</v>
      </c>
      <c r="F377" t="s">
        <v>77</v>
      </c>
      <c r="G377" t="s">
        <v>31</v>
      </c>
      <c r="H377" t="s">
        <v>31</v>
      </c>
      <c r="I377" t="s">
        <v>32</v>
      </c>
    </row>
    <row r="378" spans="1:9" x14ac:dyDescent="0.25">
      <c r="A378" t="s">
        <v>1862</v>
      </c>
      <c r="B378" t="s">
        <v>1858</v>
      </c>
      <c r="C378" t="s">
        <v>1859</v>
      </c>
      <c r="D378" s="2" t="s">
        <v>1859</v>
      </c>
      <c r="E378" t="s">
        <v>81</v>
      </c>
      <c r="F378" t="s">
        <v>77</v>
      </c>
      <c r="G378" t="s">
        <v>31</v>
      </c>
      <c r="H378" t="s">
        <v>31</v>
      </c>
      <c r="I378" t="s">
        <v>32</v>
      </c>
    </row>
    <row r="379" spans="1:9" x14ac:dyDescent="0.25">
      <c r="A379" t="s">
        <v>1863</v>
      </c>
      <c r="B379" t="s">
        <v>1858</v>
      </c>
      <c r="C379" t="s">
        <v>1859</v>
      </c>
      <c r="D379" s="2" t="s">
        <v>1860</v>
      </c>
      <c r="E379" t="s">
        <v>81</v>
      </c>
      <c r="F379" t="s">
        <v>77</v>
      </c>
      <c r="G379" t="s">
        <v>31</v>
      </c>
      <c r="H379" t="s">
        <v>31</v>
      </c>
      <c r="I379" t="s">
        <v>32</v>
      </c>
    </row>
    <row r="380" spans="1:9" x14ac:dyDescent="0.25">
      <c r="A380" t="s">
        <v>1864</v>
      </c>
      <c r="B380" t="s">
        <v>1858</v>
      </c>
      <c r="C380" t="s">
        <v>1859</v>
      </c>
      <c r="D380" s="2" t="s">
        <v>77</v>
      </c>
      <c r="E380" t="s">
        <v>81</v>
      </c>
      <c r="F380" t="s">
        <v>77</v>
      </c>
      <c r="G380" t="s">
        <v>31</v>
      </c>
      <c r="H380" t="s">
        <v>31</v>
      </c>
      <c r="I380" t="s">
        <v>32</v>
      </c>
    </row>
    <row r="381" spans="1:9" x14ac:dyDescent="0.25">
      <c r="A381" t="s">
        <v>1865</v>
      </c>
      <c r="B381" t="s">
        <v>1858</v>
      </c>
      <c r="C381" t="s">
        <v>1859</v>
      </c>
      <c r="D381" s="2">
        <v>0</v>
      </c>
      <c r="E381" t="s">
        <v>30</v>
      </c>
      <c r="F381" t="s">
        <v>77</v>
      </c>
      <c r="G381">
        <v>1</v>
      </c>
      <c r="H381">
        <v>100</v>
      </c>
      <c r="I381" t="s">
        <v>32</v>
      </c>
    </row>
    <row r="382" spans="1:9" x14ac:dyDescent="0.25">
      <c r="A382" t="s">
        <v>1866</v>
      </c>
      <c r="B382" t="s">
        <v>1858</v>
      </c>
      <c r="C382" t="s">
        <v>1859</v>
      </c>
      <c r="D382" s="2">
        <v>100</v>
      </c>
      <c r="E382" t="s">
        <v>30</v>
      </c>
      <c r="F382" t="s">
        <v>77</v>
      </c>
      <c r="G382">
        <v>1</v>
      </c>
      <c r="H382">
        <v>100</v>
      </c>
      <c r="I382" t="s">
        <v>32</v>
      </c>
    </row>
    <row r="383" spans="1:9" x14ac:dyDescent="0.25">
      <c r="A383" t="s">
        <v>1867</v>
      </c>
      <c r="B383" t="s">
        <v>1858</v>
      </c>
      <c r="C383" t="s">
        <v>1859</v>
      </c>
      <c r="D383" s="2" t="b">
        <v>1</v>
      </c>
      <c r="E383" t="s">
        <v>88</v>
      </c>
      <c r="F383" t="s">
        <v>77</v>
      </c>
      <c r="G383" t="s">
        <v>31</v>
      </c>
      <c r="H383" t="s">
        <v>31</v>
      </c>
      <c r="I383" t="s">
        <v>32</v>
      </c>
    </row>
    <row r="384" spans="1:9" x14ac:dyDescent="0.25">
      <c r="A384" t="s">
        <v>1868</v>
      </c>
      <c r="B384" t="s">
        <v>1869</v>
      </c>
      <c r="C384" t="s">
        <v>1870</v>
      </c>
      <c r="D384" s="3">
        <v>2</v>
      </c>
      <c r="E384" t="s">
        <v>30</v>
      </c>
      <c r="F384" t="s">
        <v>77</v>
      </c>
      <c r="G384">
        <v>1</v>
      </c>
      <c r="H384">
        <v>100</v>
      </c>
      <c r="I384" t="s">
        <v>1871</v>
      </c>
    </row>
    <row r="385" spans="1:9" x14ac:dyDescent="0.25">
      <c r="A385" t="s">
        <v>1872</v>
      </c>
      <c r="B385" t="s">
        <v>1869</v>
      </c>
      <c r="C385" t="s">
        <v>1870</v>
      </c>
      <c r="D385" s="2" t="s">
        <v>1795</v>
      </c>
      <c r="E385" t="s">
        <v>81</v>
      </c>
      <c r="F385" t="s">
        <v>77</v>
      </c>
      <c r="G385" t="s">
        <v>31</v>
      </c>
      <c r="H385" t="s">
        <v>31</v>
      </c>
      <c r="I385" t="s">
        <v>32</v>
      </c>
    </row>
    <row r="386" spans="1:9" x14ac:dyDescent="0.25">
      <c r="A386" t="s">
        <v>1873</v>
      </c>
      <c r="B386" t="s">
        <v>1869</v>
      </c>
      <c r="C386" t="s">
        <v>1870</v>
      </c>
      <c r="D386" s="2" t="s">
        <v>1870</v>
      </c>
      <c r="E386" t="s">
        <v>81</v>
      </c>
      <c r="F386" t="s">
        <v>77</v>
      </c>
      <c r="G386" t="s">
        <v>31</v>
      </c>
      <c r="H386" t="s">
        <v>31</v>
      </c>
      <c r="I386" t="s">
        <v>32</v>
      </c>
    </row>
    <row r="387" spans="1:9" x14ac:dyDescent="0.25">
      <c r="A387" t="s">
        <v>1874</v>
      </c>
      <c r="B387" t="s">
        <v>1869</v>
      </c>
      <c r="C387" t="s">
        <v>1870</v>
      </c>
      <c r="D387" s="2" t="s">
        <v>1871</v>
      </c>
      <c r="E387" t="s">
        <v>81</v>
      </c>
      <c r="F387" t="s">
        <v>77</v>
      </c>
      <c r="G387" t="s">
        <v>31</v>
      </c>
      <c r="H387" t="s">
        <v>31</v>
      </c>
      <c r="I387" t="s">
        <v>32</v>
      </c>
    </row>
    <row r="388" spans="1:9" x14ac:dyDescent="0.25">
      <c r="A388" t="s">
        <v>1875</v>
      </c>
      <c r="B388" t="s">
        <v>1869</v>
      </c>
      <c r="C388" t="s">
        <v>1870</v>
      </c>
      <c r="D388" s="2" t="s">
        <v>77</v>
      </c>
      <c r="E388" t="s">
        <v>81</v>
      </c>
      <c r="F388" t="s">
        <v>77</v>
      </c>
      <c r="G388" t="s">
        <v>31</v>
      </c>
      <c r="H388" t="s">
        <v>31</v>
      </c>
      <c r="I388" t="s">
        <v>32</v>
      </c>
    </row>
    <row r="389" spans="1:9" x14ac:dyDescent="0.25">
      <c r="A389" t="s">
        <v>1876</v>
      </c>
      <c r="B389" t="s">
        <v>1869</v>
      </c>
      <c r="C389" t="s">
        <v>1870</v>
      </c>
      <c r="D389" s="2">
        <v>0</v>
      </c>
      <c r="E389" t="s">
        <v>30</v>
      </c>
      <c r="F389" t="s">
        <v>77</v>
      </c>
      <c r="G389">
        <v>1</v>
      </c>
      <c r="H389">
        <v>100</v>
      </c>
      <c r="I389" t="s">
        <v>32</v>
      </c>
    </row>
    <row r="390" spans="1:9" x14ac:dyDescent="0.25">
      <c r="A390" t="s">
        <v>1877</v>
      </c>
      <c r="B390" t="s">
        <v>1869</v>
      </c>
      <c r="C390" t="s">
        <v>1870</v>
      </c>
      <c r="D390" s="2">
        <v>100</v>
      </c>
      <c r="E390" t="s">
        <v>30</v>
      </c>
      <c r="F390" t="s">
        <v>77</v>
      </c>
      <c r="G390">
        <v>1</v>
      </c>
      <c r="H390">
        <v>100</v>
      </c>
      <c r="I390" t="s">
        <v>32</v>
      </c>
    </row>
    <row r="391" spans="1:9" x14ac:dyDescent="0.25">
      <c r="A391" t="s">
        <v>1878</v>
      </c>
      <c r="B391" t="s">
        <v>1869</v>
      </c>
      <c r="C391" t="s">
        <v>1870</v>
      </c>
      <c r="D391" s="2" t="b">
        <v>1</v>
      </c>
      <c r="E391" t="s">
        <v>88</v>
      </c>
      <c r="F391" t="s">
        <v>77</v>
      </c>
      <c r="G391" t="s">
        <v>31</v>
      </c>
      <c r="H391" t="s">
        <v>31</v>
      </c>
      <c r="I391" t="s">
        <v>32</v>
      </c>
    </row>
    <row r="392" spans="1:9" x14ac:dyDescent="0.25">
      <c r="A392" t="s">
        <v>1879</v>
      </c>
      <c r="B392" t="s">
        <v>1880</v>
      </c>
      <c r="C392" t="s">
        <v>1881</v>
      </c>
      <c r="D392" s="3">
        <v>3</v>
      </c>
      <c r="E392" t="s">
        <v>30</v>
      </c>
      <c r="F392" t="s">
        <v>77</v>
      </c>
      <c r="G392">
        <v>1</v>
      </c>
      <c r="H392">
        <v>100</v>
      </c>
      <c r="I392" t="s">
        <v>1882</v>
      </c>
    </row>
    <row r="393" spans="1:9" x14ac:dyDescent="0.25">
      <c r="A393" t="s">
        <v>1883</v>
      </c>
      <c r="B393" t="s">
        <v>1880</v>
      </c>
      <c r="C393" t="s">
        <v>1881</v>
      </c>
      <c r="D393" s="2" t="s">
        <v>1795</v>
      </c>
      <c r="E393" t="s">
        <v>81</v>
      </c>
      <c r="F393" t="s">
        <v>77</v>
      </c>
      <c r="G393" t="s">
        <v>31</v>
      </c>
      <c r="H393" t="s">
        <v>31</v>
      </c>
      <c r="I393" t="s">
        <v>32</v>
      </c>
    </row>
    <row r="394" spans="1:9" x14ac:dyDescent="0.25">
      <c r="A394" t="s">
        <v>1884</v>
      </c>
      <c r="B394" t="s">
        <v>1880</v>
      </c>
      <c r="C394" t="s">
        <v>1881</v>
      </c>
      <c r="D394" s="2" t="s">
        <v>1881</v>
      </c>
      <c r="E394" t="s">
        <v>81</v>
      </c>
      <c r="F394" t="s">
        <v>77</v>
      </c>
      <c r="G394" t="s">
        <v>31</v>
      </c>
      <c r="H394" t="s">
        <v>31</v>
      </c>
      <c r="I394" t="s">
        <v>32</v>
      </c>
    </row>
    <row r="395" spans="1:9" x14ac:dyDescent="0.25">
      <c r="A395" t="s">
        <v>1885</v>
      </c>
      <c r="B395" t="s">
        <v>1880</v>
      </c>
      <c r="C395" t="s">
        <v>1881</v>
      </c>
      <c r="D395" s="2" t="s">
        <v>1882</v>
      </c>
      <c r="E395" t="s">
        <v>81</v>
      </c>
      <c r="F395" t="s">
        <v>77</v>
      </c>
      <c r="G395" t="s">
        <v>31</v>
      </c>
      <c r="H395" t="s">
        <v>31</v>
      </c>
      <c r="I395" t="s">
        <v>32</v>
      </c>
    </row>
    <row r="396" spans="1:9" x14ac:dyDescent="0.25">
      <c r="A396" t="s">
        <v>1886</v>
      </c>
      <c r="B396" t="s">
        <v>1880</v>
      </c>
      <c r="C396" t="s">
        <v>1881</v>
      </c>
      <c r="D396" s="2" t="s">
        <v>77</v>
      </c>
      <c r="E396" t="s">
        <v>81</v>
      </c>
      <c r="F396" t="s">
        <v>77</v>
      </c>
      <c r="G396" t="s">
        <v>31</v>
      </c>
      <c r="H396" t="s">
        <v>31</v>
      </c>
      <c r="I396" t="s">
        <v>32</v>
      </c>
    </row>
    <row r="397" spans="1:9" x14ac:dyDescent="0.25">
      <c r="A397" t="s">
        <v>1887</v>
      </c>
      <c r="B397" t="s">
        <v>1880</v>
      </c>
      <c r="C397" t="s">
        <v>1881</v>
      </c>
      <c r="D397" s="2">
        <v>0</v>
      </c>
      <c r="E397" t="s">
        <v>30</v>
      </c>
      <c r="F397" t="s">
        <v>77</v>
      </c>
      <c r="G397">
        <v>1</v>
      </c>
      <c r="H397">
        <v>100</v>
      </c>
      <c r="I397" t="s">
        <v>32</v>
      </c>
    </row>
    <row r="398" spans="1:9" x14ac:dyDescent="0.25">
      <c r="A398" t="s">
        <v>1888</v>
      </c>
      <c r="B398" t="s">
        <v>1880</v>
      </c>
      <c r="C398" t="s">
        <v>1881</v>
      </c>
      <c r="D398" s="2">
        <v>100</v>
      </c>
      <c r="E398" t="s">
        <v>30</v>
      </c>
      <c r="F398" t="s">
        <v>77</v>
      </c>
      <c r="G398">
        <v>1</v>
      </c>
      <c r="H398">
        <v>100</v>
      </c>
      <c r="I398" t="s">
        <v>32</v>
      </c>
    </row>
    <row r="399" spans="1:9" x14ac:dyDescent="0.25">
      <c r="A399" t="s">
        <v>1889</v>
      </c>
      <c r="B399" t="s">
        <v>1880</v>
      </c>
      <c r="C399" t="s">
        <v>1881</v>
      </c>
      <c r="D399" s="2" t="b">
        <v>1</v>
      </c>
      <c r="E399" t="s">
        <v>88</v>
      </c>
      <c r="F399" t="s">
        <v>77</v>
      </c>
      <c r="G399" t="s">
        <v>31</v>
      </c>
      <c r="H399" t="s">
        <v>31</v>
      </c>
      <c r="I399" t="s">
        <v>32</v>
      </c>
    </row>
    <row r="400" spans="1:9" x14ac:dyDescent="0.25">
      <c r="A400" t="s">
        <v>1890</v>
      </c>
      <c r="B400" t="s">
        <v>1891</v>
      </c>
      <c r="C400" t="s">
        <v>1892</v>
      </c>
      <c r="D400" s="3">
        <v>3</v>
      </c>
      <c r="E400" t="s">
        <v>30</v>
      </c>
      <c r="F400" t="s">
        <v>77</v>
      </c>
      <c r="G400">
        <v>1</v>
      </c>
      <c r="H400">
        <v>100</v>
      </c>
      <c r="I400" t="s">
        <v>1893</v>
      </c>
    </row>
    <row r="401" spans="1:9" x14ac:dyDescent="0.25">
      <c r="A401" t="s">
        <v>1894</v>
      </c>
      <c r="B401" t="s">
        <v>1891</v>
      </c>
      <c r="C401" t="s">
        <v>1892</v>
      </c>
      <c r="D401" s="2" t="s">
        <v>1795</v>
      </c>
      <c r="E401" t="s">
        <v>81</v>
      </c>
      <c r="F401" t="s">
        <v>77</v>
      </c>
      <c r="G401" t="s">
        <v>31</v>
      </c>
      <c r="H401" t="s">
        <v>31</v>
      </c>
      <c r="I401" t="s">
        <v>32</v>
      </c>
    </row>
    <row r="402" spans="1:9" x14ac:dyDescent="0.25">
      <c r="A402" t="s">
        <v>1895</v>
      </c>
      <c r="B402" t="s">
        <v>1891</v>
      </c>
      <c r="C402" t="s">
        <v>1892</v>
      </c>
      <c r="D402" s="2" t="s">
        <v>1892</v>
      </c>
      <c r="E402" t="s">
        <v>81</v>
      </c>
      <c r="F402" t="s">
        <v>77</v>
      </c>
      <c r="G402" t="s">
        <v>31</v>
      </c>
      <c r="H402" t="s">
        <v>31</v>
      </c>
      <c r="I402" t="s">
        <v>32</v>
      </c>
    </row>
    <row r="403" spans="1:9" x14ac:dyDescent="0.25">
      <c r="A403" t="s">
        <v>1896</v>
      </c>
      <c r="B403" t="s">
        <v>1891</v>
      </c>
      <c r="C403" t="s">
        <v>1892</v>
      </c>
      <c r="D403" s="2" t="s">
        <v>1893</v>
      </c>
      <c r="E403" t="s">
        <v>81</v>
      </c>
      <c r="F403" t="s">
        <v>77</v>
      </c>
      <c r="G403" t="s">
        <v>31</v>
      </c>
      <c r="H403" t="s">
        <v>31</v>
      </c>
      <c r="I403" t="s">
        <v>32</v>
      </c>
    </row>
    <row r="404" spans="1:9" x14ac:dyDescent="0.25">
      <c r="A404" t="s">
        <v>1897</v>
      </c>
      <c r="B404" t="s">
        <v>1891</v>
      </c>
      <c r="C404" t="s">
        <v>1892</v>
      </c>
      <c r="D404" s="2" t="s">
        <v>77</v>
      </c>
      <c r="E404" t="s">
        <v>81</v>
      </c>
      <c r="F404" t="s">
        <v>77</v>
      </c>
      <c r="G404" t="s">
        <v>31</v>
      </c>
      <c r="H404" t="s">
        <v>31</v>
      </c>
      <c r="I404" t="s">
        <v>32</v>
      </c>
    </row>
    <row r="405" spans="1:9" x14ac:dyDescent="0.25">
      <c r="A405" t="s">
        <v>1898</v>
      </c>
      <c r="B405" t="s">
        <v>1891</v>
      </c>
      <c r="C405" t="s">
        <v>1892</v>
      </c>
      <c r="D405" s="2">
        <v>0</v>
      </c>
      <c r="E405" t="s">
        <v>30</v>
      </c>
      <c r="F405" t="s">
        <v>77</v>
      </c>
      <c r="G405">
        <v>1</v>
      </c>
      <c r="H405">
        <v>100</v>
      </c>
      <c r="I405" t="s">
        <v>32</v>
      </c>
    </row>
    <row r="406" spans="1:9" x14ac:dyDescent="0.25">
      <c r="A406" t="s">
        <v>1899</v>
      </c>
      <c r="B406" t="s">
        <v>1891</v>
      </c>
      <c r="C406" t="s">
        <v>1892</v>
      </c>
      <c r="D406" s="2">
        <v>100</v>
      </c>
      <c r="E406" t="s">
        <v>30</v>
      </c>
      <c r="F406" t="s">
        <v>77</v>
      </c>
      <c r="G406">
        <v>1</v>
      </c>
      <c r="H406">
        <v>100</v>
      </c>
      <c r="I406" t="s">
        <v>32</v>
      </c>
    </row>
    <row r="407" spans="1:9" x14ac:dyDescent="0.25">
      <c r="A407" t="s">
        <v>1900</v>
      </c>
      <c r="B407" t="s">
        <v>1891</v>
      </c>
      <c r="C407" t="s">
        <v>1892</v>
      </c>
      <c r="D407" s="2" t="b">
        <v>1</v>
      </c>
      <c r="E407" t="s">
        <v>88</v>
      </c>
      <c r="F407" t="s">
        <v>77</v>
      </c>
      <c r="G407" t="s">
        <v>31</v>
      </c>
      <c r="H407" t="s">
        <v>31</v>
      </c>
      <c r="I407" t="s">
        <v>32</v>
      </c>
    </row>
    <row r="408" spans="1:9" x14ac:dyDescent="0.25">
      <c r="A408" t="s">
        <v>1901</v>
      </c>
      <c r="B408" t="s">
        <v>1902</v>
      </c>
      <c r="C408" t="s">
        <v>1903</v>
      </c>
      <c r="D408" s="3">
        <v>9</v>
      </c>
      <c r="E408" t="s">
        <v>30</v>
      </c>
      <c r="F408" t="s">
        <v>77</v>
      </c>
      <c r="G408">
        <v>1</v>
      </c>
      <c r="H408">
        <v>100</v>
      </c>
      <c r="I408" t="s">
        <v>1904</v>
      </c>
    </row>
    <row r="409" spans="1:9" x14ac:dyDescent="0.25">
      <c r="A409" t="s">
        <v>1905</v>
      </c>
      <c r="B409" t="s">
        <v>1902</v>
      </c>
      <c r="C409" t="s">
        <v>1903</v>
      </c>
      <c r="D409" s="2" t="s">
        <v>1795</v>
      </c>
      <c r="E409" t="s">
        <v>81</v>
      </c>
      <c r="F409" t="s">
        <v>77</v>
      </c>
      <c r="G409" t="s">
        <v>31</v>
      </c>
      <c r="H409" t="s">
        <v>31</v>
      </c>
      <c r="I409" t="s">
        <v>32</v>
      </c>
    </row>
    <row r="410" spans="1:9" x14ac:dyDescent="0.25">
      <c r="A410" t="s">
        <v>1906</v>
      </c>
      <c r="B410" t="s">
        <v>1902</v>
      </c>
      <c r="C410" t="s">
        <v>1903</v>
      </c>
      <c r="D410" s="2" t="s">
        <v>1903</v>
      </c>
      <c r="E410" t="s">
        <v>81</v>
      </c>
      <c r="F410" t="s">
        <v>77</v>
      </c>
      <c r="G410" t="s">
        <v>31</v>
      </c>
      <c r="H410" t="s">
        <v>31</v>
      </c>
      <c r="I410" t="s">
        <v>32</v>
      </c>
    </row>
    <row r="411" spans="1:9" x14ac:dyDescent="0.25">
      <c r="A411" t="s">
        <v>1907</v>
      </c>
      <c r="B411" t="s">
        <v>1902</v>
      </c>
      <c r="C411" t="s">
        <v>1903</v>
      </c>
      <c r="D411" s="2" t="s">
        <v>1904</v>
      </c>
      <c r="E411" t="s">
        <v>81</v>
      </c>
      <c r="F411" t="s">
        <v>77</v>
      </c>
      <c r="G411" t="s">
        <v>31</v>
      </c>
      <c r="H411" t="s">
        <v>31</v>
      </c>
      <c r="I411" t="s">
        <v>32</v>
      </c>
    </row>
    <row r="412" spans="1:9" x14ac:dyDescent="0.25">
      <c r="A412" t="s">
        <v>1908</v>
      </c>
      <c r="B412" t="s">
        <v>1902</v>
      </c>
      <c r="C412" t="s">
        <v>1903</v>
      </c>
      <c r="D412" s="2" t="s">
        <v>77</v>
      </c>
      <c r="E412" t="s">
        <v>81</v>
      </c>
      <c r="F412" t="s">
        <v>77</v>
      </c>
      <c r="G412" t="s">
        <v>31</v>
      </c>
      <c r="H412" t="s">
        <v>31</v>
      </c>
      <c r="I412" t="s">
        <v>32</v>
      </c>
    </row>
    <row r="413" spans="1:9" x14ac:dyDescent="0.25">
      <c r="A413" t="s">
        <v>1909</v>
      </c>
      <c r="B413" t="s">
        <v>1902</v>
      </c>
      <c r="C413" t="s">
        <v>1903</v>
      </c>
      <c r="D413" s="2">
        <v>0</v>
      </c>
      <c r="E413" t="s">
        <v>30</v>
      </c>
      <c r="F413" t="s">
        <v>77</v>
      </c>
      <c r="G413">
        <v>1</v>
      </c>
      <c r="H413">
        <v>100</v>
      </c>
      <c r="I413" t="s">
        <v>32</v>
      </c>
    </row>
    <row r="414" spans="1:9" x14ac:dyDescent="0.25">
      <c r="A414" t="s">
        <v>1910</v>
      </c>
      <c r="B414" t="s">
        <v>1902</v>
      </c>
      <c r="C414" t="s">
        <v>1903</v>
      </c>
      <c r="D414" s="2">
        <v>100</v>
      </c>
      <c r="E414" t="s">
        <v>30</v>
      </c>
      <c r="F414" t="s">
        <v>77</v>
      </c>
      <c r="G414">
        <v>1</v>
      </c>
      <c r="H414">
        <v>100</v>
      </c>
      <c r="I414" t="s">
        <v>32</v>
      </c>
    </row>
    <row r="415" spans="1:9" x14ac:dyDescent="0.25">
      <c r="A415" t="s">
        <v>1911</v>
      </c>
      <c r="B415" t="s">
        <v>1902</v>
      </c>
      <c r="C415" t="s">
        <v>1903</v>
      </c>
      <c r="D415" s="2" t="b">
        <v>1</v>
      </c>
      <c r="E415" t="s">
        <v>88</v>
      </c>
      <c r="F415" t="s">
        <v>77</v>
      </c>
      <c r="G415" t="s">
        <v>31</v>
      </c>
      <c r="H415" t="s">
        <v>31</v>
      </c>
      <c r="I415" t="s">
        <v>32</v>
      </c>
    </row>
    <row r="416" spans="1:9" x14ac:dyDescent="0.25">
      <c r="A416" t="s">
        <v>1912</v>
      </c>
      <c r="B416" t="s">
        <v>1913</v>
      </c>
      <c r="C416" t="s">
        <v>1914</v>
      </c>
      <c r="D416" s="3">
        <v>2</v>
      </c>
      <c r="E416" t="s">
        <v>30</v>
      </c>
      <c r="F416" t="s">
        <v>77</v>
      </c>
      <c r="G416">
        <v>1</v>
      </c>
      <c r="H416">
        <v>100</v>
      </c>
      <c r="I416" t="s">
        <v>1915</v>
      </c>
    </row>
    <row r="417" spans="1:9" x14ac:dyDescent="0.25">
      <c r="A417" t="s">
        <v>1916</v>
      </c>
      <c r="B417" t="s">
        <v>1913</v>
      </c>
      <c r="C417" t="s">
        <v>1914</v>
      </c>
      <c r="D417" s="2" t="s">
        <v>1795</v>
      </c>
      <c r="E417" t="s">
        <v>81</v>
      </c>
      <c r="F417" t="s">
        <v>77</v>
      </c>
      <c r="G417" t="s">
        <v>31</v>
      </c>
      <c r="H417" t="s">
        <v>31</v>
      </c>
      <c r="I417" t="s">
        <v>32</v>
      </c>
    </row>
    <row r="418" spans="1:9" x14ac:dyDescent="0.25">
      <c r="A418" t="s">
        <v>1917</v>
      </c>
      <c r="B418" t="s">
        <v>1913</v>
      </c>
      <c r="C418" t="s">
        <v>1914</v>
      </c>
      <c r="D418" s="2" t="s">
        <v>1914</v>
      </c>
      <c r="E418" t="s">
        <v>81</v>
      </c>
      <c r="F418" t="s">
        <v>77</v>
      </c>
      <c r="G418" t="s">
        <v>31</v>
      </c>
      <c r="H418" t="s">
        <v>31</v>
      </c>
      <c r="I418" t="s">
        <v>32</v>
      </c>
    </row>
    <row r="419" spans="1:9" x14ac:dyDescent="0.25">
      <c r="A419" t="s">
        <v>1918</v>
      </c>
      <c r="B419" t="s">
        <v>1913</v>
      </c>
      <c r="C419" t="s">
        <v>1914</v>
      </c>
      <c r="D419" s="2" t="s">
        <v>1915</v>
      </c>
      <c r="E419" t="s">
        <v>81</v>
      </c>
      <c r="F419" t="s">
        <v>77</v>
      </c>
      <c r="G419" t="s">
        <v>31</v>
      </c>
      <c r="H419" t="s">
        <v>31</v>
      </c>
      <c r="I419" t="s">
        <v>32</v>
      </c>
    </row>
    <row r="420" spans="1:9" x14ac:dyDescent="0.25">
      <c r="A420" t="s">
        <v>1919</v>
      </c>
      <c r="B420" t="s">
        <v>1913</v>
      </c>
      <c r="C420" t="s">
        <v>1914</v>
      </c>
      <c r="D420" s="2" t="s">
        <v>77</v>
      </c>
      <c r="E420" t="s">
        <v>81</v>
      </c>
      <c r="F420" t="s">
        <v>77</v>
      </c>
      <c r="G420" t="s">
        <v>31</v>
      </c>
      <c r="H420" t="s">
        <v>31</v>
      </c>
      <c r="I420" t="s">
        <v>32</v>
      </c>
    </row>
    <row r="421" spans="1:9" x14ac:dyDescent="0.25">
      <c r="A421" t="s">
        <v>1920</v>
      </c>
      <c r="B421" t="s">
        <v>1913</v>
      </c>
      <c r="C421" t="s">
        <v>1914</v>
      </c>
      <c r="D421" s="2">
        <v>0</v>
      </c>
      <c r="E421" t="s">
        <v>30</v>
      </c>
      <c r="F421" t="s">
        <v>77</v>
      </c>
      <c r="G421">
        <v>1</v>
      </c>
      <c r="H421">
        <v>100</v>
      </c>
      <c r="I421" t="s">
        <v>32</v>
      </c>
    </row>
    <row r="422" spans="1:9" x14ac:dyDescent="0.25">
      <c r="A422" t="s">
        <v>1921</v>
      </c>
      <c r="B422" t="s">
        <v>1913</v>
      </c>
      <c r="C422" t="s">
        <v>1914</v>
      </c>
      <c r="D422" s="2">
        <v>100</v>
      </c>
      <c r="E422" t="s">
        <v>30</v>
      </c>
      <c r="F422" t="s">
        <v>77</v>
      </c>
      <c r="G422">
        <v>1</v>
      </c>
      <c r="H422">
        <v>100</v>
      </c>
      <c r="I422" t="s">
        <v>32</v>
      </c>
    </row>
    <row r="423" spans="1:9" x14ac:dyDescent="0.25">
      <c r="A423" t="s">
        <v>1922</v>
      </c>
      <c r="B423" t="s">
        <v>1913</v>
      </c>
      <c r="C423" t="s">
        <v>1914</v>
      </c>
      <c r="D423" s="2" t="b">
        <v>1</v>
      </c>
      <c r="E423" t="s">
        <v>88</v>
      </c>
      <c r="F423" t="s">
        <v>77</v>
      </c>
      <c r="G423" t="s">
        <v>31</v>
      </c>
      <c r="H423" t="s">
        <v>31</v>
      </c>
      <c r="I423" t="s">
        <v>32</v>
      </c>
    </row>
    <row r="424" spans="1:9" x14ac:dyDescent="0.25">
      <c r="A424" t="s">
        <v>1923</v>
      </c>
      <c r="B424" t="s">
        <v>1924</v>
      </c>
      <c r="C424" t="s">
        <v>1925</v>
      </c>
      <c r="D424" s="3">
        <v>6</v>
      </c>
      <c r="E424" t="s">
        <v>30</v>
      </c>
      <c r="F424" t="s">
        <v>77</v>
      </c>
      <c r="G424">
        <v>1</v>
      </c>
      <c r="H424">
        <v>100</v>
      </c>
      <c r="I424" t="s">
        <v>1926</v>
      </c>
    </row>
    <row r="425" spans="1:9" x14ac:dyDescent="0.25">
      <c r="A425" t="s">
        <v>1927</v>
      </c>
      <c r="B425" t="s">
        <v>1924</v>
      </c>
      <c r="C425" t="s">
        <v>1925</v>
      </c>
      <c r="D425" s="2" t="s">
        <v>1795</v>
      </c>
      <c r="E425" t="s">
        <v>81</v>
      </c>
      <c r="F425" t="s">
        <v>77</v>
      </c>
      <c r="G425" t="s">
        <v>31</v>
      </c>
      <c r="H425" t="s">
        <v>31</v>
      </c>
      <c r="I425" t="s">
        <v>32</v>
      </c>
    </row>
    <row r="426" spans="1:9" x14ac:dyDescent="0.25">
      <c r="A426" t="s">
        <v>1928</v>
      </c>
      <c r="B426" t="s">
        <v>1924</v>
      </c>
      <c r="C426" t="s">
        <v>1925</v>
      </c>
      <c r="D426" s="2" t="s">
        <v>1925</v>
      </c>
      <c r="E426" t="s">
        <v>81</v>
      </c>
      <c r="F426" t="s">
        <v>77</v>
      </c>
      <c r="G426" t="s">
        <v>31</v>
      </c>
      <c r="H426" t="s">
        <v>31</v>
      </c>
      <c r="I426" t="s">
        <v>32</v>
      </c>
    </row>
    <row r="427" spans="1:9" x14ac:dyDescent="0.25">
      <c r="A427" t="s">
        <v>1929</v>
      </c>
      <c r="B427" t="s">
        <v>1924</v>
      </c>
      <c r="C427" t="s">
        <v>1925</v>
      </c>
      <c r="D427" s="2" t="s">
        <v>1926</v>
      </c>
      <c r="E427" t="s">
        <v>81</v>
      </c>
      <c r="F427" t="s">
        <v>77</v>
      </c>
      <c r="G427" t="s">
        <v>31</v>
      </c>
      <c r="H427" t="s">
        <v>31</v>
      </c>
      <c r="I427" t="s">
        <v>32</v>
      </c>
    </row>
    <row r="428" spans="1:9" x14ac:dyDescent="0.25">
      <c r="A428" t="s">
        <v>1930</v>
      </c>
      <c r="B428" t="s">
        <v>1924</v>
      </c>
      <c r="C428" t="s">
        <v>1925</v>
      </c>
      <c r="D428" s="2" t="s">
        <v>77</v>
      </c>
      <c r="E428" t="s">
        <v>81</v>
      </c>
      <c r="F428" t="s">
        <v>77</v>
      </c>
      <c r="G428" t="s">
        <v>31</v>
      </c>
      <c r="H428" t="s">
        <v>31</v>
      </c>
      <c r="I428" t="s">
        <v>32</v>
      </c>
    </row>
    <row r="429" spans="1:9" x14ac:dyDescent="0.25">
      <c r="A429" t="s">
        <v>1931</v>
      </c>
      <c r="B429" t="s">
        <v>1924</v>
      </c>
      <c r="C429" t="s">
        <v>1925</v>
      </c>
      <c r="D429" s="2">
        <v>0</v>
      </c>
      <c r="E429" t="s">
        <v>30</v>
      </c>
      <c r="F429" t="s">
        <v>77</v>
      </c>
      <c r="G429">
        <v>1</v>
      </c>
      <c r="H429">
        <v>100</v>
      </c>
      <c r="I429" t="s">
        <v>32</v>
      </c>
    </row>
    <row r="430" spans="1:9" x14ac:dyDescent="0.25">
      <c r="A430" t="s">
        <v>1932</v>
      </c>
      <c r="B430" t="s">
        <v>1924</v>
      </c>
      <c r="C430" t="s">
        <v>1925</v>
      </c>
      <c r="D430" s="2">
        <v>100</v>
      </c>
      <c r="E430" t="s">
        <v>30</v>
      </c>
      <c r="F430" t="s">
        <v>77</v>
      </c>
      <c r="G430">
        <v>1</v>
      </c>
      <c r="H430">
        <v>100</v>
      </c>
      <c r="I430" t="s">
        <v>32</v>
      </c>
    </row>
    <row r="431" spans="1:9" x14ac:dyDescent="0.25">
      <c r="A431" t="s">
        <v>1933</v>
      </c>
      <c r="B431" t="s">
        <v>1924</v>
      </c>
      <c r="C431" t="s">
        <v>1925</v>
      </c>
      <c r="D431" s="2" t="b">
        <v>1</v>
      </c>
      <c r="E431" t="s">
        <v>88</v>
      </c>
      <c r="F431" t="s">
        <v>77</v>
      </c>
      <c r="G431" t="s">
        <v>31</v>
      </c>
      <c r="H431" t="s">
        <v>31</v>
      </c>
      <c r="I431" t="s">
        <v>32</v>
      </c>
    </row>
    <row r="432" spans="1:9" x14ac:dyDescent="0.25">
      <c r="A432" t="s">
        <v>1934</v>
      </c>
      <c r="B432" t="s">
        <v>1935</v>
      </c>
      <c r="C432" t="s">
        <v>1936</v>
      </c>
      <c r="D432" s="3">
        <v>7</v>
      </c>
      <c r="E432" t="s">
        <v>30</v>
      </c>
      <c r="F432" t="s">
        <v>77</v>
      </c>
      <c r="G432">
        <v>1</v>
      </c>
      <c r="H432">
        <v>100</v>
      </c>
      <c r="I432" t="s">
        <v>1937</v>
      </c>
    </row>
    <row r="433" spans="1:9" x14ac:dyDescent="0.25">
      <c r="A433" t="s">
        <v>1938</v>
      </c>
      <c r="B433" t="s">
        <v>1935</v>
      </c>
      <c r="C433" t="s">
        <v>1936</v>
      </c>
      <c r="D433" s="2" t="s">
        <v>1795</v>
      </c>
      <c r="E433" t="s">
        <v>81</v>
      </c>
      <c r="F433" t="s">
        <v>77</v>
      </c>
      <c r="G433" t="s">
        <v>31</v>
      </c>
      <c r="H433" t="s">
        <v>31</v>
      </c>
      <c r="I433" t="s">
        <v>32</v>
      </c>
    </row>
    <row r="434" spans="1:9" x14ac:dyDescent="0.25">
      <c r="A434" t="s">
        <v>1939</v>
      </c>
      <c r="B434" t="s">
        <v>1935</v>
      </c>
      <c r="C434" t="s">
        <v>1936</v>
      </c>
      <c r="D434" s="2" t="s">
        <v>1936</v>
      </c>
      <c r="E434" t="s">
        <v>81</v>
      </c>
      <c r="F434" t="s">
        <v>77</v>
      </c>
      <c r="G434" t="s">
        <v>31</v>
      </c>
      <c r="H434" t="s">
        <v>31</v>
      </c>
      <c r="I434" t="s">
        <v>32</v>
      </c>
    </row>
    <row r="435" spans="1:9" x14ac:dyDescent="0.25">
      <c r="A435" t="s">
        <v>1940</v>
      </c>
      <c r="B435" t="s">
        <v>1935</v>
      </c>
      <c r="C435" t="s">
        <v>1936</v>
      </c>
      <c r="D435" s="2" t="s">
        <v>1937</v>
      </c>
      <c r="E435" t="s">
        <v>81</v>
      </c>
      <c r="F435" t="s">
        <v>77</v>
      </c>
      <c r="G435" t="s">
        <v>31</v>
      </c>
      <c r="H435" t="s">
        <v>31</v>
      </c>
      <c r="I435" t="s">
        <v>32</v>
      </c>
    </row>
    <row r="436" spans="1:9" x14ac:dyDescent="0.25">
      <c r="A436" t="s">
        <v>1941</v>
      </c>
      <c r="B436" t="s">
        <v>1935</v>
      </c>
      <c r="C436" t="s">
        <v>1936</v>
      </c>
      <c r="D436" s="2" t="s">
        <v>77</v>
      </c>
      <c r="E436" t="s">
        <v>81</v>
      </c>
      <c r="F436" t="s">
        <v>77</v>
      </c>
      <c r="G436" t="s">
        <v>31</v>
      </c>
      <c r="H436" t="s">
        <v>31</v>
      </c>
      <c r="I436" t="s">
        <v>32</v>
      </c>
    </row>
    <row r="437" spans="1:9" x14ac:dyDescent="0.25">
      <c r="A437" t="s">
        <v>1942</v>
      </c>
      <c r="B437" t="s">
        <v>1935</v>
      </c>
      <c r="C437" t="s">
        <v>1936</v>
      </c>
      <c r="D437" s="2">
        <v>0</v>
      </c>
      <c r="E437" t="s">
        <v>30</v>
      </c>
      <c r="F437" t="s">
        <v>77</v>
      </c>
      <c r="G437">
        <v>1</v>
      </c>
      <c r="H437">
        <v>100</v>
      </c>
      <c r="I437" t="s">
        <v>32</v>
      </c>
    </row>
    <row r="438" spans="1:9" x14ac:dyDescent="0.25">
      <c r="A438" t="s">
        <v>1943</v>
      </c>
      <c r="B438" t="s">
        <v>1935</v>
      </c>
      <c r="C438" t="s">
        <v>1936</v>
      </c>
      <c r="D438" s="2">
        <v>100</v>
      </c>
      <c r="E438" t="s">
        <v>30</v>
      </c>
      <c r="F438" t="s">
        <v>77</v>
      </c>
      <c r="G438">
        <v>1</v>
      </c>
      <c r="H438">
        <v>100</v>
      </c>
      <c r="I438" t="s">
        <v>32</v>
      </c>
    </row>
    <row r="439" spans="1:9" x14ac:dyDescent="0.25">
      <c r="A439" t="s">
        <v>1944</v>
      </c>
      <c r="B439" t="s">
        <v>1935</v>
      </c>
      <c r="C439" t="s">
        <v>1936</v>
      </c>
      <c r="D439" s="2" t="b">
        <v>1</v>
      </c>
      <c r="E439" t="s">
        <v>88</v>
      </c>
      <c r="F439" t="s">
        <v>77</v>
      </c>
      <c r="G439" t="s">
        <v>31</v>
      </c>
      <c r="H439" t="s">
        <v>31</v>
      </c>
      <c r="I439" t="s">
        <v>32</v>
      </c>
    </row>
    <row r="440" spans="1:9" x14ac:dyDescent="0.25">
      <c r="A440" t="s">
        <v>1945</v>
      </c>
      <c r="B440" t="s">
        <v>1946</v>
      </c>
      <c r="C440" t="s">
        <v>1947</v>
      </c>
      <c r="D440" s="3">
        <v>2</v>
      </c>
      <c r="E440" t="s">
        <v>30</v>
      </c>
      <c r="F440" t="s">
        <v>77</v>
      </c>
      <c r="G440">
        <v>1</v>
      </c>
      <c r="H440">
        <v>100</v>
      </c>
      <c r="I440" t="s">
        <v>1948</v>
      </c>
    </row>
    <row r="441" spans="1:9" x14ac:dyDescent="0.25">
      <c r="A441" t="s">
        <v>1949</v>
      </c>
      <c r="B441" t="s">
        <v>1946</v>
      </c>
      <c r="C441" t="s">
        <v>1947</v>
      </c>
      <c r="D441" s="2" t="s">
        <v>1795</v>
      </c>
      <c r="E441" t="s">
        <v>81</v>
      </c>
      <c r="F441" t="s">
        <v>77</v>
      </c>
      <c r="G441" t="s">
        <v>31</v>
      </c>
      <c r="H441" t="s">
        <v>31</v>
      </c>
      <c r="I441" t="s">
        <v>32</v>
      </c>
    </row>
    <row r="442" spans="1:9" x14ac:dyDescent="0.25">
      <c r="A442" t="s">
        <v>1950</v>
      </c>
      <c r="B442" t="s">
        <v>1946</v>
      </c>
      <c r="C442" t="s">
        <v>1947</v>
      </c>
      <c r="D442" s="2" t="s">
        <v>1947</v>
      </c>
      <c r="E442" t="s">
        <v>81</v>
      </c>
      <c r="F442" t="s">
        <v>77</v>
      </c>
      <c r="G442" t="s">
        <v>31</v>
      </c>
      <c r="H442" t="s">
        <v>31</v>
      </c>
      <c r="I442" t="s">
        <v>32</v>
      </c>
    </row>
    <row r="443" spans="1:9" x14ac:dyDescent="0.25">
      <c r="A443" t="s">
        <v>1951</v>
      </c>
      <c r="B443" t="s">
        <v>1946</v>
      </c>
      <c r="C443" t="s">
        <v>1947</v>
      </c>
      <c r="D443" s="2" t="s">
        <v>1948</v>
      </c>
      <c r="E443" t="s">
        <v>81</v>
      </c>
      <c r="F443" t="s">
        <v>77</v>
      </c>
      <c r="G443" t="s">
        <v>31</v>
      </c>
      <c r="H443" t="s">
        <v>31</v>
      </c>
      <c r="I443" t="s">
        <v>32</v>
      </c>
    </row>
    <row r="444" spans="1:9" x14ac:dyDescent="0.25">
      <c r="A444" t="s">
        <v>1952</v>
      </c>
      <c r="B444" t="s">
        <v>1946</v>
      </c>
      <c r="C444" t="s">
        <v>1947</v>
      </c>
      <c r="D444" s="2" t="s">
        <v>77</v>
      </c>
      <c r="E444" t="s">
        <v>81</v>
      </c>
      <c r="F444" t="s">
        <v>77</v>
      </c>
      <c r="G444" t="s">
        <v>31</v>
      </c>
      <c r="H444" t="s">
        <v>31</v>
      </c>
      <c r="I444" t="s">
        <v>32</v>
      </c>
    </row>
    <row r="445" spans="1:9" x14ac:dyDescent="0.25">
      <c r="A445" t="s">
        <v>1953</v>
      </c>
      <c r="B445" t="s">
        <v>1946</v>
      </c>
      <c r="C445" t="s">
        <v>1947</v>
      </c>
      <c r="D445" s="2">
        <v>0</v>
      </c>
      <c r="E445" t="s">
        <v>30</v>
      </c>
      <c r="F445" t="s">
        <v>77</v>
      </c>
      <c r="G445">
        <v>1</v>
      </c>
      <c r="H445">
        <v>100</v>
      </c>
      <c r="I445" t="s">
        <v>32</v>
      </c>
    </row>
    <row r="446" spans="1:9" x14ac:dyDescent="0.25">
      <c r="A446" t="s">
        <v>1954</v>
      </c>
      <c r="B446" t="s">
        <v>1946</v>
      </c>
      <c r="C446" t="s">
        <v>1947</v>
      </c>
      <c r="D446" s="2">
        <v>100</v>
      </c>
      <c r="E446" t="s">
        <v>30</v>
      </c>
      <c r="F446" t="s">
        <v>77</v>
      </c>
      <c r="G446">
        <v>1</v>
      </c>
      <c r="H446">
        <v>100</v>
      </c>
      <c r="I446" t="s">
        <v>32</v>
      </c>
    </row>
    <row r="447" spans="1:9" x14ac:dyDescent="0.25">
      <c r="A447" t="s">
        <v>1955</v>
      </c>
      <c r="B447" t="s">
        <v>1946</v>
      </c>
      <c r="C447" t="s">
        <v>1947</v>
      </c>
      <c r="D447" s="2" t="b">
        <v>1</v>
      </c>
      <c r="E447" t="s">
        <v>88</v>
      </c>
      <c r="F447" t="s">
        <v>77</v>
      </c>
      <c r="G447" t="s">
        <v>31</v>
      </c>
      <c r="H447" t="s">
        <v>31</v>
      </c>
      <c r="I447" t="s">
        <v>32</v>
      </c>
    </row>
    <row r="448" spans="1:9" x14ac:dyDescent="0.25">
      <c r="A448" t="s">
        <v>1956</v>
      </c>
      <c r="B448" t="s">
        <v>1957</v>
      </c>
      <c r="C448" t="s">
        <v>1958</v>
      </c>
      <c r="D448" s="3">
        <v>8</v>
      </c>
      <c r="E448" t="s">
        <v>30</v>
      </c>
      <c r="F448" t="s">
        <v>77</v>
      </c>
      <c r="G448">
        <v>1</v>
      </c>
      <c r="H448">
        <v>100</v>
      </c>
      <c r="I448" t="s">
        <v>1959</v>
      </c>
    </row>
    <row r="449" spans="1:9" x14ac:dyDescent="0.25">
      <c r="A449" t="s">
        <v>1960</v>
      </c>
      <c r="B449" t="s">
        <v>1957</v>
      </c>
      <c r="C449" t="s">
        <v>1958</v>
      </c>
      <c r="D449" s="2" t="s">
        <v>1795</v>
      </c>
      <c r="E449" t="s">
        <v>81</v>
      </c>
      <c r="F449" t="s">
        <v>77</v>
      </c>
      <c r="G449" t="s">
        <v>31</v>
      </c>
      <c r="H449" t="s">
        <v>31</v>
      </c>
      <c r="I449" t="s">
        <v>32</v>
      </c>
    </row>
    <row r="450" spans="1:9" x14ac:dyDescent="0.25">
      <c r="A450" t="s">
        <v>1961</v>
      </c>
      <c r="B450" t="s">
        <v>1957</v>
      </c>
      <c r="C450" t="s">
        <v>1958</v>
      </c>
      <c r="D450" s="2" t="s">
        <v>1958</v>
      </c>
      <c r="E450" t="s">
        <v>81</v>
      </c>
      <c r="F450" t="s">
        <v>77</v>
      </c>
      <c r="G450" t="s">
        <v>31</v>
      </c>
      <c r="H450" t="s">
        <v>31</v>
      </c>
      <c r="I450" t="s">
        <v>32</v>
      </c>
    </row>
    <row r="451" spans="1:9" x14ac:dyDescent="0.25">
      <c r="A451" t="s">
        <v>1962</v>
      </c>
      <c r="B451" t="s">
        <v>1957</v>
      </c>
      <c r="C451" t="s">
        <v>1958</v>
      </c>
      <c r="D451" s="2" t="s">
        <v>1959</v>
      </c>
      <c r="E451" t="s">
        <v>81</v>
      </c>
      <c r="F451" t="s">
        <v>77</v>
      </c>
      <c r="G451" t="s">
        <v>31</v>
      </c>
      <c r="H451" t="s">
        <v>31</v>
      </c>
      <c r="I451" t="s">
        <v>32</v>
      </c>
    </row>
    <row r="452" spans="1:9" x14ac:dyDescent="0.25">
      <c r="A452" t="s">
        <v>1963</v>
      </c>
      <c r="B452" t="s">
        <v>1957</v>
      </c>
      <c r="C452" t="s">
        <v>1958</v>
      </c>
      <c r="D452" s="2" t="s">
        <v>77</v>
      </c>
      <c r="E452" t="s">
        <v>81</v>
      </c>
      <c r="F452" t="s">
        <v>77</v>
      </c>
      <c r="G452" t="s">
        <v>31</v>
      </c>
      <c r="H452" t="s">
        <v>31</v>
      </c>
      <c r="I452" t="s">
        <v>32</v>
      </c>
    </row>
    <row r="453" spans="1:9" x14ac:dyDescent="0.25">
      <c r="A453" t="s">
        <v>1964</v>
      </c>
      <c r="B453" t="s">
        <v>1957</v>
      </c>
      <c r="C453" t="s">
        <v>1958</v>
      </c>
      <c r="D453" s="2">
        <v>0</v>
      </c>
      <c r="E453" t="s">
        <v>30</v>
      </c>
      <c r="F453" t="s">
        <v>77</v>
      </c>
      <c r="G453">
        <v>1</v>
      </c>
      <c r="H453">
        <v>100</v>
      </c>
      <c r="I453" t="s">
        <v>32</v>
      </c>
    </row>
    <row r="454" spans="1:9" x14ac:dyDescent="0.25">
      <c r="A454" t="s">
        <v>1965</v>
      </c>
      <c r="B454" t="s">
        <v>1957</v>
      </c>
      <c r="C454" t="s">
        <v>1958</v>
      </c>
      <c r="D454" s="2">
        <v>100</v>
      </c>
      <c r="E454" t="s">
        <v>30</v>
      </c>
      <c r="F454" t="s">
        <v>77</v>
      </c>
      <c r="G454">
        <v>1</v>
      </c>
      <c r="H454">
        <v>100</v>
      </c>
      <c r="I454" t="s">
        <v>32</v>
      </c>
    </row>
    <row r="455" spans="1:9" x14ac:dyDescent="0.25">
      <c r="A455" t="s">
        <v>1966</v>
      </c>
      <c r="B455" t="s">
        <v>1957</v>
      </c>
      <c r="C455" t="s">
        <v>1958</v>
      </c>
      <c r="D455" s="2" t="b">
        <v>1</v>
      </c>
      <c r="E455" t="s">
        <v>88</v>
      </c>
      <c r="F455" t="s">
        <v>77</v>
      </c>
      <c r="G455" t="s">
        <v>31</v>
      </c>
      <c r="H455" t="s">
        <v>31</v>
      </c>
      <c r="I455" t="s">
        <v>32</v>
      </c>
    </row>
    <row r="456" spans="1:9" x14ac:dyDescent="0.25">
      <c r="A456" t="s">
        <v>1967</v>
      </c>
      <c r="B456" t="s">
        <v>1968</v>
      </c>
      <c r="C456" t="s">
        <v>1969</v>
      </c>
      <c r="D456" s="3">
        <v>4</v>
      </c>
      <c r="E456" t="s">
        <v>30</v>
      </c>
      <c r="F456" t="s">
        <v>77</v>
      </c>
      <c r="G456">
        <v>1</v>
      </c>
      <c r="H456">
        <v>100</v>
      </c>
      <c r="I456" t="s">
        <v>1970</v>
      </c>
    </row>
    <row r="457" spans="1:9" x14ac:dyDescent="0.25">
      <c r="A457" t="s">
        <v>1971</v>
      </c>
      <c r="B457" t="s">
        <v>1968</v>
      </c>
      <c r="C457" t="s">
        <v>1969</v>
      </c>
      <c r="D457" s="2" t="s">
        <v>1795</v>
      </c>
      <c r="E457" t="s">
        <v>81</v>
      </c>
      <c r="F457" t="s">
        <v>77</v>
      </c>
      <c r="G457" t="s">
        <v>31</v>
      </c>
      <c r="H457" t="s">
        <v>31</v>
      </c>
      <c r="I457" t="s">
        <v>32</v>
      </c>
    </row>
    <row r="458" spans="1:9" x14ac:dyDescent="0.25">
      <c r="A458" t="s">
        <v>1972</v>
      </c>
      <c r="B458" t="s">
        <v>1968</v>
      </c>
      <c r="C458" t="s">
        <v>1969</v>
      </c>
      <c r="D458" s="2" t="s">
        <v>1969</v>
      </c>
      <c r="E458" t="s">
        <v>81</v>
      </c>
      <c r="F458" t="s">
        <v>77</v>
      </c>
      <c r="G458" t="s">
        <v>31</v>
      </c>
      <c r="H458" t="s">
        <v>31</v>
      </c>
      <c r="I458" t="s">
        <v>32</v>
      </c>
    </row>
    <row r="459" spans="1:9" x14ac:dyDescent="0.25">
      <c r="A459" t="s">
        <v>1973</v>
      </c>
      <c r="B459" t="s">
        <v>1968</v>
      </c>
      <c r="C459" t="s">
        <v>1969</v>
      </c>
      <c r="D459" s="2" t="s">
        <v>1970</v>
      </c>
      <c r="E459" t="s">
        <v>81</v>
      </c>
      <c r="F459" t="s">
        <v>77</v>
      </c>
      <c r="G459" t="s">
        <v>31</v>
      </c>
      <c r="H459" t="s">
        <v>31</v>
      </c>
      <c r="I459" t="s">
        <v>32</v>
      </c>
    </row>
    <row r="460" spans="1:9" x14ac:dyDescent="0.25">
      <c r="A460" t="s">
        <v>1974</v>
      </c>
      <c r="B460" t="s">
        <v>1968</v>
      </c>
      <c r="C460" t="s">
        <v>1969</v>
      </c>
      <c r="D460" s="2" t="s">
        <v>77</v>
      </c>
      <c r="E460" t="s">
        <v>81</v>
      </c>
      <c r="F460" t="s">
        <v>77</v>
      </c>
      <c r="G460" t="s">
        <v>31</v>
      </c>
      <c r="H460" t="s">
        <v>31</v>
      </c>
      <c r="I460" t="s">
        <v>32</v>
      </c>
    </row>
    <row r="461" spans="1:9" x14ac:dyDescent="0.25">
      <c r="A461" t="s">
        <v>1975</v>
      </c>
      <c r="B461" t="s">
        <v>1968</v>
      </c>
      <c r="C461" t="s">
        <v>1969</v>
      </c>
      <c r="D461" s="2">
        <v>0</v>
      </c>
      <c r="E461" t="s">
        <v>30</v>
      </c>
      <c r="F461" t="s">
        <v>77</v>
      </c>
      <c r="G461">
        <v>1</v>
      </c>
      <c r="H461">
        <v>100</v>
      </c>
      <c r="I461" t="s">
        <v>32</v>
      </c>
    </row>
    <row r="462" spans="1:9" x14ac:dyDescent="0.25">
      <c r="A462" t="s">
        <v>1976</v>
      </c>
      <c r="B462" t="s">
        <v>1968</v>
      </c>
      <c r="C462" t="s">
        <v>1969</v>
      </c>
      <c r="D462" s="2">
        <v>100</v>
      </c>
      <c r="E462" t="s">
        <v>30</v>
      </c>
      <c r="F462" t="s">
        <v>77</v>
      </c>
      <c r="G462">
        <v>1</v>
      </c>
      <c r="H462">
        <v>100</v>
      </c>
      <c r="I462" t="s">
        <v>32</v>
      </c>
    </row>
    <row r="463" spans="1:9" x14ac:dyDescent="0.25">
      <c r="A463" t="s">
        <v>1977</v>
      </c>
      <c r="B463" t="s">
        <v>1968</v>
      </c>
      <c r="C463" t="s">
        <v>1969</v>
      </c>
      <c r="D463" s="2" t="b">
        <v>1</v>
      </c>
      <c r="E463" t="s">
        <v>88</v>
      </c>
      <c r="F463" t="s">
        <v>77</v>
      </c>
      <c r="G463" t="s">
        <v>31</v>
      </c>
      <c r="H463" t="s">
        <v>31</v>
      </c>
      <c r="I463" t="s">
        <v>32</v>
      </c>
    </row>
    <row r="464" spans="1:9" x14ac:dyDescent="0.25">
      <c r="A464" t="s">
        <v>1978</v>
      </c>
      <c r="B464" t="s">
        <v>1979</v>
      </c>
      <c r="C464" t="s">
        <v>1980</v>
      </c>
      <c r="D464" s="3">
        <v>4</v>
      </c>
      <c r="E464" t="s">
        <v>30</v>
      </c>
      <c r="F464" t="s">
        <v>77</v>
      </c>
      <c r="G464">
        <v>0</v>
      </c>
      <c r="H464">
        <v>4</v>
      </c>
      <c r="I464" t="s">
        <v>1981</v>
      </c>
    </row>
    <row r="465" spans="1:9" x14ac:dyDescent="0.25">
      <c r="A465" t="s">
        <v>1982</v>
      </c>
      <c r="B465" t="s">
        <v>1979</v>
      </c>
      <c r="C465" t="s">
        <v>1980</v>
      </c>
      <c r="D465" s="2" t="s">
        <v>1795</v>
      </c>
      <c r="E465" t="s">
        <v>81</v>
      </c>
      <c r="F465" t="s">
        <v>77</v>
      </c>
      <c r="G465" t="s">
        <v>31</v>
      </c>
      <c r="H465" t="s">
        <v>31</v>
      </c>
      <c r="I465" t="s">
        <v>32</v>
      </c>
    </row>
    <row r="466" spans="1:9" x14ac:dyDescent="0.25">
      <c r="A466" t="s">
        <v>1983</v>
      </c>
      <c r="B466" t="s">
        <v>1979</v>
      </c>
      <c r="C466" t="s">
        <v>1980</v>
      </c>
      <c r="D466" s="2" t="s">
        <v>1980</v>
      </c>
      <c r="E466" t="s">
        <v>81</v>
      </c>
      <c r="F466" t="s">
        <v>77</v>
      </c>
      <c r="G466" t="s">
        <v>31</v>
      </c>
      <c r="H466" t="s">
        <v>31</v>
      </c>
      <c r="I466" t="s">
        <v>32</v>
      </c>
    </row>
    <row r="467" spans="1:9" x14ac:dyDescent="0.25">
      <c r="A467" t="s">
        <v>1984</v>
      </c>
      <c r="B467" t="s">
        <v>1979</v>
      </c>
      <c r="C467" t="s">
        <v>1980</v>
      </c>
      <c r="D467" s="2" t="s">
        <v>1981</v>
      </c>
      <c r="E467" t="s">
        <v>81</v>
      </c>
      <c r="F467" t="s">
        <v>77</v>
      </c>
      <c r="G467" t="s">
        <v>31</v>
      </c>
      <c r="H467" t="s">
        <v>31</v>
      </c>
      <c r="I467" t="s">
        <v>32</v>
      </c>
    </row>
    <row r="468" spans="1:9" x14ac:dyDescent="0.25">
      <c r="A468" t="s">
        <v>1985</v>
      </c>
      <c r="B468" t="s">
        <v>1979</v>
      </c>
      <c r="C468" t="s">
        <v>1980</v>
      </c>
      <c r="D468" s="2" t="s">
        <v>77</v>
      </c>
      <c r="E468" t="s">
        <v>81</v>
      </c>
      <c r="F468" t="s">
        <v>77</v>
      </c>
      <c r="G468" t="s">
        <v>31</v>
      </c>
      <c r="H468" t="s">
        <v>31</v>
      </c>
      <c r="I468" t="s">
        <v>32</v>
      </c>
    </row>
    <row r="469" spans="1:9" x14ac:dyDescent="0.25">
      <c r="A469" t="s">
        <v>1986</v>
      </c>
      <c r="B469" t="s">
        <v>1979</v>
      </c>
      <c r="C469" t="s">
        <v>1980</v>
      </c>
      <c r="D469" s="2">
        <v>0</v>
      </c>
      <c r="E469" t="s">
        <v>30</v>
      </c>
      <c r="F469" t="s">
        <v>77</v>
      </c>
      <c r="G469">
        <v>0</v>
      </c>
      <c r="H469">
        <v>4</v>
      </c>
      <c r="I469" t="s">
        <v>32</v>
      </c>
    </row>
    <row r="470" spans="1:9" x14ac:dyDescent="0.25">
      <c r="A470" t="s">
        <v>1987</v>
      </c>
      <c r="B470" t="s">
        <v>1979</v>
      </c>
      <c r="C470" t="s">
        <v>1980</v>
      </c>
      <c r="D470" s="2">
        <v>100</v>
      </c>
      <c r="E470" t="s">
        <v>30</v>
      </c>
      <c r="F470" t="s">
        <v>77</v>
      </c>
      <c r="G470">
        <v>0</v>
      </c>
      <c r="H470">
        <v>4</v>
      </c>
      <c r="I470" t="s">
        <v>32</v>
      </c>
    </row>
    <row r="471" spans="1:9" x14ac:dyDescent="0.25">
      <c r="A471" t="s">
        <v>1988</v>
      </c>
      <c r="B471" t="s">
        <v>1979</v>
      </c>
      <c r="C471" t="s">
        <v>1980</v>
      </c>
      <c r="D471" s="2" t="b">
        <v>1</v>
      </c>
      <c r="E471" t="s">
        <v>88</v>
      </c>
      <c r="F471" t="s">
        <v>77</v>
      </c>
      <c r="G471" t="s">
        <v>31</v>
      </c>
      <c r="H471" t="s">
        <v>31</v>
      </c>
      <c r="I471" t="s">
        <v>32</v>
      </c>
    </row>
    <row r="472" spans="1:9" x14ac:dyDescent="0.25">
      <c r="A472" t="s">
        <v>1989</v>
      </c>
      <c r="B472" t="s">
        <v>1990</v>
      </c>
      <c r="C472" t="s">
        <v>1991</v>
      </c>
      <c r="D472" s="3">
        <v>2</v>
      </c>
      <c r="E472" t="s">
        <v>30</v>
      </c>
      <c r="F472" t="s">
        <v>77</v>
      </c>
      <c r="G472">
        <v>1</v>
      </c>
      <c r="H472">
        <v>100</v>
      </c>
      <c r="I472" t="s">
        <v>1992</v>
      </c>
    </row>
    <row r="473" spans="1:9" x14ac:dyDescent="0.25">
      <c r="A473" t="s">
        <v>1993</v>
      </c>
      <c r="B473" t="s">
        <v>1990</v>
      </c>
      <c r="C473" t="s">
        <v>1991</v>
      </c>
      <c r="D473" s="2" t="s">
        <v>1795</v>
      </c>
      <c r="E473" t="s">
        <v>81</v>
      </c>
      <c r="F473" t="s">
        <v>77</v>
      </c>
      <c r="G473" t="s">
        <v>31</v>
      </c>
      <c r="H473" t="s">
        <v>31</v>
      </c>
      <c r="I473" t="s">
        <v>32</v>
      </c>
    </row>
    <row r="474" spans="1:9" x14ac:dyDescent="0.25">
      <c r="A474" t="s">
        <v>1994</v>
      </c>
      <c r="B474" t="s">
        <v>1990</v>
      </c>
      <c r="C474" t="s">
        <v>1991</v>
      </c>
      <c r="D474" s="2" t="s">
        <v>1991</v>
      </c>
      <c r="E474" t="s">
        <v>81</v>
      </c>
      <c r="F474" t="s">
        <v>77</v>
      </c>
      <c r="G474" t="s">
        <v>31</v>
      </c>
      <c r="H474" t="s">
        <v>31</v>
      </c>
      <c r="I474" t="s">
        <v>32</v>
      </c>
    </row>
    <row r="475" spans="1:9" x14ac:dyDescent="0.25">
      <c r="A475" t="s">
        <v>1995</v>
      </c>
      <c r="B475" t="s">
        <v>1990</v>
      </c>
      <c r="C475" t="s">
        <v>1991</v>
      </c>
      <c r="D475" s="2" t="s">
        <v>1992</v>
      </c>
      <c r="E475" t="s">
        <v>81</v>
      </c>
      <c r="F475" t="s">
        <v>77</v>
      </c>
      <c r="G475" t="s">
        <v>31</v>
      </c>
      <c r="H475" t="s">
        <v>31</v>
      </c>
      <c r="I475" t="s">
        <v>32</v>
      </c>
    </row>
    <row r="476" spans="1:9" x14ac:dyDescent="0.25">
      <c r="A476" t="s">
        <v>1996</v>
      </c>
      <c r="B476" t="s">
        <v>1990</v>
      </c>
      <c r="C476" t="s">
        <v>1991</v>
      </c>
      <c r="D476" s="2" t="s">
        <v>77</v>
      </c>
      <c r="E476" t="s">
        <v>81</v>
      </c>
      <c r="F476" t="s">
        <v>77</v>
      </c>
      <c r="G476" t="s">
        <v>31</v>
      </c>
      <c r="H476" t="s">
        <v>31</v>
      </c>
      <c r="I476" t="s">
        <v>32</v>
      </c>
    </row>
    <row r="477" spans="1:9" x14ac:dyDescent="0.25">
      <c r="A477" t="s">
        <v>1997</v>
      </c>
      <c r="B477" t="s">
        <v>1990</v>
      </c>
      <c r="C477" t="s">
        <v>1991</v>
      </c>
      <c r="D477" s="2">
        <v>0</v>
      </c>
      <c r="E477" t="s">
        <v>30</v>
      </c>
      <c r="F477" t="s">
        <v>77</v>
      </c>
      <c r="G477">
        <v>1</v>
      </c>
      <c r="H477">
        <v>100</v>
      </c>
      <c r="I477" t="s">
        <v>32</v>
      </c>
    </row>
    <row r="478" spans="1:9" x14ac:dyDescent="0.25">
      <c r="A478" t="s">
        <v>1998</v>
      </c>
      <c r="B478" t="s">
        <v>1990</v>
      </c>
      <c r="C478" t="s">
        <v>1991</v>
      </c>
      <c r="D478" s="2">
        <v>100</v>
      </c>
      <c r="E478" t="s">
        <v>30</v>
      </c>
      <c r="F478" t="s">
        <v>77</v>
      </c>
      <c r="G478">
        <v>1</v>
      </c>
      <c r="H478">
        <v>100</v>
      </c>
      <c r="I478" t="s">
        <v>32</v>
      </c>
    </row>
    <row r="479" spans="1:9" x14ac:dyDescent="0.25">
      <c r="A479" t="s">
        <v>1999</v>
      </c>
      <c r="B479" t="s">
        <v>1990</v>
      </c>
      <c r="C479" t="s">
        <v>1991</v>
      </c>
      <c r="D479" s="2" t="b">
        <v>1</v>
      </c>
      <c r="E479" t="s">
        <v>88</v>
      </c>
      <c r="F479" t="s">
        <v>77</v>
      </c>
      <c r="G479" t="s">
        <v>31</v>
      </c>
      <c r="H479" t="s">
        <v>31</v>
      </c>
      <c r="I479" t="s">
        <v>32</v>
      </c>
    </row>
    <row r="480" spans="1:9" x14ac:dyDescent="0.25">
      <c r="A480" t="s">
        <v>2000</v>
      </c>
      <c r="B480" t="s">
        <v>2001</v>
      </c>
      <c r="C480" t="s">
        <v>2002</v>
      </c>
      <c r="D480" s="3">
        <v>4</v>
      </c>
      <c r="E480" t="s">
        <v>30</v>
      </c>
      <c r="F480" t="s">
        <v>77</v>
      </c>
      <c r="G480">
        <v>1</v>
      </c>
      <c r="H480">
        <v>100</v>
      </c>
      <c r="I480" t="s">
        <v>2003</v>
      </c>
    </row>
    <row r="481" spans="1:9" x14ac:dyDescent="0.25">
      <c r="A481" t="s">
        <v>2004</v>
      </c>
      <c r="B481" t="s">
        <v>2001</v>
      </c>
      <c r="C481" t="s">
        <v>2002</v>
      </c>
      <c r="D481" s="2" t="s">
        <v>1795</v>
      </c>
      <c r="E481" t="s">
        <v>81</v>
      </c>
      <c r="F481" t="s">
        <v>77</v>
      </c>
      <c r="G481" t="s">
        <v>31</v>
      </c>
      <c r="H481" t="s">
        <v>31</v>
      </c>
      <c r="I481" t="s">
        <v>32</v>
      </c>
    </row>
    <row r="482" spans="1:9" x14ac:dyDescent="0.25">
      <c r="A482" t="s">
        <v>2005</v>
      </c>
      <c r="B482" t="s">
        <v>2001</v>
      </c>
      <c r="C482" t="s">
        <v>2002</v>
      </c>
      <c r="D482" s="2" t="s">
        <v>2002</v>
      </c>
      <c r="E482" t="s">
        <v>81</v>
      </c>
      <c r="F482" t="s">
        <v>77</v>
      </c>
      <c r="G482" t="s">
        <v>31</v>
      </c>
      <c r="H482" t="s">
        <v>31</v>
      </c>
      <c r="I482" t="s">
        <v>32</v>
      </c>
    </row>
    <row r="483" spans="1:9" x14ac:dyDescent="0.25">
      <c r="A483" t="s">
        <v>2006</v>
      </c>
      <c r="B483" t="s">
        <v>2001</v>
      </c>
      <c r="C483" t="s">
        <v>2002</v>
      </c>
      <c r="D483" s="2" t="s">
        <v>2003</v>
      </c>
      <c r="E483" t="s">
        <v>81</v>
      </c>
      <c r="F483" t="s">
        <v>77</v>
      </c>
      <c r="G483" t="s">
        <v>31</v>
      </c>
      <c r="H483" t="s">
        <v>31</v>
      </c>
      <c r="I483" t="s">
        <v>32</v>
      </c>
    </row>
    <row r="484" spans="1:9" x14ac:dyDescent="0.25">
      <c r="A484" t="s">
        <v>2007</v>
      </c>
      <c r="B484" t="s">
        <v>2001</v>
      </c>
      <c r="C484" t="s">
        <v>2002</v>
      </c>
      <c r="D484" s="2" t="s">
        <v>77</v>
      </c>
      <c r="E484" t="s">
        <v>81</v>
      </c>
      <c r="F484" t="s">
        <v>77</v>
      </c>
      <c r="G484" t="s">
        <v>31</v>
      </c>
      <c r="H484" t="s">
        <v>31</v>
      </c>
      <c r="I484" t="s">
        <v>32</v>
      </c>
    </row>
    <row r="485" spans="1:9" x14ac:dyDescent="0.25">
      <c r="A485" t="s">
        <v>2008</v>
      </c>
      <c r="B485" t="s">
        <v>2001</v>
      </c>
      <c r="C485" t="s">
        <v>2002</v>
      </c>
      <c r="D485" s="2">
        <v>0</v>
      </c>
      <c r="E485" t="s">
        <v>30</v>
      </c>
      <c r="F485" t="s">
        <v>77</v>
      </c>
      <c r="G485">
        <v>1</v>
      </c>
      <c r="H485">
        <v>100</v>
      </c>
      <c r="I485" t="s">
        <v>32</v>
      </c>
    </row>
    <row r="486" spans="1:9" x14ac:dyDescent="0.25">
      <c r="A486" t="s">
        <v>2009</v>
      </c>
      <c r="B486" t="s">
        <v>2001</v>
      </c>
      <c r="C486" t="s">
        <v>2002</v>
      </c>
      <c r="D486" s="2">
        <v>100</v>
      </c>
      <c r="E486" t="s">
        <v>30</v>
      </c>
      <c r="F486" t="s">
        <v>77</v>
      </c>
      <c r="G486">
        <v>1</v>
      </c>
      <c r="H486">
        <v>100</v>
      </c>
      <c r="I486" t="s">
        <v>32</v>
      </c>
    </row>
    <row r="487" spans="1:9" x14ac:dyDescent="0.25">
      <c r="A487" t="s">
        <v>2010</v>
      </c>
      <c r="B487" t="s">
        <v>2001</v>
      </c>
      <c r="C487" t="s">
        <v>2002</v>
      </c>
      <c r="D487" s="2" t="b">
        <v>1</v>
      </c>
      <c r="E487" t="s">
        <v>88</v>
      </c>
      <c r="F487" t="s">
        <v>77</v>
      </c>
      <c r="G487" t="s">
        <v>31</v>
      </c>
      <c r="H487" t="s">
        <v>31</v>
      </c>
      <c r="I487" t="s">
        <v>32</v>
      </c>
    </row>
    <row r="488" spans="1:9" x14ac:dyDescent="0.25">
      <c r="A488" t="s">
        <v>2011</v>
      </c>
      <c r="B488" t="s">
        <v>2012</v>
      </c>
      <c r="C488" t="s">
        <v>2013</v>
      </c>
      <c r="D488" s="3">
        <v>0.45</v>
      </c>
      <c r="E488" t="s">
        <v>30</v>
      </c>
      <c r="F488" t="s">
        <v>103</v>
      </c>
      <c r="G488">
        <v>0</v>
      </c>
      <c r="H488">
        <v>1</v>
      </c>
      <c r="I488" t="s">
        <v>2014</v>
      </c>
    </row>
    <row r="489" spans="1:9" x14ac:dyDescent="0.25">
      <c r="A489" t="s">
        <v>2015</v>
      </c>
      <c r="B489" t="s">
        <v>2012</v>
      </c>
      <c r="C489" t="s">
        <v>2013</v>
      </c>
      <c r="D489" s="2" t="s">
        <v>1795</v>
      </c>
      <c r="E489" t="s">
        <v>81</v>
      </c>
      <c r="F489" t="s">
        <v>103</v>
      </c>
      <c r="G489" t="s">
        <v>31</v>
      </c>
      <c r="H489" t="s">
        <v>31</v>
      </c>
      <c r="I489" t="s">
        <v>32</v>
      </c>
    </row>
    <row r="490" spans="1:9" x14ac:dyDescent="0.25">
      <c r="A490" t="s">
        <v>2016</v>
      </c>
      <c r="B490" t="s">
        <v>2012</v>
      </c>
      <c r="C490" t="s">
        <v>2013</v>
      </c>
      <c r="D490" s="2" t="s">
        <v>2013</v>
      </c>
      <c r="E490" t="s">
        <v>81</v>
      </c>
      <c r="F490" t="s">
        <v>103</v>
      </c>
      <c r="G490" t="s">
        <v>31</v>
      </c>
      <c r="H490" t="s">
        <v>31</v>
      </c>
      <c r="I490" t="s">
        <v>32</v>
      </c>
    </row>
    <row r="491" spans="1:9" x14ac:dyDescent="0.25">
      <c r="A491" t="s">
        <v>2017</v>
      </c>
      <c r="B491" t="s">
        <v>2012</v>
      </c>
      <c r="C491" t="s">
        <v>2013</v>
      </c>
      <c r="D491" s="2" t="s">
        <v>2014</v>
      </c>
      <c r="E491" t="s">
        <v>81</v>
      </c>
      <c r="F491" t="s">
        <v>103</v>
      </c>
      <c r="G491" t="s">
        <v>31</v>
      </c>
      <c r="H491" t="s">
        <v>31</v>
      </c>
      <c r="I491" t="s">
        <v>32</v>
      </c>
    </row>
    <row r="492" spans="1:9" x14ac:dyDescent="0.25">
      <c r="A492" t="s">
        <v>2018</v>
      </c>
      <c r="B492" t="s">
        <v>2012</v>
      </c>
      <c r="C492" t="s">
        <v>2013</v>
      </c>
      <c r="D492" s="2" t="s">
        <v>103</v>
      </c>
      <c r="E492" t="s">
        <v>81</v>
      </c>
      <c r="F492" t="s">
        <v>103</v>
      </c>
      <c r="G492" t="s">
        <v>31</v>
      </c>
      <c r="H492" t="s">
        <v>31</v>
      </c>
      <c r="I492" t="s">
        <v>32</v>
      </c>
    </row>
    <row r="493" spans="1:9" x14ac:dyDescent="0.25">
      <c r="A493" t="s">
        <v>2019</v>
      </c>
      <c r="B493" t="s">
        <v>2012</v>
      </c>
      <c r="C493" t="s">
        <v>2013</v>
      </c>
      <c r="D493" s="2">
        <v>0</v>
      </c>
      <c r="E493" t="s">
        <v>30</v>
      </c>
      <c r="F493" t="s">
        <v>103</v>
      </c>
      <c r="G493">
        <v>0</v>
      </c>
      <c r="H493">
        <v>1</v>
      </c>
      <c r="I493" t="s">
        <v>32</v>
      </c>
    </row>
    <row r="494" spans="1:9" x14ac:dyDescent="0.25">
      <c r="A494" t="s">
        <v>2020</v>
      </c>
      <c r="B494" t="s">
        <v>2012</v>
      </c>
      <c r="C494" t="s">
        <v>2013</v>
      </c>
      <c r="D494" s="2">
        <v>1</v>
      </c>
      <c r="E494" t="s">
        <v>30</v>
      </c>
      <c r="F494" t="s">
        <v>103</v>
      </c>
      <c r="G494">
        <v>0</v>
      </c>
      <c r="H494">
        <v>1</v>
      </c>
      <c r="I494" t="s">
        <v>32</v>
      </c>
    </row>
    <row r="495" spans="1:9" x14ac:dyDescent="0.25">
      <c r="A495" t="s">
        <v>2021</v>
      </c>
      <c r="B495" t="s">
        <v>2012</v>
      </c>
      <c r="C495" t="s">
        <v>2013</v>
      </c>
      <c r="D495" s="2" t="b">
        <v>0</v>
      </c>
      <c r="E495" t="s">
        <v>88</v>
      </c>
      <c r="F495" t="s">
        <v>103</v>
      </c>
      <c r="G495" t="s">
        <v>31</v>
      </c>
      <c r="H495" t="s">
        <v>31</v>
      </c>
      <c r="I495" t="s">
        <v>32</v>
      </c>
    </row>
    <row r="496" spans="1:9" x14ac:dyDescent="0.25">
      <c r="A496" t="s">
        <v>2022</v>
      </c>
      <c r="B496" t="s">
        <v>2023</v>
      </c>
      <c r="C496" t="s">
        <v>2024</v>
      </c>
      <c r="D496" s="3">
        <v>0.08</v>
      </c>
      <c r="E496" t="s">
        <v>30</v>
      </c>
      <c r="F496" t="s">
        <v>103</v>
      </c>
      <c r="G496">
        <v>0</v>
      </c>
      <c r="H496">
        <v>1</v>
      </c>
      <c r="I496" t="s">
        <v>2025</v>
      </c>
    </row>
    <row r="497" spans="1:9" x14ac:dyDescent="0.25">
      <c r="A497" t="s">
        <v>2026</v>
      </c>
      <c r="B497" t="s">
        <v>2023</v>
      </c>
      <c r="C497" t="s">
        <v>2024</v>
      </c>
      <c r="D497" s="2" t="s">
        <v>1795</v>
      </c>
      <c r="E497" t="s">
        <v>81</v>
      </c>
      <c r="F497" t="s">
        <v>103</v>
      </c>
      <c r="G497" t="s">
        <v>31</v>
      </c>
      <c r="H497" t="s">
        <v>31</v>
      </c>
      <c r="I497" t="s">
        <v>32</v>
      </c>
    </row>
    <row r="498" spans="1:9" x14ac:dyDescent="0.25">
      <c r="A498" t="s">
        <v>2027</v>
      </c>
      <c r="B498" t="s">
        <v>2023</v>
      </c>
      <c r="C498" t="s">
        <v>2024</v>
      </c>
      <c r="D498" s="2" t="s">
        <v>2024</v>
      </c>
      <c r="E498" t="s">
        <v>81</v>
      </c>
      <c r="F498" t="s">
        <v>103</v>
      </c>
      <c r="G498" t="s">
        <v>31</v>
      </c>
      <c r="H498" t="s">
        <v>31</v>
      </c>
      <c r="I498" t="s">
        <v>32</v>
      </c>
    </row>
    <row r="499" spans="1:9" x14ac:dyDescent="0.25">
      <c r="A499" t="s">
        <v>2028</v>
      </c>
      <c r="B499" t="s">
        <v>2023</v>
      </c>
      <c r="C499" t="s">
        <v>2024</v>
      </c>
      <c r="D499" s="2" t="s">
        <v>2025</v>
      </c>
      <c r="E499" t="s">
        <v>81</v>
      </c>
      <c r="F499" t="s">
        <v>103</v>
      </c>
      <c r="G499" t="s">
        <v>31</v>
      </c>
      <c r="H499" t="s">
        <v>31</v>
      </c>
      <c r="I499" t="s">
        <v>32</v>
      </c>
    </row>
    <row r="500" spans="1:9" x14ac:dyDescent="0.25">
      <c r="A500" t="s">
        <v>2029</v>
      </c>
      <c r="B500" t="s">
        <v>2023</v>
      </c>
      <c r="C500" t="s">
        <v>2024</v>
      </c>
      <c r="D500" s="2" t="s">
        <v>103</v>
      </c>
      <c r="E500" t="s">
        <v>81</v>
      </c>
      <c r="F500" t="s">
        <v>103</v>
      </c>
      <c r="G500" t="s">
        <v>31</v>
      </c>
      <c r="H500" t="s">
        <v>31</v>
      </c>
      <c r="I500" t="s">
        <v>32</v>
      </c>
    </row>
    <row r="501" spans="1:9" x14ac:dyDescent="0.25">
      <c r="A501" t="s">
        <v>2030</v>
      </c>
      <c r="B501" t="s">
        <v>2023</v>
      </c>
      <c r="C501" t="s">
        <v>2024</v>
      </c>
      <c r="D501" s="2">
        <v>0</v>
      </c>
      <c r="E501" t="s">
        <v>30</v>
      </c>
      <c r="F501" t="s">
        <v>103</v>
      </c>
      <c r="G501">
        <v>0</v>
      </c>
      <c r="H501">
        <v>1</v>
      </c>
      <c r="I501" t="s">
        <v>32</v>
      </c>
    </row>
    <row r="502" spans="1:9" x14ac:dyDescent="0.25">
      <c r="A502" t="s">
        <v>2031</v>
      </c>
      <c r="B502" t="s">
        <v>2023</v>
      </c>
      <c r="C502" t="s">
        <v>2024</v>
      </c>
      <c r="D502" s="2">
        <v>1</v>
      </c>
      <c r="E502" t="s">
        <v>30</v>
      </c>
      <c r="F502" t="s">
        <v>103</v>
      </c>
      <c r="G502">
        <v>0</v>
      </c>
      <c r="H502">
        <v>1</v>
      </c>
      <c r="I502" t="s">
        <v>32</v>
      </c>
    </row>
    <row r="503" spans="1:9" x14ac:dyDescent="0.25">
      <c r="A503" t="s">
        <v>2032</v>
      </c>
      <c r="B503" t="s">
        <v>2023</v>
      </c>
      <c r="C503" t="s">
        <v>2024</v>
      </c>
      <c r="D503" s="2" t="b">
        <v>0</v>
      </c>
      <c r="E503" t="s">
        <v>88</v>
      </c>
      <c r="F503" t="s">
        <v>103</v>
      </c>
      <c r="G503" t="s">
        <v>31</v>
      </c>
      <c r="H503" t="s">
        <v>31</v>
      </c>
      <c r="I503" t="s">
        <v>32</v>
      </c>
    </row>
    <row r="504" spans="1:9" x14ac:dyDescent="0.25">
      <c r="A504" t="s">
        <v>2033</v>
      </c>
      <c r="B504" t="s">
        <v>2034</v>
      </c>
      <c r="C504" t="s">
        <v>2035</v>
      </c>
      <c r="D504" s="3">
        <v>4</v>
      </c>
      <c r="E504" t="s">
        <v>30</v>
      </c>
      <c r="F504" t="s">
        <v>77</v>
      </c>
      <c r="G504">
        <v>1</v>
      </c>
      <c r="H504">
        <v>100</v>
      </c>
      <c r="I504" t="s">
        <v>2036</v>
      </c>
    </row>
    <row r="505" spans="1:9" x14ac:dyDescent="0.25">
      <c r="A505" t="s">
        <v>2037</v>
      </c>
      <c r="B505" t="s">
        <v>2034</v>
      </c>
      <c r="C505" t="s">
        <v>2035</v>
      </c>
      <c r="D505" s="2" t="s">
        <v>1795</v>
      </c>
      <c r="E505" t="s">
        <v>81</v>
      </c>
      <c r="F505" t="s">
        <v>77</v>
      </c>
      <c r="G505" t="s">
        <v>31</v>
      </c>
      <c r="H505" t="s">
        <v>31</v>
      </c>
      <c r="I505" t="s">
        <v>32</v>
      </c>
    </row>
    <row r="506" spans="1:9" x14ac:dyDescent="0.25">
      <c r="A506" t="s">
        <v>2038</v>
      </c>
      <c r="B506" t="s">
        <v>2034</v>
      </c>
      <c r="C506" t="s">
        <v>2035</v>
      </c>
      <c r="D506" s="2" t="s">
        <v>2035</v>
      </c>
      <c r="E506" t="s">
        <v>81</v>
      </c>
      <c r="F506" t="s">
        <v>77</v>
      </c>
      <c r="G506" t="s">
        <v>31</v>
      </c>
      <c r="H506" t="s">
        <v>31</v>
      </c>
      <c r="I506" t="s">
        <v>32</v>
      </c>
    </row>
    <row r="507" spans="1:9" x14ac:dyDescent="0.25">
      <c r="A507" t="s">
        <v>2039</v>
      </c>
      <c r="B507" t="s">
        <v>2034</v>
      </c>
      <c r="C507" t="s">
        <v>2035</v>
      </c>
      <c r="D507" s="2" t="s">
        <v>2036</v>
      </c>
      <c r="E507" t="s">
        <v>81</v>
      </c>
      <c r="F507" t="s">
        <v>77</v>
      </c>
      <c r="G507" t="s">
        <v>31</v>
      </c>
      <c r="H507" t="s">
        <v>31</v>
      </c>
      <c r="I507" t="s">
        <v>32</v>
      </c>
    </row>
    <row r="508" spans="1:9" x14ac:dyDescent="0.25">
      <c r="A508" t="s">
        <v>2040</v>
      </c>
      <c r="B508" t="s">
        <v>2034</v>
      </c>
      <c r="C508" t="s">
        <v>2035</v>
      </c>
      <c r="D508" s="2" t="s">
        <v>77</v>
      </c>
      <c r="E508" t="s">
        <v>81</v>
      </c>
      <c r="F508" t="s">
        <v>77</v>
      </c>
      <c r="G508" t="s">
        <v>31</v>
      </c>
      <c r="H508" t="s">
        <v>31</v>
      </c>
      <c r="I508" t="s">
        <v>32</v>
      </c>
    </row>
    <row r="509" spans="1:9" x14ac:dyDescent="0.25">
      <c r="A509" t="s">
        <v>2041</v>
      </c>
      <c r="B509" t="s">
        <v>2034</v>
      </c>
      <c r="C509" t="s">
        <v>2035</v>
      </c>
      <c r="D509" s="2">
        <v>0</v>
      </c>
      <c r="E509" t="s">
        <v>30</v>
      </c>
      <c r="F509" t="s">
        <v>77</v>
      </c>
      <c r="G509">
        <v>1</v>
      </c>
      <c r="H509">
        <v>100</v>
      </c>
      <c r="I509" t="s">
        <v>32</v>
      </c>
    </row>
    <row r="510" spans="1:9" x14ac:dyDescent="0.25">
      <c r="A510" t="s">
        <v>2042</v>
      </c>
      <c r="B510" t="s">
        <v>2034</v>
      </c>
      <c r="C510" t="s">
        <v>2035</v>
      </c>
      <c r="D510" s="2">
        <v>100</v>
      </c>
      <c r="E510" t="s">
        <v>30</v>
      </c>
      <c r="F510" t="s">
        <v>77</v>
      </c>
      <c r="G510">
        <v>1</v>
      </c>
      <c r="H510">
        <v>100</v>
      </c>
      <c r="I510" t="s">
        <v>32</v>
      </c>
    </row>
    <row r="511" spans="1:9" x14ac:dyDescent="0.25">
      <c r="A511" t="s">
        <v>2043</v>
      </c>
      <c r="B511" t="s">
        <v>2034</v>
      </c>
      <c r="C511" t="s">
        <v>2035</v>
      </c>
      <c r="D511" s="2" t="b">
        <v>1</v>
      </c>
      <c r="E511" t="s">
        <v>88</v>
      </c>
      <c r="F511" t="s">
        <v>77</v>
      </c>
      <c r="G511" t="s">
        <v>31</v>
      </c>
      <c r="H511" t="s">
        <v>31</v>
      </c>
      <c r="I511" t="s">
        <v>32</v>
      </c>
    </row>
    <row r="512" spans="1:9" x14ac:dyDescent="0.25">
      <c r="A512" t="s">
        <v>2044</v>
      </c>
      <c r="B512" t="s">
        <v>2045</v>
      </c>
      <c r="C512" t="s">
        <v>2046</v>
      </c>
      <c r="D512" s="3">
        <v>0.055</v>
      </c>
      <c r="E512" t="s">
        <v>30</v>
      </c>
      <c r="F512" t="s">
        <v>103</v>
      </c>
      <c r="G512">
        <v>0</v>
      </c>
      <c r="H512">
        <v>1</v>
      </c>
      <c r="I512" t="s">
        <v>2047</v>
      </c>
    </row>
    <row r="513" spans="1:9" x14ac:dyDescent="0.25">
      <c r="A513" t="s">
        <v>2048</v>
      </c>
      <c r="B513" t="s">
        <v>2045</v>
      </c>
      <c r="C513" t="s">
        <v>2046</v>
      </c>
      <c r="D513" s="2" t="s">
        <v>1795</v>
      </c>
      <c r="E513" t="s">
        <v>81</v>
      </c>
      <c r="F513" t="s">
        <v>103</v>
      </c>
      <c r="G513" t="s">
        <v>31</v>
      </c>
      <c r="H513" t="s">
        <v>31</v>
      </c>
      <c r="I513" t="s">
        <v>32</v>
      </c>
    </row>
    <row r="514" spans="1:9" x14ac:dyDescent="0.25">
      <c r="A514" t="s">
        <v>2049</v>
      </c>
      <c r="B514" t="s">
        <v>2045</v>
      </c>
      <c r="C514" t="s">
        <v>2046</v>
      </c>
      <c r="D514" s="2" t="s">
        <v>2046</v>
      </c>
      <c r="E514" t="s">
        <v>81</v>
      </c>
      <c r="F514" t="s">
        <v>103</v>
      </c>
      <c r="G514" t="s">
        <v>31</v>
      </c>
      <c r="H514" t="s">
        <v>31</v>
      </c>
      <c r="I514" t="s">
        <v>32</v>
      </c>
    </row>
    <row r="515" spans="1:9" x14ac:dyDescent="0.25">
      <c r="A515" t="s">
        <v>2050</v>
      </c>
      <c r="B515" t="s">
        <v>2045</v>
      </c>
      <c r="C515" t="s">
        <v>2046</v>
      </c>
      <c r="D515" s="2" t="s">
        <v>2047</v>
      </c>
      <c r="E515" t="s">
        <v>81</v>
      </c>
      <c r="F515" t="s">
        <v>103</v>
      </c>
      <c r="G515" t="s">
        <v>31</v>
      </c>
      <c r="H515" t="s">
        <v>31</v>
      </c>
      <c r="I515" t="s">
        <v>32</v>
      </c>
    </row>
    <row r="516" spans="1:9" x14ac:dyDescent="0.25">
      <c r="A516" t="s">
        <v>2051</v>
      </c>
      <c r="B516" t="s">
        <v>2045</v>
      </c>
      <c r="C516" t="s">
        <v>2046</v>
      </c>
      <c r="D516" s="2" t="s">
        <v>103</v>
      </c>
      <c r="E516" t="s">
        <v>81</v>
      </c>
      <c r="F516" t="s">
        <v>103</v>
      </c>
      <c r="G516" t="s">
        <v>31</v>
      </c>
      <c r="H516" t="s">
        <v>31</v>
      </c>
      <c r="I516" t="s">
        <v>32</v>
      </c>
    </row>
    <row r="517" spans="1:9" x14ac:dyDescent="0.25">
      <c r="A517" t="s">
        <v>2052</v>
      </c>
      <c r="B517" t="s">
        <v>2045</v>
      </c>
      <c r="C517" t="s">
        <v>2046</v>
      </c>
      <c r="D517" s="2">
        <v>0</v>
      </c>
      <c r="E517" t="s">
        <v>30</v>
      </c>
      <c r="F517" t="s">
        <v>103</v>
      </c>
      <c r="G517">
        <v>0</v>
      </c>
      <c r="H517">
        <v>1</v>
      </c>
      <c r="I517" t="s">
        <v>32</v>
      </c>
    </row>
    <row r="518" spans="1:9" x14ac:dyDescent="0.25">
      <c r="A518" t="s">
        <v>2053</v>
      </c>
      <c r="B518" t="s">
        <v>2045</v>
      </c>
      <c r="C518" t="s">
        <v>2046</v>
      </c>
      <c r="D518" s="2">
        <v>1</v>
      </c>
      <c r="E518" t="s">
        <v>30</v>
      </c>
      <c r="F518" t="s">
        <v>103</v>
      </c>
      <c r="G518">
        <v>0</v>
      </c>
      <c r="H518">
        <v>1</v>
      </c>
      <c r="I518" t="s">
        <v>32</v>
      </c>
    </row>
    <row r="519" spans="1:9" x14ac:dyDescent="0.25">
      <c r="A519" t="s">
        <v>2054</v>
      </c>
      <c r="B519" t="s">
        <v>2045</v>
      </c>
      <c r="C519" t="s">
        <v>2046</v>
      </c>
      <c r="D519" s="2" t="b">
        <v>0</v>
      </c>
      <c r="E519" t="s">
        <v>88</v>
      </c>
      <c r="F519" t="s">
        <v>103</v>
      </c>
      <c r="G519" t="s">
        <v>31</v>
      </c>
      <c r="H519" t="s">
        <v>31</v>
      </c>
      <c r="I519" t="s">
        <v>32</v>
      </c>
    </row>
    <row r="520" spans="1:9" x14ac:dyDescent="0.25">
      <c r="A520" t="s">
        <v>2055</v>
      </c>
      <c r="B520" t="s">
        <v>2056</v>
      </c>
      <c r="C520" t="s">
        <v>2057</v>
      </c>
      <c r="D520" s="3">
        <v>2</v>
      </c>
      <c r="E520" t="s">
        <v>30</v>
      </c>
      <c r="F520" t="s">
        <v>77</v>
      </c>
      <c r="G520">
        <v>1</v>
      </c>
      <c r="H520">
        <v>2</v>
      </c>
      <c r="I520" t="s">
        <v>2058</v>
      </c>
    </row>
    <row r="521" spans="1:9" x14ac:dyDescent="0.25">
      <c r="A521" t="s">
        <v>2059</v>
      </c>
      <c r="B521" t="s">
        <v>2056</v>
      </c>
      <c r="C521" t="s">
        <v>2057</v>
      </c>
      <c r="D521" s="2" t="s">
        <v>1795</v>
      </c>
      <c r="E521" t="s">
        <v>81</v>
      </c>
      <c r="F521" t="s">
        <v>77</v>
      </c>
      <c r="G521" t="s">
        <v>31</v>
      </c>
      <c r="H521" t="s">
        <v>31</v>
      </c>
      <c r="I521" t="s">
        <v>32</v>
      </c>
    </row>
    <row r="522" spans="1:9" x14ac:dyDescent="0.25">
      <c r="A522" t="s">
        <v>2060</v>
      </c>
      <c r="B522" t="s">
        <v>2056</v>
      </c>
      <c r="C522" t="s">
        <v>2057</v>
      </c>
      <c r="D522" s="2" t="s">
        <v>2057</v>
      </c>
      <c r="E522" t="s">
        <v>81</v>
      </c>
      <c r="F522" t="s">
        <v>77</v>
      </c>
      <c r="G522" t="s">
        <v>31</v>
      </c>
      <c r="H522" t="s">
        <v>31</v>
      </c>
      <c r="I522" t="s">
        <v>32</v>
      </c>
    </row>
    <row r="523" spans="1:9" x14ac:dyDescent="0.25">
      <c r="A523" t="s">
        <v>2061</v>
      </c>
      <c r="B523" t="s">
        <v>2056</v>
      </c>
      <c r="C523" t="s">
        <v>2057</v>
      </c>
      <c r="D523" s="2" t="s">
        <v>2058</v>
      </c>
      <c r="E523" t="s">
        <v>81</v>
      </c>
      <c r="F523" t="s">
        <v>77</v>
      </c>
      <c r="G523" t="s">
        <v>31</v>
      </c>
      <c r="H523" t="s">
        <v>31</v>
      </c>
      <c r="I523" t="s">
        <v>32</v>
      </c>
    </row>
    <row r="524" spans="1:9" x14ac:dyDescent="0.25">
      <c r="A524" t="s">
        <v>2062</v>
      </c>
      <c r="B524" t="s">
        <v>2056</v>
      </c>
      <c r="C524" t="s">
        <v>2057</v>
      </c>
      <c r="D524" s="2" t="s">
        <v>77</v>
      </c>
      <c r="E524" t="s">
        <v>81</v>
      </c>
      <c r="F524" t="s">
        <v>77</v>
      </c>
      <c r="G524" t="s">
        <v>31</v>
      </c>
      <c r="H524" t="s">
        <v>31</v>
      </c>
      <c r="I524" t="s">
        <v>32</v>
      </c>
    </row>
    <row r="525" spans="1:9" x14ac:dyDescent="0.25">
      <c r="A525" t="s">
        <v>2063</v>
      </c>
      <c r="B525" t="s">
        <v>2056</v>
      </c>
      <c r="C525" t="s">
        <v>2057</v>
      </c>
      <c r="D525" s="2">
        <v>0</v>
      </c>
      <c r="E525" t="s">
        <v>30</v>
      </c>
      <c r="F525" t="s">
        <v>77</v>
      </c>
      <c r="G525">
        <v>1</v>
      </c>
      <c r="H525">
        <v>2</v>
      </c>
      <c r="I525" t="s">
        <v>32</v>
      </c>
    </row>
    <row r="526" spans="1:9" x14ac:dyDescent="0.25">
      <c r="A526" t="s">
        <v>2064</v>
      </c>
      <c r="B526" t="s">
        <v>2056</v>
      </c>
      <c r="C526" t="s">
        <v>2057</v>
      </c>
      <c r="D526" s="2">
        <v>100</v>
      </c>
      <c r="E526" t="s">
        <v>30</v>
      </c>
      <c r="F526" t="s">
        <v>77</v>
      </c>
      <c r="G526">
        <v>1</v>
      </c>
      <c r="H526">
        <v>2</v>
      </c>
      <c r="I526" t="s">
        <v>32</v>
      </c>
    </row>
    <row r="527" spans="1:9" x14ac:dyDescent="0.25">
      <c r="A527" t="s">
        <v>2065</v>
      </c>
      <c r="B527" t="s">
        <v>2056</v>
      </c>
      <c r="C527" t="s">
        <v>2057</v>
      </c>
      <c r="D527" s="2" t="b">
        <v>1</v>
      </c>
      <c r="E527" t="s">
        <v>88</v>
      </c>
      <c r="F527" t="s">
        <v>77</v>
      </c>
      <c r="G527" t="s">
        <v>31</v>
      </c>
      <c r="H527" t="s">
        <v>31</v>
      </c>
      <c r="I527" t="s">
        <v>32</v>
      </c>
    </row>
    <row r="528" spans="1:9" x14ac:dyDescent="0.25">
      <c r="A528" t="s">
        <v>2066</v>
      </c>
      <c r="B528" t="s">
        <v>2067</v>
      </c>
      <c r="C528" t="s">
        <v>2068</v>
      </c>
      <c r="D528" s="3">
        <v>0.065</v>
      </c>
      <c r="E528" t="s">
        <v>30</v>
      </c>
      <c r="F528" t="s">
        <v>103</v>
      </c>
      <c r="G528">
        <v>0</v>
      </c>
      <c r="H528">
        <v>1</v>
      </c>
      <c r="I528" t="s">
        <v>2069</v>
      </c>
    </row>
    <row r="529" spans="1:9" x14ac:dyDescent="0.25">
      <c r="A529" t="s">
        <v>2070</v>
      </c>
      <c r="B529" t="s">
        <v>2067</v>
      </c>
      <c r="C529" t="s">
        <v>2068</v>
      </c>
      <c r="D529" s="2" t="s">
        <v>1795</v>
      </c>
      <c r="E529" t="s">
        <v>81</v>
      </c>
      <c r="F529" t="s">
        <v>103</v>
      </c>
      <c r="G529" t="s">
        <v>31</v>
      </c>
      <c r="H529" t="s">
        <v>31</v>
      </c>
      <c r="I529" t="s">
        <v>32</v>
      </c>
    </row>
    <row r="530" spans="1:9" x14ac:dyDescent="0.25">
      <c r="A530" t="s">
        <v>2071</v>
      </c>
      <c r="B530" t="s">
        <v>2067</v>
      </c>
      <c r="C530" t="s">
        <v>2068</v>
      </c>
      <c r="D530" s="2" t="s">
        <v>2068</v>
      </c>
      <c r="E530" t="s">
        <v>81</v>
      </c>
      <c r="F530" t="s">
        <v>103</v>
      </c>
      <c r="G530" t="s">
        <v>31</v>
      </c>
      <c r="H530" t="s">
        <v>31</v>
      </c>
      <c r="I530" t="s">
        <v>32</v>
      </c>
    </row>
    <row r="531" spans="1:9" x14ac:dyDescent="0.25">
      <c r="A531" t="s">
        <v>2072</v>
      </c>
      <c r="B531" t="s">
        <v>2067</v>
      </c>
      <c r="C531" t="s">
        <v>2068</v>
      </c>
      <c r="D531" s="2" t="s">
        <v>2069</v>
      </c>
      <c r="E531" t="s">
        <v>81</v>
      </c>
      <c r="F531" t="s">
        <v>103</v>
      </c>
      <c r="G531" t="s">
        <v>31</v>
      </c>
      <c r="H531" t="s">
        <v>31</v>
      </c>
      <c r="I531" t="s">
        <v>32</v>
      </c>
    </row>
    <row r="532" spans="1:9" x14ac:dyDescent="0.25">
      <c r="A532" t="s">
        <v>2073</v>
      </c>
      <c r="B532" t="s">
        <v>2067</v>
      </c>
      <c r="C532" t="s">
        <v>2068</v>
      </c>
      <c r="D532" s="2" t="s">
        <v>103</v>
      </c>
      <c r="E532" t="s">
        <v>81</v>
      </c>
      <c r="F532" t="s">
        <v>103</v>
      </c>
      <c r="G532" t="s">
        <v>31</v>
      </c>
      <c r="H532" t="s">
        <v>31</v>
      </c>
      <c r="I532" t="s">
        <v>32</v>
      </c>
    </row>
    <row r="533" spans="1:9" x14ac:dyDescent="0.25">
      <c r="A533" t="s">
        <v>2074</v>
      </c>
      <c r="B533" t="s">
        <v>2067</v>
      </c>
      <c r="C533" t="s">
        <v>2068</v>
      </c>
      <c r="D533" s="2">
        <v>0</v>
      </c>
      <c r="E533" t="s">
        <v>30</v>
      </c>
      <c r="F533" t="s">
        <v>103</v>
      </c>
      <c r="G533">
        <v>0</v>
      </c>
      <c r="H533">
        <v>1</v>
      </c>
      <c r="I533" t="s">
        <v>32</v>
      </c>
    </row>
    <row r="534" spans="1:9" x14ac:dyDescent="0.25">
      <c r="A534" t="s">
        <v>2075</v>
      </c>
      <c r="B534" t="s">
        <v>2067</v>
      </c>
      <c r="C534" t="s">
        <v>2068</v>
      </c>
      <c r="D534" s="2">
        <v>1</v>
      </c>
      <c r="E534" t="s">
        <v>30</v>
      </c>
      <c r="F534" t="s">
        <v>103</v>
      </c>
      <c r="G534">
        <v>0</v>
      </c>
      <c r="H534">
        <v>1</v>
      </c>
      <c r="I534" t="s">
        <v>32</v>
      </c>
    </row>
    <row r="535" spans="1:9" x14ac:dyDescent="0.25">
      <c r="A535" t="s">
        <v>2076</v>
      </c>
      <c r="B535" t="s">
        <v>2067</v>
      </c>
      <c r="C535" t="s">
        <v>2068</v>
      </c>
      <c r="D535" s="2" t="b">
        <v>0</v>
      </c>
      <c r="E535" t="s">
        <v>88</v>
      </c>
      <c r="F535" t="s">
        <v>103</v>
      </c>
      <c r="G535" t="s">
        <v>31</v>
      </c>
      <c r="H535" t="s">
        <v>31</v>
      </c>
      <c r="I535" t="s">
        <v>32</v>
      </c>
    </row>
    <row r="536" spans="1:9" x14ac:dyDescent="0.25">
      <c r="A536" t="s">
        <v>2077</v>
      </c>
      <c r="B536" t="s">
        <v>2078</v>
      </c>
      <c r="C536" t="s">
        <v>2079</v>
      </c>
      <c r="D536" s="3">
        <v>2</v>
      </c>
      <c r="E536" t="s">
        <v>30</v>
      </c>
      <c r="F536" t="s">
        <v>77</v>
      </c>
      <c r="G536">
        <v>1</v>
      </c>
      <c r="H536">
        <v>100</v>
      </c>
      <c r="I536" t="s">
        <v>2080</v>
      </c>
    </row>
    <row r="537" spans="1:9" x14ac:dyDescent="0.25">
      <c r="A537" t="s">
        <v>2081</v>
      </c>
      <c r="B537" t="s">
        <v>2078</v>
      </c>
      <c r="C537" t="s">
        <v>2079</v>
      </c>
      <c r="D537" s="2" t="s">
        <v>1795</v>
      </c>
      <c r="E537" t="s">
        <v>81</v>
      </c>
      <c r="F537" t="s">
        <v>77</v>
      </c>
      <c r="G537" t="s">
        <v>31</v>
      </c>
      <c r="H537" t="s">
        <v>31</v>
      </c>
      <c r="I537" t="s">
        <v>32</v>
      </c>
    </row>
    <row r="538" spans="1:9" x14ac:dyDescent="0.25">
      <c r="A538" t="s">
        <v>2082</v>
      </c>
      <c r="B538" t="s">
        <v>2078</v>
      </c>
      <c r="C538" t="s">
        <v>2079</v>
      </c>
      <c r="D538" s="2" t="s">
        <v>2079</v>
      </c>
      <c r="E538" t="s">
        <v>81</v>
      </c>
      <c r="F538" t="s">
        <v>77</v>
      </c>
      <c r="G538" t="s">
        <v>31</v>
      </c>
      <c r="H538" t="s">
        <v>31</v>
      </c>
      <c r="I538" t="s">
        <v>32</v>
      </c>
    </row>
    <row r="539" spans="1:9" x14ac:dyDescent="0.25">
      <c r="A539" t="s">
        <v>2083</v>
      </c>
      <c r="B539" t="s">
        <v>2078</v>
      </c>
      <c r="C539" t="s">
        <v>2079</v>
      </c>
      <c r="D539" s="2" t="s">
        <v>2080</v>
      </c>
      <c r="E539" t="s">
        <v>81</v>
      </c>
      <c r="F539" t="s">
        <v>77</v>
      </c>
      <c r="G539" t="s">
        <v>31</v>
      </c>
      <c r="H539" t="s">
        <v>31</v>
      </c>
      <c r="I539" t="s">
        <v>32</v>
      </c>
    </row>
    <row r="540" spans="1:9" x14ac:dyDescent="0.25">
      <c r="A540" t="s">
        <v>2084</v>
      </c>
      <c r="B540" t="s">
        <v>2078</v>
      </c>
      <c r="C540" t="s">
        <v>2079</v>
      </c>
      <c r="D540" s="2" t="s">
        <v>77</v>
      </c>
      <c r="E540" t="s">
        <v>81</v>
      </c>
      <c r="F540" t="s">
        <v>77</v>
      </c>
      <c r="G540" t="s">
        <v>31</v>
      </c>
      <c r="H540" t="s">
        <v>31</v>
      </c>
      <c r="I540" t="s">
        <v>32</v>
      </c>
    </row>
    <row r="541" spans="1:9" x14ac:dyDescent="0.25">
      <c r="A541" t="s">
        <v>2085</v>
      </c>
      <c r="B541" t="s">
        <v>2078</v>
      </c>
      <c r="C541" t="s">
        <v>2079</v>
      </c>
      <c r="D541" s="2">
        <v>0</v>
      </c>
      <c r="E541" t="s">
        <v>30</v>
      </c>
      <c r="F541" t="s">
        <v>77</v>
      </c>
      <c r="G541">
        <v>1</v>
      </c>
      <c r="H541">
        <v>100</v>
      </c>
      <c r="I541" t="s">
        <v>32</v>
      </c>
    </row>
    <row r="542" spans="1:9" x14ac:dyDescent="0.25">
      <c r="A542" t="s">
        <v>2086</v>
      </c>
      <c r="B542" t="s">
        <v>2078</v>
      </c>
      <c r="C542" t="s">
        <v>2079</v>
      </c>
      <c r="D542" s="2">
        <v>100</v>
      </c>
      <c r="E542" t="s">
        <v>30</v>
      </c>
      <c r="F542" t="s">
        <v>77</v>
      </c>
      <c r="G542">
        <v>1</v>
      </c>
      <c r="H542">
        <v>100</v>
      </c>
      <c r="I542" t="s">
        <v>32</v>
      </c>
    </row>
    <row r="543" spans="1:9" x14ac:dyDescent="0.25">
      <c r="A543" t="s">
        <v>2087</v>
      </c>
      <c r="B543" t="s">
        <v>2078</v>
      </c>
      <c r="C543" t="s">
        <v>2079</v>
      </c>
      <c r="D543" s="2" t="b">
        <v>1</v>
      </c>
      <c r="E543" t="s">
        <v>88</v>
      </c>
      <c r="F543" t="s">
        <v>77</v>
      </c>
      <c r="G543" t="s">
        <v>31</v>
      </c>
      <c r="H543" t="s">
        <v>31</v>
      </c>
      <c r="I543" t="s">
        <v>32</v>
      </c>
    </row>
    <row r="544" spans="1:9" x14ac:dyDescent="0.25">
      <c r="A544" t="s">
        <v>2088</v>
      </c>
      <c r="B544" t="s">
        <v>2089</v>
      </c>
      <c r="C544" t="s">
        <v>2090</v>
      </c>
      <c r="D544" s="3">
        <v>9</v>
      </c>
      <c r="E544" t="s">
        <v>30</v>
      </c>
      <c r="F544" t="s">
        <v>77</v>
      </c>
      <c r="G544">
        <v>1</v>
      </c>
      <c r="H544">
        <v>100</v>
      </c>
      <c r="I544" t="s">
        <v>2091</v>
      </c>
    </row>
    <row r="545" spans="1:9" x14ac:dyDescent="0.25">
      <c r="A545" t="s">
        <v>2092</v>
      </c>
      <c r="B545" t="s">
        <v>2089</v>
      </c>
      <c r="C545" t="s">
        <v>2090</v>
      </c>
      <c r="D545" s="2" t="s">
        <v>1795</v>
      </c>
      <c r="E545" t="s">
        <v>81</v>
      </c>
      <c r="F545" t="s">
        <v>77</v>
      </c>
      <c r="G545" t="s">
        <v>31</v>
      </c>
      <c r="H545" t="s">
        <v>31</v>
      </c>
      <c r="I545" t="s">
        <v>32</v>
      </c>
    </row>
    <row r="546" spans="1:9" x14ac:dyDescent="0.25">
      <c r="A546" t="s">
        <v>2093</v>
      </c>
      <c r="B546" t="s">
        <v>2089</v>
      </c>
      <c r="C546" t="s">
        <v>2090</v>
      </c>
      <c r="D546" s="2" t="s">
        <v>2090</v>
      </c>
      <c r="E546" t="s">
        <v>81</v>
      </c>
      <c r="F546" t="s">
        <v>77</v>
      </c>
      <c r="G546" t="s">
        <v>31</v>
      </c>
      <c r="H546" t="s">
        <v>31</v>
      </c>
      <c r="I546" t="s">
        <v>32</v>
      </c>
    </row>
    <row r="547" spans="1:9" x14ac:dyDescent="0.25">
      <c r="A547" t="s">
        <v>2094</v>
      </c>
      <c r="B547" t="s">
        <v>2089</v>
      </c>
      <c r="C547" t="s">
        <v>2090</v>
      </c>
      <c r="D547" s="2" t="s">
        <v>2091</v>
      </c>
      <c r="E547" t="s">
        <v>81</v>
      </c>
      <c r="F547" t="s">
        <v>77</v>
      </c>
      <c r="G547" t="s">
        <v>31</v>
      </c>
      <c r="H547" t="s">
        <v>31</v>
      </c>
      <c r="I547" t="s">
        <v>32</v>
      </c>
    </row>
    <row r="548" spans="1:9" x14ac:dyDescent="0.25">
      <c r="A548" t="s">
        <v>2095</v>
      </c>
      <c r="B548" t="s">
        <v>2089</v>
      </c>
      <c r="C548" t="s">
        <v>2090</v>
      </c>
      <c r="D548" s="2" t="s">
        <v>77</v>
      </c>
      <c r="E548" t="s">
        <v>81</v>
      </c>
      <c r="F548" t="s">
        <v>77</v>
      </c>
      <c r="G548" t="s">
        <v>31</v>
      </c>
      <c r="H548" t="s">
        <v>31</v>
      </c>
      <c r="I548" t="s">
        <v>32</v>
      </c>
    </row>
    <row r="549" spans="1:9" x14ac:dyDescent="0.25">
      <c r="A549" t="s">
        <v>2096</v>
      </c>
      <c r="B549" t="s">
        <v>2089</v>
      </c>
      <c r="C549" t="s">
        <v>2090</v>
      </c>
      <c r="D549" s="2">
        <v>0</v>
      </c>
      <c r="E549" t="s">
        <v>30</v>
      </c>
      <c r="F549" t="s">
        <v>77</v>
      </c>
      <c r="G549">
        <v>1</v>
      </c>
      <c r="H549">
        <v>100</v>
      </c>
      <c r="I549" t="s">
        <v>32</v>
      </c>
    </row>
    <row r="550" spans="1:9" x14ac:dyDescent="0.25">
      <c r="A550" t="s">
        <v>2097</v>
      </c>
      <c r="B550" t="s">
        <v>2089</v>
      </c>
      <c r="C550" t="s">
        <v>2090</v>
      </c>
      <c r="D550" s="2">
        <v>100</v>
      </c>
      <c r="E550" t="s">
        <v>30</v>
      </c>
      <c r="F550" t="s">
        <v>77</v>
      </c>
      <c r="G550">
        <v>1</v>
      </c>
      <c r="H550">
        <v>100</v>
      </c>
      <c r="I550" t="s">
        <v>32</v>
      </c>
    </row>
    <row r="551" spans="1:9" x14ac:dyDescent="0.25">
      <c r="A551" t="s">
        <v>2098</v>
      </c>
      <c r="B551" t="s">
        <v>2089</v>
      </c>
      <c r="C551" t="s">
        <v>2090</v>
      </c>
      <c r="D551" s="2" t="b">
        <v>1</v>
      </c>
      <c r="E551" t="s">
        <v>88</v>
      </c>
      <c r="F551" t="s">
        <v>77</v>
      </c>
      <c r="G551" t="s">
        <v>31</v>
      </c>
      <c r="H551" t="s">
        <v>31</v>
      </c>
      <c r="I551" t="s">
        <v>32</v>
      </c>
    </row>
    <row r="552" spans="1:9" x14ac:dyDescent="0.25">
      <c r="A552" t="s">
        <v>2099</v>
      </c>
      <c r="B552" t="s">
        <v>2100</v>
      </c>
      <c r="C552" t="s">
        <v>2101</v>
      </c>
      <c r="D552" s="3">
        <v>2</v>
      </c>
      <c r="E552" t="s">
        <v>30</v>
      </c>
      <c r="F552" t="s">
        <v>77</v>
      </c>
      <c r="G552">
        <v>1</v>
      </c>
      <c r="H552">
        <v>100</v>
      </c>
      <c r="I552" t="s">
        <v>2102</v>
      </c>
    </row>
    <row r="553" spans="1:9" x14ac:dyDescent="0.25">
      <c r="A553" t="s">
        <v>2103</v>
      </c>
      <c r="B553" t="s">
        <v>2100</v>
      </c>
      <c r="C553" t="s">
        <v>2101</v>
      </c>
      <c r="D553" s="2" t="s">
        <v>1795</v>
      </c>
      <c r="E553" t="s">
        <v>81</v>
      </c>
      <c r="F553" t="s">
        <v>77</v>
      </c>
      <c r="G553" t="s">
        <v>31</v>
      </c>
      <c r="H553" t="s">
        <v>31</v>
      </c>
      <c r="I553" t="s">
        <v>32</v>
      </c>
    </row>
    <row r="554" spans="1:9" x14ac:dyDescent="0.25">
      <c r="A554" t="s">
        <v>2104</v>
      </c>
      <c r="B554" t="s">
        <v>2100</v>
      </c>
      <c r="C554" t="s">
        <v>2101</v>
      </c>
      <c r="D554" s="2" t="s">
        <v>2101</v>
      </c>
      <c r="E554" t="s">
        <v>81</v>
      </c>
      <c r="F554" t="s">
        <v>77</v>
      </c>
      <c r="G554" t="s">
        <v>31</v>
      </c>
      <c r="H554" t="s">
        <v>31</v>
      </c>
      <c r="I554" t="s">
        <v>32</v>
      </c>
    </row>
    <row r="555" spans="1:9" x14ac:dyDescent="0.25">
      <c r="A555" t="s">
        <v>2105</v>
      </c>
      <c r="B555" t="s">
        <v>2100</v>
      </c>
      <c r="C555" t="s">
        <v>2101</v>
      </c>
      <c r="D555" s="2" t="s">
        <v>2102</v>
      </c>
      <c r="E555" t="s">
        <v>81</v>
      </c>
      <c r="F555" t="s">
        <v>77</v>
      </c>
      <c r="G555" t="s">
        <v>31</v>
      </c>
      <c r="H555" t="s">
        <v>31</v>
      </c>
      <c r="I555" t="s">
        <v>32</v>
      </c>
    </row>
    <row r="556" spans="1:9" x14ac:dyDescent="0.25">
      <c r="A556" t="s">
        <v>2106</v>
      </c>
      <c r="B556" t="s">
        <v>2100</v>
      </c>
      <c r="C556" t="s">
        <v>2101</v>
      </c>
      <c r="D556" s="2" t="s">
        <v>77</v>
      </c>
      <c r="E556" t="s">
        <v>81</v>
      </c>
      <c r="F556" t="s">
        <v>77</v>
      </c>
      <c r="G556" t="s">
        <v>31</v>
      </c>
      <c r="H556" t="s">
        <v>31</v>
      </c>
      <c r="I556" t="s">
        <v>32</v>
      </c>
    </row>
    <row r="557" spans="1:9" x14ac:dyDescent="0.25">
      <c r="A557" t="s">
        <v>2107</v>
      </c>
      <c r="B557" t="s">
        <v>2100</v>
      </c>
      <c r="C557" t="s">
        <v>2101</v>
      </c>
      <c r="D557" s="2">
        <v>0</v>
      </c>
      <c r="E557" t="s">
        <v>30</v>
      </c>
      <c r="F557" t="s">
        <v>77</v>
      </c>
      <c r="G557">
        <v>1</v>
      </c>
      <c r="H557">
        <v>100</v>
      </c>
      <c r="I557" t="s">
        <v>32</v>
      </c>
    </row>
    <row r="558" spans="1:9" x14ac:dyDescent="0.25">
      <c r="A558" t="s">
        <v>2108</v>
      </c>
      <c r="B558" t="s">
        <v>2100</v>
      </c>
      <c r="C558" t="s">
        <v>2101</v>
      </c>
      <c r="D558" s="2">
        <v>100</v>
      </c>
      <c r="E558" t="s">
        <v>30</v>
      </c>
      <c r="F558" t="s">
        <v>77</v>
      </c>
      <c r="G558">
        <v>1</v>
      </c>
      <c r="H558">
        <v>100</v>
      </c>
      <c r="I558" t="s">
        <v>32</v>
      </c>
    </row>
    <row r="559" spans="1:9" x14ac:dyDescent="0.25">
      <c r="A559" t="s">
        <v>2109</v>
      </c>
      <c r="B559" t="s">
        <v>2100</v>
      </c>
      <c r="C559" t="s">
        <v>2101</v>
      </c>
      <c r="D559" s="2" t="b">
        <v>1</v>
      </c>
      <c r="E559" t="s">
        <v>88</v>
      </c>
      <c r="F559" t="s">
        <v>77</v>
      </c>
      <c r="G559" t="s">
        <v>31</v>
      </c>
      <c r="H559" t="s">
        <v>31</v>
      </c>
      <c r="I559" t="s">
        <v>32</v>
      </c>
    </row>
    <row r="560" spans="1:9" x14ac:dyDescent="0.25">
      <c r="A560" t="s">
        <v>2110</v>
      </c>
      <c r="B560" t="s">
        <v>2111</v>
      </c>
      <c r="C560" t="s">
        <v>2112</v>
      </c>
      <c r="D560" s="3">
        <v>3</v>
      </c>
      <c r="E560" t="s">
        <v>30</v>
      </c>
      <c r="F560" t="s">
        <v>77</v>
      </c>
      <c r="G560">
        <v>1</v>
      </c>
      <c r="H560">
        <v>100</v>
      </c>
      <c r="I560" t="s">
        <v>2113</v>
      </c>
    </row>
    <row r="561" spans="1:9" x14ac:dyDescent="0.25">
      <c r="A561" t="s">
        <v>2114</v>
      </c>
      <c r="B561" t="s">
        <v>2111</v>
      </c>
      <c r="C561" t="s">
        <v>2112</v>
      </c>
      <c r="D561" s="2" t="s">
        <v>1795</v>
      </c>
      <c r="E561" t="s">
        <v>81</v>
      </c>
      <c r="F561" t="s">
        <v>77</v>
      </c>
      <c r="G561" t="s">
        <v>31</v>
      </c>
      <c r="H561" t="s">
        <v>31</v>
      </c>
      <c r="I561" t="s">
        <v>32</v>
      </c>
    </row>
    <row r="562" spans="1:9" x14ac:dyDescent="0.25">
      <c r="A562" t="s">
        <v>2115</v>
      </c>
      <c r="B562" t="s">
        <v>2111</v>
      </c>
      <c r="C562" t="s">
        <v>2112</v>
      </c>
      <c r="D562" s="2" t="s">
        <v>2112</v>
      </c>
      <c r="E562" t="s">
        <v>81</v>
      </c>
      <c r="F562" t="s">
        <v>77</v>
      </c>
      <c r="G562" t="s">
        <v>31</v>
      </c>
      <c r="H562" t="s">
        <v>31</v>
      </c>
      <c r="I562" t="s">
        <v>32</v>
      </c>
    </row>
    <row r="563" spans="1:9" x14ac:dyDescent="0.25">
      <c r="A563" t="s">
        <v>2116</v>
      </c>
      <c r="B563" t="s">
        <v>2111</v>
      </c>
      <c r="C563" t="s">
        <v>2112</v>
      </c>
      <c r="D563" s="2" t="s">
        <v>2113</v>
      </c>
      <c r="E563" t="s">
        <v>81</v>
      </c>
      <c r="F563" t="s">
        <v>77</v>
      </c>
      <c r="G563" t="s">
        <v>31</v>
      </c>
      <c r="H563" t="s">
        <v>31</v>
      </c>
      <c r="I563" t="s">
        <v>32</v>
      </c>
    </row>
    <row r="564" spans="1:9" x14ac:dyDescent="0.25">
      <c r="A564" t="s">
        <v>2117</v>
      </c>
      <c r="B564" t="s">
        <v>2111</v>
      </c>
      <c r="C564" t="s">
        <v>2112</v>
      </c>
      <c r="D564" s="2" t="s">
        <v>77</v>
      </c>
      <c r="E564" t="s">
        <v>81</v>
      </c>
      <c r="F564" t="s">
        <v>77</v>
      </c>
      <c r="G564" t="s">
        <v>31</v>
      </c>
      <c r="H564" t="s">
        <v>31</v>
      </c>
      <c r="I564" t="s">
        <v>32</v>
      </c>
    </row>
    <row r="565" spans="1:9" x14ac:dyDescent="0.25">
      <c r="A565" t="s">
        <v>2118</v>
      </c>
      <c r="B565" t="s">
        <v>2111</v>
      </c>
      <c r="C565" t="s">
        <v>2112</v>
      </c>
      <c r="D565" s="2">
        <v>0</v>
      </c>
      <c r="E565" t="s">
        <v>30</v>
      </c>
      <c r="F565" t="s">
        <v>77</v>
      </c>
      <c r="G565">
        <v>1</v>
      </c>
      <c r="H565">
        <v>100</v>
      </c>
      <c r="I565" t="s">
        <v>32</v>
      </c>
    </row>
    <row r="566" spans="1:9" x14ac:dyDescent="0.25">
      <c r="A566" t="s">
        <v>2119</v>
      </c>
      <c r="B566" t="s">
        <v>2111</v>
      </c>
      <c r="C566" t="s">
        <v>2112</v>
      </c>
      <c r="D566" s="2">
        <v>100</v>
      </c>
      <c r="E566" t="s">
        <v>30</v>
      </c>
      <c r="F566" t="s">
        <v>77</v>
      </c>
      <c r="G566">
        <v>1</v>
      </c>
      <c r="H566">
        <v>100</v>
      </c>
      <c r="I566" t="s">
        <v>32</v>
      </c>
    </row>
    <row r="567" spans="1:9" x14ac:dyDescent="0.25">
      <c r="A567" t="s">
        <v>2120</v>
      </c>
      <c r="B567" t="s">
        <v>2111</v>
      </c>
      <c r="C567" t="s">
        <v>2112</v>
      </c>
      <c r="D567" s="2" t="b">
        <v>1</v>
      </c>
      <c r="E567" t="s">
        <v>88</v>
      </c>
      <c r="F567" t="s">
        <v>77</v>
      </c>
      <c r="G567" t="s">
        <v>31</v>
      </c>
      <c r="H567" t="s">
        <v>31</v>
      </c>
      <c r="I567" t="s">
        <v>32</v>
      </c>
    </row>
    <row r="568" spans="1:9" x14ac:dyDescent="0.25">
      <c r="A568" t="s">
        <v>2121</v>
      </c>
      <c r="B568" t="s">
        <v>2122</v>
      </c>
      <c r="C568" t="s">
        <v>2123</v>
      </c>
      <c r="D568" s="3">
        <v>30</v>
      </c>
      <c r="E568" t="s">
        <v>30</v>
      </c>
      <c r="F568" t="s">
        <v>77</v>
      </c>
      <c r="G568">
        <v>1</v>
      </c>
      <c r="H568">
        <v>100</v>
      </c>
      <c r="I568" t="s">
        <v>2124</v>
      </c>
    </row>
    <row r="569" spans="1:9" x14ac:dyDescent="0.25">
      <c r="A569" t="s">
        <v>2125</v>
      </c>
      <c r="B569" t="s">
        <v>2122</v>
      </c>
      <c r="C569" t="s">
        <v>2123</v>
      </c>
      <c r="D569" s="2" t="s">
        <v>1795</v>
      </c>
      <c r="E569" t="s">
        <v>81</v>
      </c>
      <c r="F569" t="s">
        <v>77</v>
      </c>
      <c r="G569" t="s">
        <v>31</v>
      </c>
      <c r="H569" t="s">
        <v>31</v>
      </c>
      <c r="I569" t="s">
        <v>32</v>
      </c>
    </row>
    <row r="570" spans="1:9" x14ac:dyDescent="0.25">
      <c r="A570" t="s">
        <v>2126</v>
      </c>
      <c r="B570" t="s">
        <v>2122</v>
      </c>
      <c r="C570" t="s">
        <v>2123</v>
      </c>
      <c r="D570" s="2" t="s">
        <v>2123</v>
      </c>
      <c r="E570" t="s">
        <v>81</v>
      </c>
      <c r="F570" t="s">
        <v>77</v>
      </c>
      <c r="G570" t="s">
        <v>31</v>
      </c>
      <c r="H570" t="s">
        <v>31</v>
      </c>
      <c r="I570" t="s">
        <v>32</v>
      </c>
    </row>
    <row r="571" spans="1:9" x14ac:dyDescent="0.25">
      <c r="A571" t="s">
        <v>2127</v>
      </c>
      <c r="B571" t="s">
        <v>2122</v>
      </c>
      <c r="C571" t="s">
        <v>2123</v>
      </c>
      <c r="D571" s="2" t="s">
        <v>2124</v>
      </c>
      <c r="E571" t="s">
        <v>81</v>
      </c>
      <c r="F571" t="s">
        <v>77</v>
      </c>
      <c r="G571" t="s">
        <v>31</v>
      </c>
      <c r="H571" t="s">
        <v>31</v>
      </c>
      <c r="I571" t="s">
        <v>32</v>
      </c>
    </row>
    <row r="572" spans="1:9" x14ac:dyDescent="0.25">
      <c r="A572" t="s">
        <v>2128</v>
      </c>
      <c r="B572" t="s">
        <v>2122</v>
      </c>
      <c r="C572" t="s">
        <v>2123</v>
      </c>
      <c r="D572" s="2" t="s">
        <v>77</v>
      </c>
      <c r="E572" t="s">
        <v>81</v>
      </c>
      <c r="F572" t="s">
        <v>77</v>
      </c>
      <c r="G572" t="s">
        <v>31</v>
      </c>
      <c r="H572" t="s">
        <v>31</v>
      </c>
      <c r="I572" t="s">
        <v>32</v>
      </c>
    </row>
    <row r="573" spans="1:9" x14ac:dyDescent="0.25">
      <c r="A573" t="s">
        <v>2129</v>
      </c>
      <c r="B573" t="s">
        <v>2122</v>
      </c>
      <c r="C573" t="s">
        <v>2123</v>
      </c>
      <c r="D573" s="2">
        <v>0</v>
      </c>
      <c r="E573" t="s">
        <v>30</v>
      </c>
      <c r="F573" t="s">
        <v>77</v>
      </c>
      <c r="G573">
        <v>1</v>
      </c>
      <c r="H573">
        <v>100</v>
      </c>
      <c r="I573" t="s">
        <v>32</v>
      </c>
    </row>
    <row r="574" spans="1:9" x14ac:dyDescent="0.25">
      <c r="A574" t="s">
        <v>2130</v>
      </c>
      <c r="B574" t="s">
        <v>2122</v>
      </c>
      <c r="C574" t="s">
        <v>2123</v>
      </c>
      <c r="D574" s="2">
        <v>300</v>
      </c>
      <c r="E574" t="s">
        <v>30</v>
      </c>
      <c r="F574" t="s">
        <v>77</v>
      </c>
      <c r="G574">
        <v>1</v>
      </c>
      <c r="H574">
        <v>100</v>
      </c>
      <c r="I574" t="s">
        <v>32</v>
      </c>
    </row>
    <row r="575" spans="1:9" x14ac:dyDescent="0.25">
      <c r="A575" t="s">
        <v>2131</v>
      </c>
      <c r="B575" t="s">
        <v>2122</v>
      </c>
      <c r="C575" t="s">
        <v>2123</v>
      </c>
      <c r="D575" s="2" t="b">
        <v>1</v>
      </c>
      <c r="E575" t="s">
        <v>88</v>
      </c>
      <c r="F575" t="s">
        <v>77</v>
      </c>
      <c r="G575" t="s">
        <v>31</v>
      </c>
      <c r="H575" t="s">
        <v>31</v>
      </c>
      <c r="I575" t="s">
        <v>32</v>
      </c>
    </row>
    <row r="576" spans="1:9" x14ac:dyDescent="0.25">
      <c r="A576" t="s">
        <v>2132</v>
      </c>
      <c r="B576" t="s">
        <v>2133</v>
      </c>
      <c r="C576" t="s">
        <v>2134</v>
      </c>
      <c r="D576" s="3">
        <v>9</v>
      </c>
      <c r="E576" t="s">
        <v>30</v>
      </c>
      <c r="F576" t="s">
        <v>77</v>
      </c>
      <c r="G576">
        <v>1</v>
      </c>
      <c r="H576">
        <v>100</v>
      </c>
      <c r="I576" t="s">
        <v>2135</v>
      </c>
    </row>
    <row r="577" spans="1:9" x14ac:dyDescent="0.25">
      <c r="A577" t="s">
        <v>2136</v>
      </c>
      <c r="B577" t="s">
        <v>2133</v>
      </c>
      <c r="C577" t="s">
        <v>2134</v>
      </c>
      <c r="D577" s="2" t="s">
        <v>1795</v>
      </c>
      <c r="E577" t="s">
        <v>81</v>
      </c>
      <c r="F577" t="s">
        <v>77</v>
      </c>
      <c r="G577" t="s">
        <v>31</v>
      </c>
      <c r="H577" t="s">
        <v>31</v>
      </c>
      <c r="I577" t="s">
        <v>32</v>
      </c>
    </row>
    <row r="578" spans="1:9" x14ac:dyDescent="0.25">
      <c r="A578" t="s">
        <v>2137</v>
      </c>
      <c r="B578" t="s">
        <v>2133</v>
      </c>
      <c r="C578" t="s">
        <v>2134</v>
      </c>
      <c r="D578" s="2" t="s">
        <v>2134</v>
      </c>
      <c r="E578" t="s">
        <v>81</v>
      </c>
      <c r="F578" t="s">
        <v>77</v>
      </c>
      <c r="G578" t="s">
        <v>31</v>
      </c>
      <c r="H578" t="s">
        <v>31</v>
      </c>
      <c r="I578" t="s">
        <v>32</v>
      </c>
    </row>
    <row r="579" spans="1:9" x14ac:dyDescent="0.25">
      <c r="A579" t="s">
        <v>2138</v>
      </c>
      <c r="B579" t="s">
        <v>2133</v>
      </c>
      <c r="C579" t="s">
        <v>2134</v>
      </c>
      <c r="D579" s="2" t="s">
        <v>2135</v>
      </c>
      <c r="E579" t="s">
        <v>81</v>
      </c>
      <c r="F579" t="s">
        <v>77</v>
      </c>
      <c r="G579" t="s">
        <v>31</v>
      </c>
      <c r="H579" t="s">
        <v>31</v>
      </c>
      <c r="I579" t="s">
        <v>32</v>
      </c>
    </row>
    <row r="580" spans="1:9" x14ac:dyDescent="0.25">
      <c r="A580" t="s">
        <v>2139</v>
      </c>
      <c r="B580" t="s">
        <v>2133</v>
      </c>
      <c r="C580" t="s">
        <v>2134</v>
      </c>
      <c r="D580" s="2" t="s">
        <v>77</v>
      </c>
      <c r="E580" t="s">
        <v>81</v>
      </c>
      <c r="F580" t="s">
        <v>77</v>
      </c>
      <c r="G580" t="s">
        <v>31</v>
      </c>
      <c r="H580" t="s">
        <v>31</v>
      </c>
      <c r="I580" t="s">
        <v>32</v>
      </c>
    </row>
    <row r="581" spans="1:9" x14ac:dyDescent="0.25">
      <c r="A581" t="s">
        <v>2140</v>
      </c>
      <c r="B581" t="s">
        <v>2133</v>
      </c>
      <c r="C581" t="s">
        <v>2134</v>
      </c>
      <c r="D581" s="2">
        <v>0</v>
      </c>
      <c r="E581" t="s">
        <v>30</v>
      </c>
      <c r="F581" t="s">
        <v>77</v>
      </c>
      <c r="G581">
        <v>1</v>
      </c>
      <c r="H581">
        <v>100</v>
      </c>
      <c r="I581" t="s">
        <v>32</v>
      </c>
    </row>
    <row r="582" spans="1:9" x14ac:dyDescent="0.25">
      <c r="A582" t="s">
        <v>2141</v>
      </c>
      <c r="B582" t="s">
        <v>2133</v>
      </c>
      <c r="C582" t="s">
        <v>2134</v>
      </c>
      <c r="D582" s="2">
        <v>100</v>
      </c>
      <c r="E582" t="s">
        <v>30</v>
      </c>
      <c r="F582" t="s">
        <v>77</v>
      </c>
      <c r="G582">
        <v>1</v>
      </c>
      <c r="H582">
        <v>100</v>
      </c>
      <c r="I582" t="s">
        <v>32</v>
      </c>
    </row>
    <row r="583" spans="1:9" x14ac:dyDescent="0.25">
      <c r="A583" t="s">
        <v>2142</v>
      </c>
      <c r="B583" t="s">
        <v>2133</v>
      </c>
      <c r="C583" t="s">
        <v>2134</v>
      </c>
      <c r="D583" s="2" t="b">
        <v>1</v>
      </c>
      <c r="E583" t="s">
        <v>88</v>
      </c>
      <c r="F583" t="s">
        <v>77</v>
      </c>
      <c r="G583" t="s">
        <v>31</v>
      </c>
      <c r="H583" t="s">
        <v>31</v>
      </c>
      <c r="I583" t="s">
        <v>32</v>
      </c>
    </row>
    <row r="584" spans="1:9" x14ac:dyDescent="0.25">
      <c r="A584" t="s">
        <v>2143</v>
      </c>
      <c r="B584" t="s">
        <v>2144</v>
      </c>
      <c r="C584" t="s">
        <v>2145</v>
      </c>
      <c r="D584" s="3">
        <v>3.2</v>
      </c>
      <c r="E584" t="s">
        <v>30</v>
      </c>
      <c r="F584" t="s">
        <v>77</v>
      </c>
      <c r="G584">
        <v>0</v>
      </c>
      <c r="H584">
        <v>100</v>
      </c>
      <c r="I584" t="s">
        <v>2146</v>
      </c>
    </row>
    <row r="585" spans="1:9" x14ac:dyDescent="0.25">
      <c r="A585" t="s">
        <v>2147</v>
      </c>
      <c r="B585" t="s">
        <v>2144</v>
      </c>
      <c r="C585" t="s">
        <v>2145</v>
      </c>
      <c r="D585" s="2" t="s">
        <v>1795</v>
      </c>
      <c r="E585" t="s">
        <v>81</v>
      </c>
      <c r="F585" t="s">
        <v>77</v>
      </c>
      <c r="G585" t="s">
        <v>31</v>
      </c>
      <c r="H585" t="s">
        <v>31</v>
      </c>
      <c r="I585" t="s">
        <v>32</v>
      </c>
    </row>
    <row r="586" spans="1:9" x14ac:dyDescent="0.25">
      <c r="A586" t="s">
        <v>2148</v>
      </c>
      <c r="B586" t="s">
        <v>2144</v>
      </c>
      <c r="C586" t="s">
        <v>2145</v>
      </c>
      <c r="D586" s="2" t="s">
        <v>2145</v>
      </c>
      <c r="E586" t="s">
        <v>81</v>
      </c>
      <c r="F586" t="s">
        <v>77</v>
      </c>
      <c r="G586" t="s">
        <v>31</v>
      </c>
      <c r="H586" t="s">
        <v>31</v>
      </c>
      <c r="I586" t="s">
        <v>32</v>
      </c>
    </row>
    <row r="587" spans="1:9" x14ac:dyDescent="0.25">
      <c r="A587" t="s">
        <v>2149</v>
      </c>
      <c r="B587" t="s">
        <v>2144</v>
      </c>
      <c r="C587" t="s">
        <v>2145</v>
      </c>
      <c r="D587" s="2" t="s">
        <v>2146</v>
      </c>
      <c r="E587" t="s">
        <v>81</v>
      </c>
      <c r="F587" t="s">
        <v>77</v>
      </c>
      <c r="G587" t="s">
        <v>31</v>
      </c>
      <c r="H587" t="s">
        <v>31</v>
      </c>
      <c r="I587" t="s">
        <v>32</v>
      </c>
    </row>
    <row r="588" spans="1:9" x14ac:dyDescent="0.25">
      <c r="A588" t="s">
        <v>2150</v>
      </c>
      <c r="B588" t="s">
        <v>2144</v>
      </c>
      <c r="C588" t="s">
        <v>2145</v>
      </c>
      <c r="D588" s="2" t="s">
        <v>77</v>
      </c>
      <c r="E588" t="s">
        <v>81</v>
      </c>
      <c r="F588" t="s">
        <v>77</v>
      </c>
      <c r="G588" t="s">
        <v>31</v>
      </c>
      <c r="H588" t="s">
        <v>31</v>
      </c>
      <c r="I588" t="s">
        <v>32</v>
      </c>
    </row>
    <row r="589" spans="1:9" x14ac:dyDescent="0.25">
      <c r="A589" t="s">
        <v>2151</v>
      </c>
      <c r="B589" t="s">
        <v>2144</v>
      </c>
      <c r="C589" t="s">
        <v>2145</v>
      </c>
      <c r="D589" s="2">
        <v>0</v>
      </c>
      <c r="E589" t="s">
        <v>30</v>
      </c>
      <c r="F589" t="s">
        <v>77</v>
      </c>
      <c r="G589">
        <v>0</v>
      </c>
      <c r="H589">
        <v>100</v>
      </c>
      <c r="I589" t="s">
        <v>32</v>
      </c>
    </row>
    <row r="590" spans="1:9" x14ac:dyDescent="0.25">
      <c r="A590" t="s">
        <v>2152</v>
      </c>
      <c r="B590" t="s">
        <v>2144</v>
      </c>
      <c r="C590" t="s">
        <v>2145</v>
      </c>
      <c r="D590" s="2">
        <v>100</v>
      </c>
      <c r="E590" t="s">
        <v>30</v>
      </c>
      <c r="F590" t="s">
        <v>77</v>
      </c>
      <c r="G590">
        <v>0</v>
      </c>
      <c r="H590">
        <v>100</v>
      </c>
      <c r="I590" t="s">
        <v>32</v>
      </c>
    </row>
    <row r="591" spans="1:9" x14ac:dyDescent="0.25">
      <c r="A591" t="s">
        <v>2153</v>
      </c>
      <c r="B591" t="s">
        <v>2144</v>
      </c>
      <c r="C591" t="s">
        <v>2145</v>
      </c>
      <c r="D591" s="2" t="b">
        <v>0</v>
      </c>
      <c r="E591" t="s">
        <v>88</v>
      </c>
      <c r="F591" t="s">
        <v>77</v>
      </c>
      <c r="G591" t="s">
        <v>31</v>
      </c>
      <c r="H591" t="s">
        <v>31</v>
      </c>
      <c r="I591" t="s">
        <v>32</v>
      </c>
    </row>
    <row r="592" spans="1:9" x14ac:dyDescent="0.25">
      <c r="A592" t="s">
        <v>2154</v>
      </c>
      <c r="B592" t="s">
        <v>2155</v>
      </c>
      <c r="C592" t="s">
        <v>2156</v>
      </c>
      <c r="D592" s="3">
        <v>16</v>
      </c>
      <c r="E592" t="s">
        <v>30</v>
      </c>
      <c r="F592" t="s">
        <v>77</v>
      </c>
      <c r="G592">
        <v>1</v>
      </c>
      <c r="H592">
        <v>100</v>
      </c>
      <c r="I592" t="s">
        <v>2157</v>
      </c>
    </row>
    <row r="593" spans="1:9" x14ac:dyDescent="0.25">
      <c r="A593" t="s">
        <v>2158</v>
      </c>
      <c r="B593" t="s">
        <v>2155</v>
      </c>
      <c r="C593" t="s">
        <v>2156</v>
      </c>
      <c r="D593" s="2" t="s">
        <v>1795</v>
      </c>
      <c r="E593" t="s">
        <v>81</v>
      </c>
      <c r="F593" t="s">
        <v>77</v>
      </c>
      <c r="G593" t="s">
        <v>31</v>
      </c>
      <c r="H593" t="s">
        <v>31</v>
      </c>
      <c r="I593" t="s">
        <v>32</v>
      </c>
    </row>
    <row r="594" spans="1:9" x14ac:dyDescent="0.25">
      <c r="A594" t="s">
        <v>2159</v>
      </c>
      <c r="B594" t="s">
        <v>2155</v>
      </c>
      <c r="C594" t="s">
        <v>2156</v>
      </c>
      <c r="D594" s="2" t="s">
        <v>2156</v>
      </c>
      <c r="E594" t="s">
        <v>81</v>
      </c>
      <c r="F594" t="s">
        <v>77</v>
      </c>
      <c r="G594" t="s">
        <v>31</v>
      </c>
      <c r="H594" t="s">
        <v>31</v>
      </c>
      <c r="I594" t="s">
        <v>32</v>
      </c>
    </row>
    <row r="595" spans="1:9" x14ac:dyDescent="0.25">
      <c r="A595" t="s">
        <v>2160</v>
      </c>
      <c r="B595" t="s">
        <v>2155</v>
      </c>
      <c r="C595" t="s">
        <v>2156</v>
      </c>
      <c r="D595" s="2" t="s">
        <v>2157</v>
      </c>
      <c r="E595" t="s">
        <v>81</v>
      </c>
      <c r="F595" t="s">
        <v>77</v>
      </c>
      <c r="G595" t="s">
        <v>31</v>
      </c>
      <c r="H595" t="s">
        <v>31</v>
      </c>
      <c r="I595" t="s">
        <v>32</v>
      </c>
    </row>
    <row r="596" spans="1:9" x14ac:dyDescent="0.25">
      <c r="A596" t="s">
        <v>2161</v>
      </c>
      <c r="B596" t="s">
        <v>2155</v>
      </c>
      <c r="C596" t="s">
        <v>2156</v>
      </c>
      <c r="D596" s="2" t="s">
        <v>77</v>
      </c>
      <c r="E596" t="s">
        <v>81</v>
      </c>
      <c r="F596" t="s">
        <v>77</v>
      </c>
      <c r="G596" t="s">
        <v>31</v>
      </c>
      <c r="H596" t="s">
        <v>31</v>
      </c>
      <c r="I596" t="s">
        <v>32</v>
      </c>
    </row>
    <row r="597" spans="1:9" x14ac:dyDescent="0.25">
      <c r="A597" t="s">
        <v>2162</v>
      </c>
      <c r="B597" t="s">
        <v>2155</v>
      </c>
      <c r="C597" t="s">
        <v>2156</v>
      </c>
      <c r="D597" s="2">
        <v>0</v>
      </c>
      <c r="E597" t="s">
        <v>30</v>
      </c>
      <c r="F597" t="s">
        <v>77</v>
      </c>
      <c r="G597">
        <v>1</v>
      </c>
      <c r="H597">
        <v>100</v>
      </c>
      <c r="I597" t="s">
        <v>32</v>
      </c>
    </row>
    <row r="598" spans="1:9" x14ac:dyDescent="0.25">
      <c r="A598" t="s">
        <v>2163</v>
      </c>
      <c r="B598" t="s">
        <v>2155</v>
      </c>
      <c r="C598" t="s">
        <v>2156</v>
      </c>
      <c r="D598" s="2">
        <v>160</v>
      </c>
      <c r="E598" t="s">
        <v>30</v>
      </c>
      <c r="F598" t="s">
        <v>77</v>
      </c>
      <c r="G598">
        <v>1</v>
      </c>
      <c r="H598">
        <v>100</v>
      </c>
      <c r="I598" t="s">
        <v>32</v>
      </c>
    </row>
    <row r="599" spans="1:9" x14ac:dyDescent="0.25">
      <c r="A599" t="s">
        <v>2164</v>
      </c>
      <c r="B599" t="s">
        <v>2155</v>
      </c>
      <c r="C599" t="s">
        <v>2156</v>
      </c>
      <c r="D599" s="2" t="b">
        <v>1</v>
      </c>
      <c r="E599" t="s">
        <v>88</v>
      </c>
      <c r="F599" t="s">
        <v>77</v>
      </c>
      <c r="G599" t="s">
        <v>31</v>
      </c>
      <c r="H599" t="s">
        <v>31</v>
      </c>
      <c r="I599" t="s">
        <v>32</v>
      </c>
    </row>
    <row r="600" spans="1:9" x14ac:dyDescent="0.25">
      <c r="A600" t="s">
        <v>2165</v>
      </c>
      <c r="B600" t="s">
        <v>2166</v>
      </c>
      <c r="C600" t="s">
        <v>2167</v>
      </c>
      <c r="D600" s="3">
        <v>5</v>
      </c>
      <c r="E600" t="s">
        <v>30</v>
      </c>
      <c r="F600" t="s">
        <v>77</v>
      </c>
      <c r="G600">
        <v>1</v>
      </c>
      <c r="H600">
        <v>100</v>
      </c>
      <c r="I600" t="s">
        <v>2168</v>
      </c>
    </row>
    <row r="601" spans="1:9" x14ac:dyDescent="0.25">
      <c r="A601" t="s">
        <v>2169</v>
      </c>
      <c r="B601" t="s">
        <v>2166</v>
      </c>
      <c r="C601" t="s">
        <v>2167</v>
      </c>
      <c r="D601" s="2" t="s">
        <v>1795</v>
      </c>
      <c r="E601" t="s">
        <v>81</v>
      </c>
      <c r="F601" t="s">
        <v>77</v>
      </c>
      <c r="G601" t="s">
        <v>31</v>
      </c>
      <c r="H601" t="s">
        <v>31</v>
      </c>
      <c r="I601" t="s">
        <v>32</v>
      </c>
    </row>
    <row r="602" spans="1:9" x14ac:dyDescent="0.25">
      <c r="A602" t="s">
        <v>2170</v>
      </c>
      <c r="B602" t="s">
        <v>2166</v>
      </c>
      <c r="C602" t="s">
        <v>2167</v>
      </c>
      <c r="D602" s="2" t="s">
        <v>2167</v>
      </c>
      <c r="E602" t="s">
        <v>81</v>
      </c>
      <c r="F602" t="s">
        <v>77</v>
      </c>
      <c r="G602" t="s">
        <v>31</v>
      </c>
      <c r="H602" t="s">
        <v>31</v>
      </c>
      <c r="I602" t="s">
        <v>32</v>
      </c>
    </row>
    <row r="603" spans="1:9" x14ac:dyDescent="0.25">
      <c r="A603" t="s">
        <v>2171</v>
      </c>
      <c r="B603" t="s">
        <v>2166</v>
      </c>
      <c r="C603" t="s">
        <v>2167</v>
      </c>
      <c r="D603" s="2" t="s">
        <v>2168</v>
      </c>
      <c r="E603" t="s">
        <v>81</v>
      </c>
      <c r="F603" t="s">
        <v>77</v>
      </c>
      <c r="G603" t="s">
        <v>31</v>
      </c>
      <c r="H603" t="s">
        <v>31</v>
      </c>
      <c r="I603" t="s">
        <v>32</v>
      </c>
    </row>
    <row r="604" spans="1:9" x14ac:dyDescent="0.25">
      <c r="A604" t="s">
        <v>2172</v>
      </c>
      <c r="B604" t="s">
        <v>2166</v>
      </c>
      <c r="C604" t="s">
        <v>2167</v>
      </c>
      <c r="D604" s="2" t="s">
        <v>77</v>
      </c>
      <c r="E604" t="s">
        <v>81</v>
      </c>
      <c r="F604" t="s">
        <v>77</v>
      </c>
      <c r="G604" t="s">
        <v>31</v>
      </c>
      <c r="H604" t="s">
        <v>31</v>
      </c>
      <c r="I604" t="s">
        <v>32</v>
      </c>
    </row>
    <row r="605" spans="1:9" x14ac:dyDescent="0.25">
      <c r="A605" t="s">
        <v>2173</v>
      </c>
      <c r="B605" t="s">
        <v>2166</v>
      </c>
      <c r="C605" t="s">
        <v>2167</v>
      </c>
      <c r="D605" s="2">
        <v>0</v>
      </c>
      <c r="E605" t="s">
        <v>30</v>
      </c>
      <c r="F605" t="s">
        <v>77</v>
      </c>
      <c r="G605">
        <v>1</v>
      </c>
      <c r="H605">
        <v>100</v>
      </c>
      <c r="I605" t="s">
        <v>32</v>
      </c>
    </row>
    <row r="606" spans="1:9" x14ac:dyDescent="0.25">
      <c r="A606" t="s">
        <v>2174</v>
      </c>
      <c r="B606" t="s">
        <v>2166</v>
      </c>
      <c r="C606" t="s">
        <v>2167</v>
      </c>
      <c r="D606" s="2">
        <v>100</v>
      </c>
      <c r="E606" t="s">
        <v>30</v>
      </c>
      <c r="F606" t="s">
        <v>77</v>
      </c>
      <c r="G606">
        <v>1</v>
      </c>
      <c r="H606">
        <v>100</v>
      </c>
      <c r="I606" t="s">
        <v>32</v>
      </c>
    </row>
    <row r="607" spans="1:9" x14ac:dyDescent="0.25">
      <c r="A607" t="s">
        <v>2175</v>
      </c>
      <c r="B607" t="s">
        <v>2166</v>
      </c>
      <c r="C607" t="s">
        <v>2167</v>
      </c>
      <c r="D607" s="2" t="b">
        <v>1</v>
      </c>
      <c r="E607" t="s">
        <v>88</v>
      </c>
      <c r="F607" t="s">
        <v>77</v>
      </c>
      <c r="G607" t="s">
        <v>31</v>
      </c>
      <c r="H607" t="s">
        <v>31</v>
      </c>
      <c r="I607" t="s">
        <v>32</v>
      </c>
    </row>
    <row r="608" spans="1:9" x14ac:dyDescent="0.25">
      <c r="A608" t="s">
        <v>2176</v>
      </c>
      <c r="B608" t="s">
        <v>2177</v>
      </c>
      <c r="C608" t="s">
        <v>2178</v>
      </c>
      <c r="D608" s="3">
        <v>0.45</v>
      </c>
      <c r="E608" t="s">
        <v>30</v>
      </c>
      <c r="F608" t="s">
        <v>103</v>
      </c>
      <c r="G608">
        <v>0</v>
      </c>
      <c r="H608">
        <v>1</v>
      </c>
      <c r="I608" t="s">
        <v>2179</v>
      </c>
    </row>
    <row r="609" spans="1:9" x14ac:dyDescent="0.25">
      <c r="A609" t="s">
        <v>2180</v>
      </c>
      <c r="B609" t="s">
        <v>2177</v>
      </c>
      <c r="C609" t="s">
        <v>2178</v>
      </c>
      <c r="D609" s="2" t="s">
        <v>1795</v>
      </c>
      <c r="E609" t="s">
        <v>81</v>
      </c>
      <c r="F609" t="s">
        <v>103</v>
      </c>
      <c r="G609" t="s">
        <v>31</v>
      </c>
      <c r="H609" t="s">
        <v>31</v>
      </c>
      <c r="I609" t="s">
        <v>32</v>
      </c>
    </row>
    <row r="610" spans="1:9" x14ac:dyDescent="0.25">
      <c r="A610" t="s">
        <v>2181</v>
      </c>
      <c r="B610" t="s">
        <v>2177</v>
      </c>
      <c r="C610" t="s">
        <v>2178</v>
      </c>
      <c r="D610" s="2" t="s">
        <v>2178</v>
      </c>
      <c r="E610" t="s">
        <v>81</v>
      </c>
      <c r="F610" t="s">
        <v>103</v>
      </c>
      <c r="G610" t="s">
        <v>31</v>
      </c>
      <c r="H610" t="s">
        <v>31</v>
      </c>
      <c r="I610" t="s">
        <v>32</v>
      </c>
    </row>
    <row r="611" spans="1:9" x14ac:dyDescent="0.25">
      <c r="A611" t="s">
        <v>2182</v>
      </c>
      <c r="B611" t="s">
        <v>2177</v>
      </c>
      <c r="C611" t="s">
        <v>2178</v>
      </c>
      <c r="D611" s="2" t="s">
        <v>2179</v>
      </c>
      <c r="E611" t="s">
        <v>81</v>
      </c>
      <c r="F611" t="s">
        <v>103</v>
      </c>
      <c r="G611" t="s">
        <v>31</v>
      </c>
      <c r="H611" t="s">
        <v>31</v>
      </c>
      <c r="I611" t="s">
        <v>32</v>
      </c>
    </row>
    <row r="612" spans="1:9" x14ac:dyDescent="0.25">
      <c r="A612" t="s">
        <v>2183</v>
      </c>
      <c r="B612" t="s">
        <v>2177</v>
      </c>
      <c r="C612" t="s">
        <v>2178</v>
      </c>
      <c r="D612" s="2" t="s">
        <v>103</v>
      </c>
      <c r="E612" t="s">
        <v>81</v>
      </c>
      <c r="F612" t="s">
        <v>103</v>
      </c>
      <c r="G612" t="s">
        <v>31</v>
      </c>
      <c r="H612" t="s">
        <v>31</v>
      </c>
      <c r="I612" t="s">
        <v>32</v>
      </c>
    </row>
    <row r="613" spans="1:9" x14ac:dyDescent="0.25">
      <c r="A613" t="s">
        <v>2184</v>
      </c>
      <c r="B613" t="s">
        <v>2177</v>
      </c>
      <c r="C613" t="s">
        <v>2178</v>
      </c>
      <c r="D613" s="2">
        <v>0</v>
      </c>
      <c r="E613" t="s">
        <v>30</v>
      </c>
      <c r="F613" t="s">
        <v>103</v>
      </c>
      <c r="G613">
        <v>0</v>
      </c>
      <c r="H613">
        <v>1</v>
      </c>
      <c r="I613" t="s">
        <v>32</v>
      </c>
    </row>
    <row r="614" spans="1:9" x14ac:dyDescent="0.25">
      <c r="A614" t="s">
        <v>2185</v>
      </c>
      <c r="B614" t="s">
        <v>2177</v>
      </c>
      <c r="C614" t="s">
        <v>2178</v>
      </c>
      <c r="D614" s="2">
        <v>1</v>
      </c>
      <c r="E614" t="s">
        <v>30</v>
      </c>
      <c r="F614" t="s">
        <v>103</v>
      </c>
      <c r="G614">
        <v>0</v>
      </c>
      <c r="H614">
        <v>1</v>
      </c>
      <c r="I614" t="s">
        <v>32</v>
      </c>
    </row>
    <row r="615" spans="1:9" x14ac:dyDescent="0.25">
      <c r="A615" t="s">
        <v>2186</v>
      </c>
      <c r="B615" t="s">
        <v>2177</v>
      </c>
      <c r="C615" t="s">
        <v>2178</v>
      </c>
      <c r="D615" s="2" t="b">
        <v>0</v>
      </c>
      <c r="E615" t="s">
        <v>88</v>
      </c>
      <c r="F615" t="s">
        <v>103</v>
      </c>
      <c r="G615" t="s">
        <v>31</v>
      </c>
      <c r="H615" t="s">
        <v>31</v>
      </c>
      <c r="I615" t="s">
        <v>32</v>
      </c>
    </row>
    <row r="616" spans="1:9" x14ac:dyDescent="0.25">
      <c r="A616" t="s">
        <v>2187</v>
      </c>
      <c r="B616" t="s">
        <v>2188</v>
      </c>
      <c r="C616" t="s">
        <v>2189</v>
      </c>
      <c r="D616" s="3">
        <v>1.38</v>
      </c>
      <c r="E616" t="s">
        <v>30</v>
      </c>
      <c r="F616" t="s">
        <v>77</v>
      </c>
      <c r="G616">
        <v>0</v>
      </c>
      <c r="H616">
        <v>100</v>
      </c>
      <c r="I616" t="s">
        <v>2190</v>
      </c>
    </row>
    <row r="617" spans="1:9" x14ac:dyDescent="0.25">
      <c r="A617" t="s">
        <v>2191</v>
      </c>
      <c r="B617" t="s">
        <v>2188</v>
      </c>
      <c r="C617" t="s">
        <v>2189</v>
      </c>
      <c r="D617" s="2" t="s">
        <v>1795</v>
      </c>
      <c r="E617" t="s">
        <v>81</v>
      </c>
      <c r="F617" t="s">
        <v>77</v>
      </c>
      <c r="G617" t="s">
        <v>31</v>
      </c>
      <c r="H617" t="s">
        <v>31</v>
      </c>
      <c r="I617" t="s">
        <v>32</v>
      </c>
    </row>
    <row r="618" spans="1:9" x14ac:dyDescent="0.25">
      <c r="A618" t="s">
        <v>2192</v>
      </c>
      <c r="B618" t="s">
        <v>2188</v>
      </c>
      <c r="C618" t="s">
        <v>2189</v>
      </c>
      <c r="D618" s="2" t="s">
        <v>2189</v>
      </c>
      <c r="E618" t="s">
        <v>81</v>
      </c>
      <c r="F618" t="s">
        <v>77</v>
      </c>
      <c r="G618" t="s">
        <v>31</v>
      </c>
      <c r="H618" t="s">
        <v>31</v>
      </c>
      <c r="I618" t="s">
        <v>32</v>
      </c>
    </row>
    <row r="619" spans="1:9" x14ac:dyDescent="0.25">
      <c r="A619" t="s">
        <v>2193</v>
      </c>
      <c r="B619" t="s">
        <v>2188</v>
      </c>
      <c r="C619" t="s">
        <v>2189</v>
      </c>
      <c r="D619" s="2" t="s">
        <v>2190</v>
      </c>
      <c r="E619" t="s">
        <v>81</v>
      </c>
      <c r="F619" t="s">
        <v>77</v>
      </c>
      <c r="G619" t="s">
        <v>31</v>
      </c>
      <c r="H619" t="s">
        <v>31</v>
      </c>
      <c r="I619" t="s">
        <v>32</v>
      </c>
    </row>
    <row r="620" spans="1:9" x14ac:dyDescent="0.25">
      <c r="A620" t="s">
        <v>2194</v>
      </c>
      <c r="B620" t="s">
        <v>2188</v>
      </c>
      <c r="C620" t="s">
        <v>2189</v>
      </c>
      <c r="D620" s="2" t="s">
        <v>77</v>
      </c>
      <c r="E620" t="s">
        <v>81</v>
      </c>
      <c r="F620" t="s">
        <v>77</v>
      </c>
      <c r="G620" t="s">
        <v>31</v>
      </c>
      <c r="H620" t="s">
        <v>31</v>
      </c>
      <c r="I620" t="s">
        <v>32</v>
      </c>
    </row>
    <row r="621" spans="1:9" x14ac:dyDescent="0.25">
      <c r="A621" t="s">
        <v>2195</v>
      </c>
      <c r="B621" t="s">
        <v>2188</v>
      </c>
      <c r="C621" t="s">
        <v>2189</v>
      </c>
      <c r="D621" s="2">
        <v>0</v>
      </c>
      <c r="E621" t="s">
        <v>30</v>
      </c>
      <c r="F621" t="s">
        <v>77</v>
      </c>
      <c r="G621">
        <v>0</v>
      </c>
      <c r="H621">
        <v>100</v>
      </c>
      <c r="I621" t="s">
        <v>32</v>
      </c>
    </row>
    <row r="622" spans="1:9" x14ac:dyDescent="0.25">
      <c r="A622" t="s">
        <v>2196</v>
      </c>
      <c r="B622" t="s">
        <v>2188</v>
      </c>
      <c r="C622" t="s">
        <v>2189</v>
      </c>
      <c r="D622" s="2">
        <v>100</v>
      </c>
      <c r="E622" t="s">
        <v>30</v>
      </c>
      <c r="F622" t="s">
        <v>77</v>
      </c>
      <c r="G622">
        <v>0</v>
      </c>
      <c r="H622">
        <v>100</v>
      </c>
      <c r="I622" t="s">
        <v>32</v>
      </c>
    </row>
    <row r="623" spans="1:9" x14ac:dyDescent="0.25">
      <c r="A623" t="s">
        <v>2197</v>
      </c>
      <c r="B623" t="s">
        <v>2188</v>
      </c>
      <c r="C623" t="s">
        <v>2189</v>
      </c>
      <c r="D623" s="2" t="b">
        <v>0</v>
      </c>
      <c r="E623" t="s">
        <v>88</v>
      </c>
      <c r="F623" t="s">
        <v>77</v>
      </c>
      <c r="G623" t="s">
        <v>31</v>
      </c>
      <c r="H623" t="s">
        <v>31</v>
      </c>
      <c r="I623" t="s">
        <v>32</v>
      </c>
    </row>
    <row r="624" spans="1:9" x14ac:dyDescent="0.25">
      <c r="A624" t="s">
        <v>2198</v>
      </c>
      <c r="B624" t="s">
        <v>2199</v>
      </c>
      <c r="C624" t="s">
        <v>2200</v>
      </c>
      <c r="D624" s="3">
        <v>1.5</v>
      </c>
      <c r="E624" t="s">
        <v>30</v>
      </c>
      <c r="F624" t="s">
        <v>77</v>
      </c>
      <c r="G624">
        <v>0</v>
      </c>
      <c r="H624">
        <v>100</v>
      </c>
      <c r="I624" t="s">
        <v>2201</v>
      </c>
    </row>
    <row r="625" spans="1:9" x14ac:dyDescent="0.25">
      <c r="A625" t="s">
        <v>2202</v>
      </c>
      <c r="B625" t="s">
        <v>2199</v>
      </c>
      <c r="C625" t="s">
        <v>2200</v>
      </c>
      <c r="D625" s="2" t="s">
        <v>1795</v>
      </c>
      <c r="E625" t="s">
        <v>81</v>
      </c>
      <c r="F625" t="s">
        <v>77</v>
      </c>
      <c r="G625" t="s">
        <v>31</v>
      </c>
      <c r="H625" t="s">
        <v>31</v>
      </c>
      <c r="I625" t="s">
        <v>32</v>
      </c>
    </row>
    <row r="626" spans="1:9" x14ac:dyDescent="0.25">
      <c r="A626" t="s">
        <v>2203</v>
      </c>
      <c r="B626" t="s">
        <v>2199</v>
      </c>
      <c r="C626" t="s">
        <v>2200</v>
      </c>
      <c r="D626" s="2" t="s">
        <v>2200</v>
      </c>
      <c r="E626" t="s">
        <v>81</v>
      </c>
      <c r="F626" t="s">
        <v>77</v>
      </c>
      <c r="G626" t="s">
        <v>31</v>
      </c>
      <c r="H626" t="s">
        <v>31</v>
      </c>
      <c r="I626" t="s">
        <v>32</v>
      </c>
    </row>
    <row r="627" spans="1:9" x14ac:dyDescent="0.25">
      <c r="A627" t="s">
        <v>2204</v>
      </c>
      <c r="B627" t="s">
        <v>2199</v>
      </c>
      <c r="C627" t="s">
        <v>2200</v>
      </c>
      <c r="D627" s="2" t="s">
        <v>2201</v>
      </c>
      <c r="E627" t="s">
        <v>81</v>
      </c>
      <c r="F627" t="s">
        <v>77</v>
      </c>
      <c r="G627" t="s">
        <v>31</v>
      </c>
      <c r="H627" t="s">
        <v>31</v>
      </c>
      <c r="I627" t="s">
        <v>32</v>
      </c>
    </row>
    <row r="628" spans="1:9" x14ac:dyDescent="0.25">
      <c r="A628" t="s">
        <v>2205</v>
      </c>
      <c r="B628" t="s">
        <v>2199</v>
      </c>
      <c r="C628" t="s">
        <v>2200</v>
      </c>
      <c r="D628" s="2" t="s">
        <v>77</v>
      </c>
      <c r="E628" t="s">
        <v>81</v>
      </c>
      <c r="F628" t="s">
        <v>77</v>
      </c>
      <c r="G628" t="s">
        <v>31</v>
      </c>
      <c r="H628" t="s">
        <v>31</v>
      </c>
      <c r="I628" t="s">
        <v>32</v>
      </c>
    </row>
    <row r="629" spans="1:9" x14ac:dyDescent="0.25">
      <c r="A629" t="s">
        <v>2206</v>
      </c>
      <c r="B629" t="s">
        <v>2199</v>
      </c>
      <c r="C629" t="s">
        <v>2200</v>
      </c>
      <c r="D629" s="2">
        <v>0</v>
      </c>
      <c r="E629" t="s">
        <v>30</v>
      </c>
      <c r="F629" t="s">
        <v>77</v>
      </c>
      <c r="G629">
        <v>0</v>
      </c>
      <c r="H629">
        <v>100</v>
      </c>
      <c r="I629" t="s">
        <v>32</v>
      </c>
    </row>
    <row r="630" spans="1:9" x14ac:dyDescent="0.25">
      <c r="A630" t="s">
        <v>2207</v>
      </c>
      <c r="B630" t="s">
        <v>2199</v>
      </c>
      <c r="C630" t="s">
        <v>2200</v>
      </c>
      <c r="D630" s="2">
        <v>100</v>
      </c>
      <c r="E630" t="s">
        <v>30</v>
      </c>
      <c r="F630" t="s">
        <v>77</v>
      </c>
      <c r="G630">
        <v>0</v>
      </c>
      <c r="H630">
        <v>100</v>
      </c>
      <c r="I630" t="s">
        <v>32</v>
      </c>
    </row>
    <row r="631" spans="1:9" x14ac:dyDescent="0.25">
      <c r="A631" t="s">
        <v>2208</v>
      </c>
      <c r="B631" t="s">
        <v>2199</v>
      </c>
      <c r="C631" t="s">
        <v>2200</v>
      </c>
      <c r="D631" s="2" t="b">
        <v>0</v>
      </c>
      <c r="E631" t="s">
        <v>88</v>
      </c>
      <c r="F631" t="s">
        <v>77</v>
      </c>
      <c r="G631" t="s">
        <v>31</v>
      </c>
      <c r="H631" t="s">
        <v>31</v>
      </c>
      <c r="I631" t="s">
        <v>32</v>
      </c>
    </row>
    <row r="632" spans="1:9" x14ac:dyDescent="0.25">
      <c r="A632" t="s">
        <v>2209</v>
      </c>
      <c r="B632" t="s">
        <v>2210</v>
      </c>
      <c r="C632" t="s">
        <v>2211</v>
      </c>
      <c r="D632" s="3">
        <v>1.2</v>
      </c>
      <c r="E632" t="s">
        <v>30</v>
      </c>
      <c r="F632" t="s">
        <v>77</v>
      </c>
      <c r="G632">
        <v>0</v>
      </c>
      <c r="H632">
        <v>100</v>
      </c>
      <c r="I632" t="s">
        <v>2212</v>
      </c>
    </row>
    <row r="633" spans="1:9" x14ac:dyDescent="0.25">
      <c r="A633" t="s">
        <v>2213</v>
      </c>
      <c r="B633" t="s">
        <v>2210</v>
      </c>
      <c r="C633" t="s">
        <v>2211</v>
      </c>
      <c r="D633" s="2" t="s">
        <v>1795</v>
      </c>
      <c r="E633" t="s">
        <v>81</v>
      </c>
      <c r="F633" t="s">
        <v>77</v>
      </c>
      <c r="G633" t="s">
        <v>31</v>
      </c>
      <c r="H633" t="s">
        <v>31</v>
      </c>
      <c r="I633" t="s">
        <v>32</v>
      </c>
    </row>
    <row r="634" spans="1:9" x14ac:dyDescent="0.25">
      <c r="A634" t="s">
        <v>2214</v>
      </c>
      <c r="B634" t="s">
        <v>2210</v>
      </c>
      <c r="C634" t="s">
        <v>2211</v>
      </c>
      <c r="D634" s="2" t="s">
        <v>2211</v>
      </c>
      <c r="E634" t="s">
        <v>81</v>
      </c>
      <c r="F634" t="s">
        <v>77</v>
      </c>
      <c r="G634" t="s">
        <v>31</v>
      </c>
      <c r="H634" t="s">
        <v>31</v>
      </c>
      <c r="I634" t="s">
        <v>32</v>
      </c>
    </row>
    <row r="635" spans="1:9" x14ac:dyDescent="0.25">
      <c r="A635" t="s">
        <v>2215</v>
      </c>
      <c r="B635" t="s">
        <v>2210</v>
      </c>
      <c r="C635" t="s">
        <v>2211</v>
      </c>
      <c r="D635" s="2" t="s">
        <v>2212</v>
      </c>
      <c r="E635" t="s">
        <v>81</v>
      </c>
      <c r="F635" t="s">
        <v>77</v>
      </c>
      <c r="G635" t="s">
        <v>31</v>
      </c>
      <c r="H635" t="s">
        <v>31</v>
      </c>
      <c r="I635" t="s">
        <v>32</v>
      </c>
    </row>
    <row r="636" spans="1:9" x14ac:dyDescent="0.25">
      <c r="A636" t="s">
        <v>2216</v>
      </c>
      <c r="B636" t="s">
        <v>2210</v>
      </c>
      <c r="C636" t="s">
        <v>2211</v>
      </c>
      <c r="D636" s="2" t="s">
        <v>77</v>
      </c>
      <c r="E636" t="s">
        <v>81</v>
      </c>
      <c r="F636" t="s">
        <v>77</v>
      </c>
      <c r="G636" t="s">
        <v>31</v>
      </c>
      <c r="H636" t="s">
        <v>31</v>
      </c>
      <c r="I636" t="s">
        <v>32</v>
      </c>
    </row>
    <row r="637" spans="1:9" x14ac:dyDescent="0.25">
      <c r="A637" t="s">
        <v>2217</v>
      </c>
      <c r="B637" t="s">
        <v>2210</v>
      </c>
      <c r="C637" t="s">
        <v>2211</v>
      </c>
      <c r="D637" s="2">
        <v>0</v>
      </c>
      <c r="E637" t="s">
        <v>30</v>
      </c>
      <c r="F637" t="s">
        <v>77</v>
      </c>
      <c r="G637">
        <v>0</v>
      </c>
      <c r="H637">
        <v>100</v>
      </c>
      <c r="I637" t="s">
        <v>32</v>
      </c>
    </row>
    <row r="638" spans="1:9" x14ac:dyDescent="0.25">
      <c r="A638" t="s">
        <v>2218</v>
      </c>
      <c r="B638" t="s">
        <v>2210</v>
      </c>
      <c r="C638" t="s">
        <v>2211</v>
      </c>
      <c r="D638" s="2">
        <v>100</v>
      </c>
      <c r="E638" t="s">
        <v>30</v>
      </c>
      <c r="F638" t="s">
        <v>77</v>
      </c>
      <c r="G638">
        <v>0</v>
      </c>
      <c r="H638">
        <v>100</v>
      </c>
      <c r="I638" t="s">
        <v>32</v>
      </c>
    </row>
    <row r="639" spans="1:9" x14ac:dyDescent="0.25">
      <c r="A639" t="s">
        <v>2219</v>
      </c>
      <c r="B639" t="s">
        <v>2210</v>
      </c>
      <c r="C639" t="s">
        <v>2211</v>
      </c>
      <c r="D639" s="2" t="b">
        <v>0</v>
      </c>
      <c r="E639" t="s">
        <v>88</v>
      </c>
      <c r="F639" t="s">
        <v>77</v>
      </c>
      <c r="G639" t="s">
        <v>31</v>
      </c>
      <c r="H639" t="s">
        <v>31</v>
      </c>
      <c r="I639" t="s">
        <v>32</v>
      </c>
    </row>
    <row r="640" spans="1:9" x14ac:dyDescent="0.25">
      <c r="A640" t="s">
        <v>2220</v>
      </c>
      <c r="B640" t="s">
        <v>2221</v>
      </c>
      <c r="C640" t="s">
        <v>2222</v>
      </c>
      <c r="D640" s="3">
        <v>0.78</v>
      </c>
      <c r="E640" t="s">
        <v>30</v>
      </c>
      <c r="F640" t="s">
        <v>103</v>
      </c>
      <c r="G640">
        <v>0</v>
      </c>
      <c r="H640">
        <v>1</v>
      </c>
      <c r="I640" t="s">
        <v>2223</v>
      </c>
    </row>
    <row r="641" spans="1:9" x14ac:dyDescent="0.25">
      <c r="A641" t="s">
        <v>2224</v>
      </c>
      <c r="B641" t="s">
        <v>2221</v>
      </c>
      <c r="C641" t="s">
        <v>2222</v>
      </c>
      <c r="D641" s="2" t="s">
        <v>1795</v>
      </c>
      <c r="E641" t="s">
        <v>81</v>
      </c>
      <c r="F641" t="s">
        <v>103</v>
      </c>
      <c r="G641" t="s">
        <v>31</v>
      </c>
      <c r="H641" t="s">
        <v>31</v>
      </c>
      <c r="I641" t="s">
        <v>32</v>
      </c>
    </row>
    <row r="642" spans="1:9" x14ac:dyDescent="0.25">
      <c r="A642" t="s">
        <v>2225</v>
      </c>
      <c r="B642" t="s">
        <v>2221</v>
      </c>
      <c r="C642" t="s">
        <v>2222</v>
      </c>
      <c r="D642" s="2" t="s">
        <v>2222</v>
      </c>
      <c r="E642" t="s">
        <v>81</v>
      </c>
      <c r="F642" t="s">
        <v>103</v>
      </c>
      <c r="G642" t="s">
        <v>31</v>
      </c>
      <c r="H642" t="s">
        <v>31</v>
      </c>
      <c r="I642" t="s">
        <v>32</v>
      </c>
    </row>
    <row r="643" spans="1:9" x14ac:dyDescent="0.25">
      <c r="A643" t="s">
        <v>2226</v>
      </c>
      <c r="B643" t="s">
        <v>2221</v>
      </c>
      <c r="C643" t="s">
        <v>2222</v>
      </c>
      <c r="D643" s="2" t="s">
        <v>2223</v>
      </c>
      <c r="E643" t="s">
        <v>81</v>
      </c>
      <c r="F643" t="s">
        <v>103</v>
      </c>
      <c r="G643" t="s">
        <v>31</v>
      </c>
      <c r="H643" t="s">
        <v>31</v>
      </c>
      <c r="I643" t="s">
        <v>32</v>
      </c>
    </row>
    <row r="644" spans="1:9" x14ac:dyDescent="0.25">
      <c r="A644" t="s">
        <v>2227</v>
      </c>
      <c r="B644" t="s">
        <v>2221</v>
      </c>
      <c r="C644" t="s">
        <v>2222</v>
      </c>
      <c r="D644" s="2" t="s">
        <v>103</v>
      </c>
      <c r="E644" t="s">
        <v>81</v>
      </c>
      <c r="F644" t="s">
        <v>103</v>
      </c>
      <c r="G644" t="s">
        <v>31</v>
      </c>
      <c r="H644" t="s">
        <v>31</v>
      </c>
      <c r="I644" t="s">
        <v>32</v>
      </c>
    </row>
    <row r="645" spans="1:9" x14ac:dyDescent="0.25">
      <c r="A645" t="s">
        <v>2228</v>
      </c>
      <c r="B645" t="s">
        <v>2221</v>
      </c>
      <c r="C645" t="s">
        <v>2222</v>
      </c>
      <c r="D645" s="2">
        <v>0</v>
      </c>
      <c r="E645" t="s">
        <v>30</v>
      </c>
      <c r="F645" t="s">
        <v>103</v>
      </c>
      <c r="G645">
        <v>0</v>
      </c>
      <c r="H645">
        <v>1</v>
      </c>
      <c r="I645" t="s">
        <v>32</v>
      </c>
    </row>
    <row r="646" spans="1:9" x14ac:dyDescent="0.25">
      <c r="A646" t="s">
        <v>2229</v>
      </c>
      <c r="B646" t="s">
        <v>2221</v>
      </c>
      <c r="C646" t="s">
        <v>2222</v>
      </c>
      <c r="D646" s="2">
        <v>1</v>
      </c>
      <c r="E646" t="s">
        <v>30</v>
      </c>
      <c r="F646" t="s">
        <v>103</v>
      </c>
      <c r="G646">
        <v>0</v>
      </c>
      <c r="H646">
        <v>1</v>
      </c>
      <c r="I646" t="s">
        <v>32</v>
      </c>
    </row>
    <row r="647" spans="1:9" x14ac:dyDescent="0.25">
      <c r="A647" t="s">
        <v>2230</v>
      </c>
      <c r="B647" t="s">
        <v>2221</v>
      </c>
      <c r="C647" t="s">
        <v>2222</v>
      </c>
      <c r="D647" s="2" t="b">
        <v>0</v>
      </c>
      <c r="E647" t="s">
        <v>88</v>
      </c>
      <c r="F647" t="s">
        <v>103</v>
      </c>
      <c r="G647" t="s">
        <v>31</v>
      </c>
      <c r="H647" t="s">
        <v>31</v>
      </c>
      <c r="I647" t="s">
        <v>32</v>
      </c>
    </row>
  </sheetData>
  <sheetProtection sheet="1" algorithmName="SHA-512" hashValue="fsKyQEG46Nuy87rJLjSKskq8fX7WZnyz88oH07O2JnaX6M16+UXA39v23jNPu3gCez5RIZSIbRUf9G18DUyi0w==" saltValue="a4usgJTK0bRr9vGm4+spkA==" spinCount="100000"/>
  <autoFilter ref="A1:I1"/>
  <dataValidations count="129">
    <dataValidation type="whole" showErrorMessage="1" errorStyle="stop" errorTitle="Invalid balance value" error="Use an integer between 0 and 10." sqref="D10">
      <formula1>0</formula1>
      <formula2>10</formula2>
    </dataValidation>
    <dataValidation type="whole" showErrorMessage="1" errorStyle="stop" errorTitle="Invalid balance value" error="Use an integer between 0 and 10." sqref="D100">
      <formula1>0</formula1>
      <formula2>10</formula2>
    </dataValidation>
    <dataValidation type="whole" showErrorMessage="1" errorStyle="stop" errorTitle="Invalid balance value" error="Use an integer between 1 and 10." sqref="D105:D106">
      <formula1>1</formula1>
      <formula2>10</formula2>
    </dataValidation>
    <dataValidation type="decimal" showErrorMessage="1" errorStyle="stop" errorTitle="Invalid balance value" error="Use a number between 0.0001 and 100." sqref="D107:D108">
      <formula1>0.0001</formula1>
      <formula2>100</formula2>
    </dataValidation>
    <dataValidation type="whole" showErrorMessage="1" errorStyle="stop" errorTitle="Invalid balance value" error="Use an integer between 0 and 10." sqref="D109:D110">
      <formula1>0</formula1>
      <formula2>10</formula2>
    </dataValidation>
    <dataValidation type="whole" showErrorMessage="1" errorStyle="stop" errorTitle="Invalid balance value" error="Use an integer between 1 and 10." sqref="D115:D116">
      <formula1>1</formula1>
      <formula2>10</formula2>
    </dataValidation>
    <dataValidation type="decimal" showErrorMessage="1" errorStyle="stop" errorTitle="Invalid balance value" error="Use a number between 0.0001 and 100." sqref="D117:D118">
      <formula1>0.0001</formula1>
      <formula2>100</formula2>
    </dataValidation>
    <dataValidation type="whole" showErrorMessage="1" errorStyle="stop" errorTitle="Invalid balance value" error="Use an integer between 0 and 10." sqref="D119:D120">
      <formula1>0</formula1>
      <formula2>10</formula2>
    </dataValidation>
    <dataValidation type="whole" showErrorMessage="1" errorStyle="stop" errorTitle="Invalid balance value" error="Use an integer between 1 and 10." sqref="D125:D126">
      <formula1>1</formula1>
      <formula2>10</formula2>
    </dataValidation>
    <dataValidation type="decimal" showErrorMessage="1" errorStyle="stop" errorTitle="Invalid balance value" error="Use a number between 0.0001 and 100." sqref="D127:D128">
      <formula1>0.0001</formula1>
      <formula2>100</formula2>
    </dataValidation>
    <dataValidation type="whole" showErrorMessage="1" errorStyle="stop" errorTitle="Invalid balance value" error="Use an integer between 0 and 10." sqref="D129:D130">
      <formula1>0</formula1>
      <formula2>10</formula2>
    </dataValidation>
    <dataValidation type="whole" showErrorMessage="1" errorStyle="stop" errorTitle="Invalid balance value" error="Use an integer between 1 and 10." sqref="D135:D136">
      <formula1>1</formula1>
      <formula2>10</formula2>
    </dataValidation>
    <dataValidation type="decimal" showErrorMessage="1" errorStyle="stop" errorTitle="Invalid balance value" error="Use a number between 0.0001 and 100." sqref="D137:D138">
      <formula1>0.0001</formula1>
      <formula2>100</formula2>
    </dataValidation>
    <dataValidation type="whole" showErrorMessage="1" errorStyle="stop" errorTitle="Invalid balance value" error="Use an integer between 0 and 10." sqref="D139:D140">
      <formula1>0</formula1>
      <formula2>10</formula2>
    </dataValidation>
    <dataValidation type="whole" showErrorMessage="1" errorStyle="stop" errorTitle="Invalid balance value" error="Use an integer between 1 and 10." sqref="D145:D146">
      <formula1>1</formula1>
      <formula2>10</formula2>
    </dataValidation>
    <dataValidation type="decimal" showErrorMessage="1" errorStyle="stop" errorTitle="Invalid balance value" error="Use a number between 0.0001 and 100." sqref="D147:D148">
      <formula1>0.0001</formula1>
      <formula2>100</formula2>
    </dataValidation>
    <dataValidation type="whole" showErrorMessage="1" errorStyle="stop" errorTitle="Invalid balance value" error="Use an integer between 0 and 10." sqref="D149:D150">
      <formula1>0</formula1>
      <formula2>10</formula2>
    </dataValidation>
    <dataValidation type="whole" showErrorMessage="1" errorStyle="stop" errorTitle="Invalid balance value" error="Use an integer between 1 and 10." sqref="D15:D16">
      <formula1>1</formula1>
      <formula2>10</formula2>
    </dataValidation>
    <dataValidation type="whole" showErrorMessage="1" errorStyle="stop" errorTitle="Invalid balance value" error="Use an integer between 1 and 10." sqref="D155:D156">
      <formula1>1</formula1>
      <formula2>10</formula2>
    </dataValidation>
    <dataValidation type="decimal" showErrorMessage="1" errorStyle="stop" errorTitle="Invalid balance value" error="Use a number between 0.0001 and 100." sqref="D157:D158">
      <formula1>0.0001</formula1>
      <formula2>100</formula2>
    </dataValidation>
    <dataValidation type="whole" showErrorMessage="1" errorStyle="stop" errorTitle="Invalid balance value" error="Use an integer between 0 and 10." sqref="D159:D160">
      <formula1>0</formula1>
      <formula2>10</formula2>
    </dataValidation>
    <dataValidation type="whole" showErrorMessage="1" errorStyle="stop" errorTitle="Invalid balance value" error="Use an integer between 1 and 10." sqref="D165:D166">
      <formula1>1</formula1>
      <formula2>10</formula2>
    </dataValidation>
    <dataValidation type="decimal" showErrorMessage="1" errorStyle="stop" errorTitle="Invalid balance value" error="Use a number between 0.0001 and 100." sqref="D167:D168">
      <formula1>0.0001</formula1>
      <formula2>100</formula2>
    </dataValidation>
    <dataValidation type="whole" showErrorMessage="1" errorStyle="stop" errorTitle="Invalid balance value" error="Use an integer between 0 and 10." sqref="D169:D170">
      <formula1>0</formula1>
      <formula2>10</formula2>
    </dataValidation>
    <dataValidation type="decimal" showErrorMessage="1" errorStyle="stop" errorTitle="Invalid balance value" error="Use a number between 0.0001 and 100." sqref="D17:D18">
      <formula1>0.0001</formula1>
      <formula2>100</formula2>
    </dataValidation>
    <dataValidation type="whole" showErrorMessage="1" errorStyle="stop" errorTitle="Invalid balance value" error="Use an integer between 1 and 10." sqref="D175:D176">
      <formula1>1</formula1>
      <formula2>10</formula2>
    </dataValidation>
    <dataValidation type="decimal" showErrorMessage="1" errorStyle="stop" errorTitle="Invalid balance value" error="Use a number between 0.0001 and 100." sqref="D177:D178">
      <formula1>0.0001</formula1>
      <formula2>100</formula2>
    </dataValidation>
    <dataValidation type="whole" showErrorMessage="1" errorStyle="stop" errorTitle="Invalid balance value" error="Use an integer between 0 and 10." sqref="D179:D180">
      <formula1>0</formula1>
      <formula2>10</formula2>
    </dataValidation>
    <dataValidation type="whole" showErrorMessage="1" errorStyle="stop" errorTitle="Invalid balance value" error="Use an integer between 1 and 10." sqref="D185:D186">
      <formula1>1</formula1>
      <formula2>10</formula2>
    </dataValidation>
    <dataValidation type="decimal" showErrorMessage="1" errorStyle="stop" errorTitle="Invalid balance value" error="Use a number between 0.0001 and 100." sqref="D187:D188">
      <formula1>0.0001</formula1>
      <formula2>100</formula2>
    </dataValidation>
    <dataValidation type="whole" showErrorMessage="1" errorStyle="stop" errorTitle="Invalid balance value" error="Use an integer between 0 and 10." sqref="D189:D190">
      <formula1>0</formula1>
      <formula2>10</formula2>
    </dataValidation>
    <dataValidation type="whole" showErrorMessage="1" errorStyle="stop" errorTitle="Invalid balance value" error="Use an integer between 0 and 10." sqref="D19:D20">
      <formula1>0</formula1>
      <formula2>10</formula2>
    </dataValidation>
    <dataValidation type="whole" showErrorMessage="1" errorStyle="stop" errorTitle="Invalid balance value" error="Use an integer between 1 and 10." sqref="D195:D196">
      <formula1>1</formula1>
      <formula2>10</formula2>
    </dataValidation>
    <dataValidation type="decimal" showErrorMessage="1" errorStyle="stop" errorTitle="Invalid balance value" error="Use a number between 0.0001 and 100." sqref="D197:D198">
      <formula1>0.0001</formula1>
      <formula2>100</formula2>
    </dataValidation>
    <dataValidation type="whole" showErrorMessage="1" errorStyle="stop" errorTitle="Invalid balance value" error="Use an integer between 0 and 10." sqref="D199:D200">
      <formula1>0</formula1>
      <formula2>10</formula2>
    </dataValidation>
    <dataValidation type="whole" showErrorMessage="1" errorStyle="stop" errorTitle="Invalid balance value" error="Use an integer between 1 and 10." sqref="D205:D206">
      <formula1>1</formula1>
      <formula2>10</formula2>
    </dataValidation>
    <dataValidation type="decimal" showErrorMessage="1" errorStyle="stop" errorTitle="Invalid balance value" error="Use a number between 0.0001 and 100." sqref="D207:D208">
      <formula1>0.0001</formula1>
      <formula2>100</formula2>
    </dataValidation>
    <dataValidation type="whole" showErrorMessage="1" errorStyle="stop" errorTitle="Invalid balance value" error="Use an integer between 0 and 10." sqref="D209:D210">
      <formula1>0</formula1>
      <formula2>10</formula2>
    </dataValidation>
    <dataValidation type="whole" showErrorMessage="1" errorStyle="stop" errorTitle="Invalid balance value" error="Use an integer between 1 and 10." sqref="D215:D216">
      <formula1>1</formula1>
      <formula2>10</formula2>
    </dataValidation>
    <dataValidation type="decimal" showErrorMessage="1" errorStyle="stop" errorTitle="Invalid balance value" error="Use a number between 0.0001 and 100." sqref="D217:D218">
      <formula1>0.0001</formula1>
      <formula2>100</formula2>
    </dataValidation>
    <dataValidation type="whole" showErrorMessage="1" errorStyle="stop" errorTitle="Invalid balance value" error="Use an integer between 0 and 10." sqref="D219:D220">
      <formula1>0</formula1>
      <formula2>10</formula2>
    </dataValidation>
    <dataValidation type="whole" showErrorMessage="1" errorStyle="stop" errorTitle="Invalid balance value" error="Use an integer between 1 and 10." sqref="D225:D226">
      <formula1>1</formula1>
      <formula2>10</formula2>
    </dataValidation>
    <dataValidation type="decimal" showErrorMessage="1" errorStyle="stop" errorTitle="Invalid balance value" error="Use a number between 0.0001 and 100." sqref="D227:D228">
      <formula1>0.0001</formula1>
      <formula2>100</formula2>
    </dataValidation>
    <dataValidation type="whole" showErrorMessage="1" errorStyle="stop" errorTitle="Invalid balance value" error="Use an integer between 0 and 10." sqref="D229:D230">
      <formula1>0</formula1>
      <formula2>10</formula2>
    </dataValidation>
    <dataValidation type="whole" showErrorMessage="1" errorStyle="stop" errorTitle="Invalid balance value" error="Use an integer between 1 and 10." sqref="D235:D236">
      <formula1>1</formula1>
      <formula2>10</formula2>
    </dataValidation>
    <dataValidation type="decimal" showErrorMessage="1" errorStyle="stop" errorTitle="Invalid balance value" error="Use a number between 0.0001 and 100." sqref="D237:D238">
      <formula1>0.0001</formula1>
      <formula2>100</formula2>
    </dataValidation>
    <dataValidation type="whole" showErrorMessage="1" errorStyle="stop" errorTitle="Invalid balance value" error="Use an integer between 0 and 10." sqref="D239:D240">
      <formula1>0</formula1>
      <formula2>10</formula2>
    </dataValidation>
    <dataValidation type="whole" showErrorMessage="1" errorStyle="stop" errorTitle="Invalid balance value" error="Use an integer between 1 and 10." sqref="D245:D246">
      <formula1>1</formula1>
      <formula2>10</formula2>
    </dataValidation>
    <dataValidation type="decimal" showErrorMessage="1" errorStyle="stop" errorTitle="Invalid balance value" error="Use a number between 0.0001 and 100." sqref="D247:D248">
      <formula1>0.0001</formula1>
      <formula2>100</formula2>
    </dataValidation>
    <dataValidation type="whole" showErrorMessage="1" errorStyle="stop" errorTitle="Invalid balance value" error="Use an integer between 0 and 10." sqref="D249:D250">
      <formula1>0</formula1>
      <formula2>10</formula2>
    </dataValidation>
    <dataValidation type="whole" showErrorMessage="1" errorStyle="stop" errorTitle="Invalid balance value" error="Use an integer between 1 and 10." sqref="D25:D26">
      <formula1>1</formula1>
      <formula2>10</formula2>
    </dataValidation>
    <dataValidation type="whole" showErrorMessage="1" errorStyle="stop" errorTitle="Invalid balance value" error="Use an integer between 1 and 10." sqref="D255:D256">
      <formula1>1</formula1>
      <formula2>10</formula2>
    </dataValidation>
    <dataValidation type="decimal" showErrorMessage="1" errorStyle="stop" errorTitle="Invalid balance value" error="Use a number between 0.0001 and 100." sqref="D257:D258">
      <formula1>0.0001</formula1>
      <formula2>100</formula2>
    </dataValidation>
    <dataValidation type="whole" showErrorMessage="1" errorStyle="stop" errorTitle="Invalid balance value" error="Use an integer between 0 and 10." sqref="D259:D260">
      <formula1>0</formula1>
      <formula2>10</formula2>
    </dataValidation>
    <dataValidation type="whole" showErrorMessage="1" errorStyle="stop" errorTitle="Invalid balance value" error="Use an integer between 1 and 10." sqref="D265:D266">
      <formula1>1</formula1>
      <formula2>10</formula2>
    </dataValidation>
    <dataValidation type="decimal" showErrorMessage="1" errorStyle="stop" errorTitle="Invalid balance value" error="Use a number between 0.0001 and 100." sqref="D267:D268">
      <formula1>0.0001</formula1>
      <formula2>100</formula2>
    </dataValidation>
    <dataValidation type="whole" showErrorMessage="1" errorStyle="stop" errorTitle="Invalid balance value" error="Use an integer between 0 and 10." sqref="D269:D270">
      <formula1>0</formula1>
      <formula2>10</formula2>
    </dataValidation>
    <dataValidation type="decimal" showErrorMessage="1" errorStyle="stop" errorTitle="Invalid balance value" error="Use a number between 0.0001 and 100." sqref="D27:D28">
      <formula1>0.0001</formula1>
      <formula2>100</formula2>
    </dataValidation>
    <dataValidation type="whole" showErrorMessage="1" errorStyle="stop" errorTitle="Invalid balance value" error="Use an integer between 1 and 10." sqref="D275:D276">
      <formula1>1</formula1>
      <formula2>10</formula2>
    </dataValidation>
    <dataValidation type="decimal" showErrorMessage="1" errorStyle="stop" errorTitle="Invalid balance value" error="Use a number between 0.0001 and 100." sqref="D277:D278">
      <formula1>0.0001</formula1>
      <formula2>100</formula2>
    </dataValidation>
    <dataValidation type="whole" showErrorMessage="1" errorStyle="stop" errorTitle="Invalid balance value" error="Use an integer between 0 and 10." sqref="D279:D280">
      <formula1>0</formula1>
      <formula2>10</formula2>
    </dataValidation>
    <dataValidation type="whole" showErrorMessage="1" errorStyle="stop" errorTitle="Invalid balance value" error="Use an integer between 0 and 10." sqref="D29:D30">
      <formula1>0</formula1>
      <formula2>10</formula2>
    </dataValidation>
    <dataValidation type="whole" showErrorMessage="1" errorStyle="stop" errorTitle="Invalid balance value" error="Use an integer between 0 and 100000." sqref="D312:D315">
      <formula1>0</formula1>
      <formula2>100000</formula2>
    </dataValidation>
    <dataValidation type="whole" showErrorMessage="1" errorStyle="stop" errorTitle="Invalid balance value" error="Use an integer between 0 and 100000." sqref="D318:D321">
      <formula1>0</formula1>
      <formula2>100000</formula2>
    </dataValidation>
    <dataValidation type="whole" showErrorMessage="1" errorStyle="stop" errorTitle="Invalid balance value" error="Use an integer between 0 and 100000." sqref="D324:D327">
      <formula1>0</formula1>
      <formula2>100000</formula2>
    </dataValidation>
    <dataValidation type="whole" showErrorMessage="1" errorStyle="stop" errorTitle="Invalid balance value" error="Use an integer between 1 and 100." sqref="D328">
      <formula1>1</formula1>
      <formula2>100</formula2>
    </dataValidation>
    <dataValidation type="whole" showErrorMessage="1" errorStyle="stop" errorTitle="Invalid balance value" error="Use an integer between 1 and 100." sqref="D336">
      <formula1>1</formula1>
      <formula2>100</formula2>
    </dataValidation>
    <dataValidation type="whole" showErrorMessage="1" errorStyle="stop" errorTitle="Invalid balance value" error="Use an integer between 1 and 100." sqref="D344">
      <formula1>1</formula1>
      <formula2>100</formula2>
    </dataValidation>
    <dataValidation type="whole" showErrorMessage="1" errorStyle="stop" errorTitle="Invalid balance value" error="Use an integer between 1 and 10." sqref="D35:D36">
      <formula1>1</formula1>
      <formula2>10</formula2>
    </dataValidation>
    <dataValidation type="whole" showErrorMessage="1" errorStyle="stop" errorTitle="Invalid balance value" error="Use an integer between 1 and 100." sqref="D352">
      <formula1>1</formula1>
      <formula2>100</formula2>
    </dataValidation>
    <dataValidation type="decimal" showErrorMessage="1" errorStyle="stop" errorTitle="Invalid balance value" error="Use a number between 0 and 1." sqref="D360">
      <formula1>0</formula1>
      <formula2>1</formula2>
    </dataValidation>
    <dataValidation type="whole" showErrorMessage="1" errorStyle="stop" errorTitle="Invalid balance value" error="Use an integer between 1 and 100." sqref="D368">
      <formula1>1</formula1>
      <formula2>100</formula2>
    </dataValidation>
    <dataValidation type="decimal" showErrorMessage="1" errorStyle="stop" errorTitle="Invalid balance value" error="Use a number between 0.0001 and 100." sqref="D37:D38">
      <formula1>0.0001</formula1>
      <formula2>100</formula2>
    </dataValidation>
    <dataValidation type="whole" showErrorMessage="1" errorStyle="stop" errorTitle="Invalid balance value" error="Use an integer between 1 and 100." sqref="D376">
      <formula1>1</formula1>
      <formula2>100</formula2>
    </dataValidation>
    <dataValidation type="whole" showErrorMessage="1" errorStyle="stop" errorTitle="Invalid balance value" error="Use an integer between 1 and 100." sqref="D384">
      <formula1>1</formula1>
      <formula2>100</formula2>
    </dataValidation>
    <dataValidation type="whole" showErrorMessage="1" errorStyle="stop" errorTitle="Invalid balance value" error="Use an integer between 0 and 10." sqref="D39:D40">
      <formula1>0</formula1>
      <formula2>10</formula2>
    </dataValidation>
    <dataValidation type="whole" showErrorMessage="1" errorStyle="stop" errorTitle="Invalid balance value" error="Use an integer between 1 and 100." sqref="D392">
      <formula1>1</formula1>
      <formula2>100</formula2>
    </dataValidation>
    <dataValidation type="whole" showErrorMessage="1" errorStyle="stop" errorTitle="Invalid balance value" error="Use an integer between 1 and 100." sqref="D400">
      <formula1>1</formula1>
      <formula2>100</formula2>
    </dataValidation>
    <dataValidation type="whole" showErrorMessage="1" errorStyle="stop" errorTitle="Invalid balance value" error="Use an integer between 1 and 100." sqref="D408">
      <formula1>1</formula1>
      <formula2>100</formula2>
    </dataValidation>
    <dataValidation type="whole" showErrorMessage="1" errorStyle="stop" errorTitle="Invalid balance value" error="Use an integer between 1 and 100." sqref="D416">
      <formula1>1</formula1>
      <formula2>100</formula2>
    </dataValidation>
    <dataValidation type="whole" showErrorMessage="1" errorStyle="stop" errorTitle="Invalid balance value" error="Use an integer between 1 and 100." sqref="D424">
      <formula1>1</formula1>
      <formula2>100</formula2>
    </dataValidation>
    <dataValidation type="whole" showErrorMessage="1" errorStyle="stop" errorTitle="Invalid balance value" error="Use an integer between 1 and 100." sqref="D432">
      <formula1>1</formula1>
      <formula2>100</formula2>
    </dataValidation>
    <dataValidation type="whole" showErrorMessage="1" errorStyle="stop" errorTitle="Invalid balance value" error="Use an integer between 1 and 100." sqref="D440">
      <formula1>1</formula1>
      <formula2>100</formula2>
    </dataValidation>
    <dataValidation type="whole" showErrorMessage="1" errorStyle="stop" errorTitle="Invalid balance value" error="Use an integer between 1 and 100." sqref="D448">
      <formula1>1</formula1>
      <formula2>100</formula2>
    </dataValidation>
    <dataValidation type="whole" showErrorMessage="1" errorStyle="stop" errorTitle="Invalid balance value" error="Use an integer between 1 and 10." sqref="D45:D46">
      <formula1>1</formula1>
      <formula2>10</formula2>
    </dataValidation>
    <dataValidation type="whole" showErrorMessage="1" errorStyle="stop" errorTitle="Invalid balance value" error="Use an integer between 1 and 100." sqref="D456">
      <formula1>1</formula1>
      <formula2>100</formula2>
    </dataValidation>
    <dataValidation type="whole" showErrorMessage="1" errorStyle="stop" errorTitle="Invalid balance value" error="Use an integer between 0 and 4." sqref="D464">
      <formula1>0</formula1>
      <formula2>4</formula2>
    </dataValidation>
    <dataValidation type="decimal" showErrorMessage="1" errorStyle="stop" errorTitle="Invalid balance value" error="Use a number between 0.0001 and 100." sqref="D47:D48">
      <formula1>0.0001</formula1>
      <formula2>100</formula2>
    </dataValidation>
    <dataValidation type="whole" showErrorMessage="1" errorStyle="stop" errorTitle="Invalid balance value" error="Use an integer between 1 and 100." sqref="D472">
      <formula1>1</formula1>
      <formula2>100</formula2>
    </dataValidation>
    <dataValidation type="whole" showErrorMessage="1" errorStyle="stop" errorTitle="Invalid balance value" error="Use an integer between 1 and 100." sqref="D480">
      <formula1>1</formula1>
      <formula2>100</formula2>
    </dataValidation>
    <dataValidation type="decimal" showErrorMessage="1" errorStyle="stop" errorTitle="Invalid balance value" error="Use a number between 0 and 1." sqref="D488">
      <formula1>0</formula1>
      <formula2>1</formula2>
    </dataValidation>
    <dataValidation type="whole" showErrorMessage="1" errorStyle="stop" errorTitle="Invalid balance value" error="Use an integer between 0 and 10." sqref="D49:D50">
      <formula1>0</formula1>
      <formula2>10</formula2>
    </dataValidation>
    <dataValidation type="decimal" showErrorMessage="1" errorStyle="stop" errorTitle="Invalid balance value" error="Use a number between 0 and 1." sqref="D496">
      <formula1>0</formula1>
      <formula2>1</formula2>
    </dataValidation>
    <dataValidation type="whole" showErrorMessage="1" errorStyle="stop" errorTitle="Invalid balance value" error="Use an integer between 1 and 10." sqref="D5:D6">
      <formula1>1</formula1>
      <formula2>10</formula2>
    </dataValidation>
    <dataValidation type="whole" showErrorMessage="1" errorStyle="stop" errorTitle="Invalid balance value" error="Use an integer between 1 and 100." sqref="D504">
      <formula1>1</formula1>
      <formula2>100</formula2>
    </dataValidation>
    <dataValidation type="decimal" showErrorMessage="1" errorStyle="stop" errorTitle="Invalid balance value" error="Use a number between 0 and 1." sqref="D512">
      <formula1>0</formula1>
      <formula2>1</formula2>
    </dataValidation>
    <dataValidation type="whole" showErrorMessage="1" errorStyle="stop" errorTitle="Invalid balance value" error="Use an integer between 1 and 2." sqref="D520">
      <formula1>1</formula1>
      <formula2>2</formula2>
    </dataValidation>
    <dataValidation type="decimal" showErrorMessage="1" errorStyle="stop" errorTitle="Invalid balance value" error="Use a number between 0 and 1." sqref="D528">
      <formula1>0</formula1>
      <formula2>1</formula2>
    </dataValidation>
    <dataValidation type="whole" showErrorMessage="1" errorStyle="stop" errorTitle="Invalid balance value" error="Use an integer between 1 and 100." sqref="D536">
      <formula1>1</formula1>
      <formula2>100</formula2>
    </dataValidation>
    <dataValidation type="whole" showErrorMessage="1" errorStyle="stop" errorTitle="Invalid balance value" error="Use an integer between 1 and 100." sqref="D544">
      <formula1>1</formula1>
      <formula2>100</formula2>
    </dataValidation>
    <dataValidation type="whole" showErrorMessage="1" errorStyle="stop" errorTitle="Invalid balance value" error="Use an integer between 1 and 10." sqref="D55:D56">
      <formula1>1</formula1>
      <formula2>10</formula2>
    </dataValidation>
    <dataValidation type="whole" showErrorMessage="1" errorStyle="stop" errorTitle="Invalid balance value" error="Use an integer between 1 and 100." sqref="D552">
      <formula1>1</formula1>
      <formula2>100</formula2>
    </dataValidation>
    <dataValidation type="whole" showErrorMessage="1" errorStyle="stop" errorTitle="Invalid balance value" error="Use an integer between 1 and 100." sqref="D560">
      <formula1>1</formula1>
      <formula2>100</formula2>
    </dataValidation>
    <dataValidation type="whole" showErrorMessage="1" errorStyle="stop" errorTitle="Invalid balance value" error="Use an integer between 1 and 100." sqref="D568">
      <formula1>1</formula1>
      <formula2>100</formula2>
    </dataValidation>
    <dataValidation type="decimal" showErrorMessage="1" errorStyle="stop" errorTitle="Invalid balance value" error="Use a number between 0.0001 and 100." sqref="D57:D58">
      <formula1>0.0001</formula1>
      <formula2>100</formula2>
    </dataValidation>
    <dataValidation type="whole" showErrorMessage="1" errorStyle="stop" errorTitle="Invalid balance value" error="Use an integer between 1 and 100." sqref="D576">
      <formula1>1</formula1>
      <formula2>100</formula2>
    </dataValidation>
    <dataValidation type="decimal" showErrorMessage="1" errorStyle="stop" errorTitle="Invalid balance value" error="Use a number between 0 and 100." sqref="D584">
      <formula1>0</formula1>
      <formula2>100</formula2>
    </dataValidation>
    <dataValidation type="whole" showErrorMessage="1" errorStyle="stop" errorTitle="Invalid balance value" error="Use an integer between 0 and 10." sqref="D59:D60">
      <formula1>0</formula1>
      <formula2>10</formula2>
    </dataValidation>
    <dataValidation type="whole" showErrorMessage="1" errorStyle="stop" errorTitle="Invalid balance value" error="Use an integer between 1 and 100." sqref="D592">
      <formula1>1</formula1>
      <formula2>100</formula2>
    </dataValidation>
    <dataValidation type="whole" showErrorMessage="1" errorStyle="stop" errorTitle="Invalid balance value" error="Use an integer between 1 and 100." sqref="D600">
      <formula1>1</formula1>
      <formula2>100</formula2>
    </dataValidation>
    <dataValidation type="decimal" showErrorMessage="1" errorStyle="stop" errorTitle="Invalid balance value" error="Use a number between 0 and 1." sqref="D608">
      <formula1>0</formula1>
      <formula2>1</formula2>
    </dataValidation>
    <dataValidation type="decimal" showErrorMessage="1" errorStyle="stop" errorTitle="Invalid balance value" error="Use a number between 0 and 100." sqref="D616">
      <formula1>0</formula1>
      <formula2>100</formula2>
    </dataValidation>
    <dataValidation type="decimal" showErrorMessage="1" errorStyle="stop" errorTitle="Invalid balance value" error="Use a number between 0 and 100." sqref="D624">
      <formula1>0</formula1>
      <formula2>100</formula2>
    </dataValidation>
    <dataValidation type="decimal" showErrorMessage="1" errorStyle="stop" errorTitle="Invalid balance value" error="Use a number between 0 and 100." sqref="D632">
      <formula1>0</formula1>
      <formula2>100</formula2>
    </dataValidation>
    <dataValidation type="decimal" showErrorMessage="1" errorStyle="stop" errorTitle="Invalid balance value" error="Use a number between 0 and 1." sqref="D640">
      <formula1>0</formula1>
      <formula2>1</formula2>
    </dataValidation>
    <dataValidation type="whole" showErrorMessage="1" errorStyle="stop" errorTitle="Invalid balance value" error="Use an integer between 1 and 10." sqref="D65:D66">
      <formula1>1</formula1>
      <formula2>10</formula2>
    </dataValidation>
    <dataValidation type="decimal" showErrorMessage="1" errorStyle="stop" errorTitle="Invalid balance value" error="Use a number between 0.0001 and 100." sqref="D67:D68">
      <formula1>0.0001</formula1>
      <formula2>100</formula2>
    </dataValidation>
    <dataValidation type="whole" showErrorMessage="1" errorStyle="stop" errorTitle="Invalid balance value" error="Use an integer between 0 and 10." sqref="D69:D70">
      <formula1>0</formula1>
      <formula2>10</formula2>
    </dataValidation>
    <dataValidation type="decimal" showErrorMessage="1" errorStyle="stop" errorTitle="Invalid balance value" error="Use a number between 0.0001 and 100." sqref="D7:D8">
      <formula1>0.0001</formula1>
      <formula2>100</formula2>
    </dataValidation>
    <dataValidation type="whole" showErrorMessage="1" errorStyle="stop" errorTitle="Invalid balance value" error="Use an integer between 1 and 10." sqref="D75:D76">
      <formula1>1</formula1>
      <formula2>10</formula2>
    </dataValidation>
    <dataValidation type="decimal" showErrorMessage="1" errorStyle="stop" errorTitle="Invalid balance value" error="Use a number between 0.0001 and 100." sqref="D77:D78">
      <formula1>0.0001</formula1>
      <formula2>100</formula2>
    </dataValidation>
    <dataValidation type="whole" showErrorMessage="1" errorStyle="stop" errorTitle="Invalid balance value" error="Use an integer between 0 and 10." sqref="D79:D80">
      <formula1>0</formula1>
      <formula2>10</formula2>
    </dataValidation>
    <dataValidation type="whole" showErrorMessage="1" errorStyle="stop" errorTitle="Invalid balance value" error="Use an integer between 1 and 10." sqref="D85:D86">
      <formula1>1</formula1>
      <formula2>10</formula2>
    </dataValidation>
    <dataValidation type="decimal" showErrorMessage="1" errorStyle="stop" errorTitle="Invalid balance value" error="Use a number between 0.0001 and 100." sqref="D87:D88">
      <formula1>0.0001</formula1>
      <formula2>100</formula2>
    </dataValidation>
    <dataValidation type="whole" showErrorMessage="1" errorStyle="stop" errorTitle="Invalid balance value" error="Use an integer between 0 and 10." sqref="D89:D90">
      <formula1>0</formula1>
      <formula2>10</formula2>
    </dataValidation>
    <dataValidation type="whole" showErrorMessage="1" errorStyle="stop" errorTitle="Invalid balance value" error="Use an integer between 0 and 10." sqref="D9:D10">
      <formula1>0</formula1>
      <formula2>10</formula2>
    </dataValidation>
    <dataValidation type="whole" showErrorMessage="1" errorStyle="stop" errorTitle="Invalid balance value" error="Use an integer between 1 and 10." sqref="D95:D96">
      <formula1>1</formula1>
      <formula2>10</formula2>
    </dataValidation>
    <dataValidation type="decimal" showErrorMessage="1" errorStyle="stop" errorTitle="Invalid balance value" error="Use a number between 0.0001 and 100." sqref="D97:D98">
      <formula1>0.0001</formula1>
      <formula2>100</formula2>
    </dataValidation>
    <dataValidation type="whole" showErrorMessage="1" errorStyle="stop" errorTitle="Invalid balance value" error="Use an integer between 0 and 10." sqref="D99:D100">
      <formula1>0</formula1>
      <formula2>10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2231</v>
      </c>
      <c r="B2" t="s">
        <v>2232</v>
      </c>
      <c r="C2" t="s">
        <v>2233</v>
      </c>
      <c r="D2" s="3">
        <v>7</v>
      </c>
      <c r="E2" t="s">
        <v>30</v>
      </c>
      <c r="F2" t="s">
        <v>77</v>
      </c>
      <c r="G2">
        <v>7</v>
      </c>
      <c r="H2">
        <v>7</v>
      </c>
      <c r="I2" t="s">
        <v>2234</v>
      </c>
    </row>
    <row r="3" spans="1:9" x14ac:dyDescent="0.25">
      <c r="A3" t="s">
        <v>2235</v>
      </c>
      <c r="B3" t="s">
        <v>2232</v>
      </c>
      <c r="C3" t="s">
        <v>2233</v>
      </c>
      <c r="D3" s="2" t="s">
        <v>2236</v>
      </c>
      <c r="E3" t="s">
        <v>81</v>
      </c>
      <c r="F3" t="s">
        <v>77</v>
      </c>
      <c r="G3" t="s">
        <v>31</v>
      </c>
      <c r="H3" t="s">
        <v>31</v>
      </c>
      <c r="I3" t="s">
        <v>32</v>
      </c>
    </row>
    <row r="4" spans="1:9" x14ac:dyDescent="0.25">
      <c r="A4" t="s">
        <v>2237</v>
      </c>
      <c r="B4" t="s">
        <v>2232</v>
      </c>
      <c r="C4" t="s">
        <v>2233</v>
      </c>
      <c r="D4" s="2" t="s">
        <v>2233</v>
      </c>
      <c r="E4" t="s">
        <v>81</v>
      </c>
      <c r="F4" t="s">
        <v>77</v>
      </c>
      <c r="G4" t="s">
        <v>31</v>
      </c>
      <c r="H4" t="s">
        <v>31</v>
      </c>
      <c r="I4" t="s">
        <v>32</v>
      </c>
    </row>
    <row r="5" spans="1:9" x14ac:dyDescent="0.25">
      <c r="A5" t="s">
        <v>2238</v>
      </c>
      <c r="B5" t="s">
        <v>2232</v>
      </c>
      <c r="C5" t="s">
        <v>2233</v>
      </c>
      <c r="D5" s="2" t="s">
        <v>2234</v>
      </c>
      <c r="E5" t="s">
        <v>81</v>
      </c>
      <c r="F5" t="s">
        <v>77</v>
      </c>
      <c r="G5" t="s">
        <v>31</v>
      </c>
      <c r="H5" t="s">
        <v>31</v>
      </c>
      <c r="I5" t="s">
        <v>32</v>
      </c>
    </row>
    <row r="6" spans="1:9" x14ac:dyDescent="0.25">
      <c r="A6" t="s">
        <v>2239</v>
      </c>
      <c r="B6" t="s">
        <v>2232</v>
      </c>
      <c r="C6" t="s">
        <v>2233</v>
      </c>
      <c r="D6" s="2" t="s">
        <v>77</v>
      </c>
      <c r="E6" t="s">
        <v>81</v>
      </c>
      <c r="F6" t="s">
        <v>77</v>
      </c>
      <c r="G6" t="s">
        <v>31</v>
      </c>
      <c r="H6" t="s">
        <v>31</v>
      </c>
      <c r="I6" t="s">
        <v>32</v>
      </c>
    </row>
    <row r="7" spans="1:9" x14ac:dyDescent="0.25">
      <c r="A7" t="s">
        <v>2240</v>
      </c>
      <c r="B7" t="s">
        <v>2232</v>
      </c>
      <c r="C7" t="s">
        <v>2233</v>
      </c>
      <c r="D7" s="2">
        <v>0</v>
      </c>
      <c r="E7" t="s">
        <v>30</v>
      </c>
      <c r="F7" t="s">
        <v>77</v>
      </c>
      <c r="G7">
        <v>0</v>
      </c>
      <c r="H7">
        <v>0</v>
      </c>
      <c r="I7" t="s">
        <v>32</v>
      </c>
    </row>
    <row r="8" spans="1:9" x14ac:dyDescent="0.25">
      <c r="A8" t="s">
        <v>2241</v>
      </c>
      <c r="B8" t="s">
        <v>2232</v>
      </c>
      <c r="C8" t="s">
        <v>2233</v>
      </c>
      <c r="D8" s="2">
        <v>100</v>
      </c>
      <c r="E8" t="s">
        <v>30</v>
      </c>
      <c r="F8" t="s">
        <v>77</v>
      </c>
      <c r="G8">
        <v>100</v>
      </c>
      <c r="H8">
        <v>100</v>
      </c>
      <c r="I8" t="s">
        <v>32</v>
      </c>
    </row>
    <row r="9" spans="1:9" x14ac:dyDescent="0.25">
      <c r="A9" t="s">
        <v>2242</v>
      </c>
      <c r="B9" t="s">
        <v>2232</v>
      </c>
      <c r="C9" t="s">
        <v>2233</v>
      </c>
      <c r="D9" s="2" t="b">
        <v>1</v>
      </c>
      <c r="E9" t="s">
        <v>88</v>
      </c>
      <c r="F9" t="s">
        <v>77</v>
      </c>
      <c r="G9" t="s">
        <v>31</v>
      </c>
      <c r="H9" t="s">
        <v>31</v>
      </c>
      <c r="I9" t="s">
        <v>32</v>
      </c>
    </row>
    <row r="10" spans="1:9" x14ac:dyDescent="0.25">
      <c r="A10" t="s">
        <v>2243</v>
      </c>
      <c r="B10" t="s">
        <v>2244</v>
      </c>
      <c r="C10" t="s">
        <v>2245</v>
      </c>
      <c r="D10" s="3">
        <v>0.11</v>
      </c>
      <c r="E10" t="s">
        <v>30</v>
      </c>
      <c r="F10" t="s">
        <v>103</v>
      </c>
      <c r="G10">
        <v>0</v>
      </c>
      <c r="H10">
        <v>1</v>
      </c>
      <c r="I10" t="s">
        <v>2246</v>
      </c>
    </row>
    <row r="11" spans="1:9" x14ac:dyDescent="0.25">
      <c r="A11" t="s">
        <v>2247</v>
      </c>
      <c r="B11" t="s">
        <v>2244</v>
      </c>
      <c r="C11" t="s">
        <v>2245</v>
      </c>
      <c r="D11" s="2" t="s">
        <v>2236</v>
      </c>
      <c r="E11" t="s">
        <v>81</v>
      </c>
      <c r="F11" t="s">
        <v>103</v>
      </c>
      <c r="G11" t="s">
        <v>31</v>
      </c>
      <c r="H11" t="s">
        <v>31</v>
      </c>
      <c r="I11" t="s">
        <v>32</v>
      </c>
    </row>
    <row r="12" spans="1:9" x14ac:dyDescent="0.25">
      <c r="A12" t="s">
        <v>2248</v>
      </c>
      <c r="B12" t="s">
        <v>2244</v>
      </c>
      <c r="C12" t="s">
        <v>2245</v>
      </c>
      <c r="D12" s="2" t="s">
        <v>2245</v>
      </c>
      <c r="E12" t="s">
        <v>81</v>
      </c>
      <c r="F12" t="s">
        <v>103</v>
      </c>
      <c r="G12" t="s">
        <v>31</v>
      </c>
      <c r="H12" t="s">
        <v>31</v>
      </c>
      <c r="I12" t="s">
        <v>32</v>
      </c>
    </row>
    <row r="13" spans="1:9" x14ac:dyDescent="0.25">
      <c r="A13" t="s">
        <v>2249</v>
      </c>
      <c r="B13" t="s">
        <v>2244</v>
      </c>
      <c r="C13" t="s">
        <v>2245</v>
      </c>
      <c r="D13" s="2" t="s">
        <v>2246</v>
      </c>
      <c r="E13" t="s">
        <v>81</v>
      </c>
      <c r="F13" t="s">
        <v>103</v>
      </c>
      <c r="G13" t="s">
        <v>31</v>
      </c>
      <c r="H13" t="s">
        <v>31</v>
      </c>
      <c r="I13" t="s">
        <v>32</v>
      </c>
    </row>
    <row r="14" spans="1:9" x14ac:dyDescent="0.25">
      <c r="A14" t="s">
        <v>2250</v>
      </c>
      <c r="B14" t="s">
        <v>2244</v>
      </c>
      <c r="C14" t="s">
        <v>2245</v>
      </c>
      <c r="D14" s="2" t="s">
        <v>103</v>
      </c>
      <c r="E14" t="s">
        <v>81</v>
      </c>
      <c r="F14" t="s">
        <v>103</v>
      </c>
      <c r="G14" t="s">
        <v>31</v>
      </c>
      <c r="H14" t="s">
        <v>31</v>
      </c>
      <c r="I14" t="s">
        <v>32</v>
      </c>
    </row>
    <row r="15" spans="1:9" x14ac:dyDescent="0.25">
      <c r="A15" t="s">
        <v>2251</v>
      </c>
      <c r="B15" t="s">
        <v>2244</v>
      </c>
      <c r="C15" t="s">
        <v>2245</v>
      </c>
      <c r="D15" s="2">
        <v>0</v>
      </c>
      <c r="E15" t="s">
        <v>30</v>
      </c>
      <c r="F15" t="s">
        <v>103</v>
      </c>
      <c r="G15">
        <v>0</v>
      </c>
      <c r="H15">
        <v>1</v>
      </c>
      <c r="I15" t="s">
        <v>32</v>
      </c>
    </row>
    <row r="16" spans="1:9" x14ac:dyDescent="0.25">
      <c r="A16" t="s">
        <v>2252</v>
      </c>
      <c r="B16" t="s">
        <v>2244</v>
      </c>
      <c r="C16" t="s">
        <v>2245</v>
      </c>
      <c r="D16" s="2">
        <v>1</v>
      </c>
      <c r="E16" t="s">
        <v>30</v>
      </c>
      <c r="F16" t="s">
        <v>103</v>
      </c>
      <c r="G16">
        <v>0</v>
      </c>
      <c r="H16">
        <v>1</v>
      </c>
      <c r="I16" t="s">
        <v>32</v>
      </c>
    </row>
    <row r="17" spans="1:9" x14ac:dyDescent="0.25">
      <c r="A17" t="s">
        <v>2253</v>
      </c>
      <c r="B17" t="s">
        <v>2244</v>
      </c>
      <c r="C17" t="s">
        <v>2245</v>
      </c>
      <c r="D17" s="2" t="b">
        <v>0</v>
      </c>
      <c r="E17" t="s">
        <v>88</v>
      </c>
      <c r="F17" t="s">
        <v>103</v>
      </c>
      <c r="G17" t="s">
        <v>31</v>
      </c>
      <c r="H17" t="s">
        <v>31</v>
      </c>
      <c r="I17" t="s">
        <v>32</v>
      </c>
    </row>
    <row r="18" spans="1:9" x14ac:dyDescent="0.25">
      <c r="A18" t="s">
        <v>2254</v>
      </c>
      <c r="B18" t="s">
        <v>2255</v>
      </c>
      <c r="C18" t="s">
        <v>2256</v>
      </c>
      <c r="D18" s="3">
        <v>0.012</v>
      </c>
      <c r="E18" t="s">
        <v>30</v>
      </c>
      <c r="F18" t="s">
        <v>103</v>
      </c>
      <c r="G18">
        <v>0</v>
      </c>
      <c r="H18">
        <v>1</v>
      </c>
      <c r="I18" t="s">
        <v>2257</v>
      </c>
    </row>
    <row r="19" spans="1:9" x14ac:dyDescent="0.25">
      <c r="A19" t="s">
        <v>2258</v>
      </c>
      <c r="B19" t="s">
        <v>2255</v>
      </c>
      <c r="C19" t="s">
        <v>2256</v>
      </c>
      <c r="D19" s="2" t="s">
        <v>2236</v>
      </c>
      <c r="E19" t="s">
        <v>81</v>
      </c>
      <c r="F19" t="s">
        <v>103</v>
      </c>
      <c r="G19" t="s">
        <v>31</v>
      </c>
      <c r="H19" t="s">
        <v>31</v>
      </c>
      <c r="I19" t="s">
        <v>32</v>
      </c>
    </row>
    <row r="20" spans="1:9" x14ac:dyDescent="0.25">
      <c r="A20" t="s">
        <v>2259</v>
      </c>
      <c r="B20" t="s">
        <v>2255</v>
      </c>
      <c r="C20" t="s">
        <v>2256</v>
      </c>
      <c r="D20" s="2" t="s">
        <v>2256</v>
      </c>
      <c r="E20" t="s">
        <v>81</v>
      </c>
      <c r="F20" t="s">
        <v>103</v>
      </c>
      <c r="G20" t="s">
        <v>31</v>
      </c>
      <c r="H20" t="s">
        <v>31</v>
      </c>
      <c r="I20" t="s">
        <v>32</v>
      </c>
    </row>
    <row r="21" spans="1:9" x14ac:dyDescent="0.25">
      <c r="A21" t="s">
        <v>2260</v>
      </c>
      <c r="B21" t="s">
        <v>2255</v>
      </c>
      <c r="C21" t="s">
        <v>2256</v>
      </c>
      <c r="D21" s="2" t="s">
        <v>2257</v>
      </c>
      <c r="E21" t="s">
        <v>81</v>
      </c>
      <c r="F21" t="s">
        <v>103</v>
      </c>
      <c r="G21" t="s">
        <v>31</v>
      </c>
      <c r="H21" t="s">
        <v>31</v>
      </c>
      <c r="I21" t="s">
        <v>32</v>
      </c>
    </row>
    <row r="22" spans="1:9" x14ac:dyDescent="0.25">
      <c r="A22" t="s">
        <v>2261</v>
      </c>
      <c r="B22" t="s">
        <v>2255</v>
      </c>
      <c r="C22" t="s">
        <v>2256</v>
      </c>
      <c r="D22" s="2" t="s">
        <v>103</v>
      </c>
      <c r="E22" t="s">
        <v>81</v>
      </c>
      <c r="F22" t="s">
        <v>103</v>
      </c>
      <c r="G22" t="s">
        <v>31</v>
      </c>
      <c r="H22" t="s">
        <v>31</v>
      </c>
      <c r="I22" t="s">
        <v>32</v>
      </c>
    </row>
    <row r="23" spans="1:9" x14ac:dyDescent="0.25">
      <c r="A23" t="s">
        <v>2262</v>
      </c>
      <c r="B23" t="s">
        <v>2255</v>
      </c>
      <c r="C23" t="s">
        <v>2256</v>
      </c>
      <c r="D23" s="2">
        <v>0</v>
      </c>
      <c r="E23" t="s">
        <v>30</v>
      </c>
      <c r="F23" t="s">
        <v>103</v>
      </c>
      <c r="G23">
        <v>0</v>
      </c>
      <c r="H23">
        <v>1</v>
      </c>
      <c r="I23" t="s">
        <v>32</v>
      </c>
    </row>
    <row r="24" spans="1:9" x14ac:dyDescent="0.25">
      <c r="A24" t="s">
        <v>2263</v>
      </c>
      <c r="B24" t="s">
        <v>2255</v>
      </c>
      <c r="C24" t="s">
        <v>2256</v>
      </c>
      <c r="D24" s="2">
        <v>1</v>
      </c>
      <c r="E24" t="s">
        <v>30</v>
      </c>
      <c r="F24" t="s">
        <v>103</v>
      </c>
      <c r="G24">
        <v>0</v>
      </c>
      <c r="H24">
        <v>1</v>
      </c>
      <c r="I24" t="s">
        <v>32</v>
      </c>
    </row>
    <row r="25" spans="1:9" x14ac:dyDescent="0.25">
      <c r="A25" t="s">
        <v>2264</v>
      </c>
      <c r="B25" t="s">
        <v>2255</v>
      </c>
      <c r="C25" t="s">
        <v>2256</v>
      </c>
      <c r="D25" s="2" t="b">
        <v>0</v>
      </c>
      <c r="E25" t="s">
        <v>88</v>
      </c>
      <c r="F25" t="s">
        <v>103</v>
      </c>
      <c r="G25" t="s">
        <v>31</v>
      </c>
      <c r="H25" t="s">
        <v>31</v>
      </c>
      <c r="I25" t="s">
        <v>32</v>
      </c>
    </row>
    <row r="26" spans="1:9" x14ac:dyDescent="0.25">
      <c r="A26" t="s">
        <v>2265</v>
      </c>
      <c r="B26" t="s">
        <v>2266</v>
      </c>
      <c r="C26" t="s">
        <v>2267</v>
      </c>
      <c r="D26" s="3">
        <v>2</v>
      </c>
      <c r="E26" t="s">
        <v>30</v>
      </c>
      <c r="F26" t="s">
        <v>77</v>
      </c>
      <c r="G26">
        <v>1</v>
      </c>
      <c r="H26">
        <v>2</v>
      </c>
      <c r="I26" t="s">
        <v>2268</v>
      </c>
    </row>
    <row r="27" spans="1:9" x14ac:dyDescent="0.25">
      <c r="A27" t="s">
        <v>2269</v>
      </c>
      <c r="B27" t="s">
        <v>2266</v>
      </c>
      <c r="C27" t="s">
        <v>2267</v>
      </c>
      <c r="D27" s="2" t="s">
        <v>2236</v>
      </c>
      <c r="E27" t="s">
        <v>81</v>
      </c>
      <c r="F27" t="s">
        <v>77</v>
      </c>
      <c r="G27" t="s">
        <v>31</v>
      </c>
      <c r="H27" t="s">
        <v>31</v>
      </c>
      <c r="I27" t="s">
        <v>32</v>
      </c>
    </row>
    <row r="28" spans="1:9" x14ac:dyDescent="0.25">
      <c r="A28" t="s">
        <v>2270</v>
      </c>
      <c r="B28" t="s">
        <v>2266</v>
      </c>
      <c r="C28" t="s">
        <v>2267</v>
      </c>
      <c r="D28" s="2" t="s">
        <v>2267</v>
      </c>
      <c r="E28" t="s">
        <v>81</v>
      </c>
      <c r="F28" t="s">
        <v>77</v>
      </c>
      <c r="G28" t="s">
        <v>31</v>
      </c>
      <c r="H28" t="s">
        <v>31</v>
      </c>
      <c r="I28" t="s">
        <v>32</v>
      </c>
    </row>
    <row r="29" spans="1:9" x14ac:dyDescent="0.25">
      <c r="A29" t="s">
        <v>2271</v>
      </c>
      <c r="B29" t="s">
        <v>2266</v>
      </c>
      <c r="C29" t="s">
        <v>2267</v>
      </c>
      <c r="D29" s="2" t="s">
        <v>2268</v>
      </c>
      <c r="E29" t="s">
        <v>81</v>
      </c>
      <c r="F29" t="s">
        <v>77</v>
      </c>
      <c r="G29" t="s">
        <v>31</v>
      </c>
      <c r="H29" t="s">
        <v>31</v>
      </c>
      <c r="I29" t="s">
        <v>32</v>
      </c>
    </row>
    <row r="30" spans="1:9" x14ac:dyDescent="0.25">
      <c r="A30" t="s">
        <v>2272</v>
      </c>
      <c r="B30" t="s">
        <v>2266</v>
      </c>
      <c r="C30" t="s">
        <v>2267</v>
      </c>
      <c r="D30" s="2" t="s">
        <v>77</v>
      </c>
      <c r="E30" t="s">
        <v>81</v>
      </c>
      <c r="F30" t="s">
        <v>77</v>
      </c>
      <c r="G30" t="s">
        <v>31</v>
      </c>
      <c r="H30" t="s">
        <v>31</v>
      </c>
      <c r="I30" t="s">
        <v>32</v>
      </c>
    </row>
    <row r="31" spans="1:9" x14ac:dyDescent="0.25">
      <c r="A31" t="s">
        <v>2273</v>
      </c>
      <c r="B31" t="s">
        <v>2266</v>
      </c>
      <c r="C31" t="s">
        <v>2267</v>
      </c>
      <c r="D31" s="2">
        <v>0</v>
      </c>
      <c r="E31" t="s">
        <v>30</v>
      </c>
      <c r="F31" t="s">
        <v>77</v>
      </c>
      <c r="G31">
        <v>1</v>
      </c>
      <c r="H31">
        <v>2</v>
      </c>
      <c r="I31" t="s">
        <v>32</v>
      </c>
    </row>
    <row r="32" spans="1:9" x14ac:dyDescent="0.25">
      <c r="A32" t="s">
        <v>2274</v>
      </c>
      <c r="B32" t="s">
        <v>2266</v>
      </c>
      <c r="C32" t="s">
        <v>2267</v>
      </c>
      <c r="D32" s="2">
        <v>100</v>
      </c>
      <c r="E32" t="s">
        <v>30</v>
      </c>
      <c r="F32" t="s">
        <v>77</v>
      </c>
      <c r="G32">
        <v>1</v>
      </c>
      <c r="H32">
        <v>2</v>
      </c>
      <c r="I32" t="s">
        <v>32</v>
      </c>
    </row>
    <row r="33" spans="1:9" x14ac:dyDescent="0.25">
      <c r="A33" t="s">
        <v>2275</v>
      </c>
      <c r="B33" t="s">
        <v>2266</v>
      </c>
      <c r="C33" t="s">
        <v>2267</v>
      </c>
      <c r="D33" s="2" t="b">
        <v>1</v>
      </c>
      <c r="E33" t="s">
        <v>88</v>
      </c>
      <c r="F33" t="s">
        <v>77</v>
      </c>
      <c r="G33" t="s">
        <v>31</v>
      </c>
      <c r="H33" t="s">
        <v>31</v>
      </c>
      <c r="I33" t="s">
        <v>32</v>
      </c>
    </row>
    <row r="34" spans="1:9" x14ac:dyDescent="0.25">
      <c r="A34" t="s">
        <v>2276</v>
      </c>
      <c r="B34" t="s">
        <v>2277</v>
      </c>
      <c r="C34" t="s">
        <v>2278</v>
      </c>
      <c r="D34" s="3">
        <v>0.35</v>
      </c>
      <c r="E34" t="s">
        <v>30</v>
      </c>
      <c r="F34" t="s">
        <v>103</v>
      </c>
      <c r="G34">
        <v>0</v>
      </c>
      <c r="H34">
        <v>1</v>
      </c>
      <c r="I34" t="s">
        <v>2279</v>
      </c>
    </row>
    <row r="35" spans="1:9" x14ac:dyDescent="0.25">
      <c r="A35" t="s">
        <v>2280</v>
      </c>
      <c r="B35" t="s">
        <v>2277</v>
      </c>
      <c r="C35" t="s">
        <v>2278</v>
      </c>
      <c r="D35" s="2" t="s">
        <v>2236</v>
      </c>
      <c r="E35" t="s">
        <v>81</v>
      </c>
      <c r="F35" t="s">
        <v>103</v>
      </c>
      <c r="G35" t="s">
        <v>31</v>
      </c>
      <c r="H35" t="s">
        <v>31</v>
      </c>
      <c r="I35" t="s">
        <v>32</v>
      </c>
    </row>
    <row r="36" spans="1:9" x14ac:dyDescent="0.25">
      <c r="A36" t="s">
        <v>2281</v>
      </c>
      <c r="B36" t="s">
        <v>2277</v>
      </c>
      <c r="C36" t="s">
        <v>2278</v>
      </c>
      <c r="D36" s="2" t="s">
        <v>2278</v>
      </c>
      <c r="E36" t="s">
        <v>81</v>
      </c>
      <c r="F36" t="s">
        <v>103</v>
      </c>
      <c r="G36" t="s">
        <v>31</v>
      </c>
      <c r="H36" t="s">
        <v>31</v>
      </c>
      <c r="I36" t="s">
        <v>32</v>
      </c>
    </row>
    <row r="37" spans="1:9" x14ac:dyDescent="0.25">
      <c r="A37" t="s">
        <v>2282</v>
      </c>
      <c r="B37" t="s">
        <v>2277</v>
      </c>
      <c r="C37" t="s">
        <v>2278</v>
      </c>
      <c r="D37" s="2" t="s">
        <v>2279</v>
      </c>
      <c r="E37" t="s">
        <v>81</v>
      </c>
      <c r="F37" t="s">
        <v>103</v>
      </c>
      <c r="G37" t="s">
        <v>31</v>
      </c>
      <c r="H37" t="s">
        <v>31</v>
      </c>
      <c r="I37" t="s">
        <v>32</v>
      </c>
    </row>
    <row r="38" spans="1:9" x14ac:dyDescent="0.25">
      <c r="A38" t="s">
        <v>2283</v>
      </c>
      <c r="B38" t="s">
        <v>2277</v>
      </c>
      <c r="C38" t="s">
        <v>2278</v>
      </c>
      <c r="D38" s="2" t="s">
        <v>103</v>
      </c>
      <c r="E38" t="s">
        <v>81</v>
      </c>
      <c r="F38" t="s">
        <v>103</v>
      </c>
      <c r="G38" t="s">
        <v>31</v>
      </c>
      <c r="H38" t="s">
        <v>31</v>
      </c>
      <c r="I38" t="s">
        <v>32</v>
      </c>
    </row>
    <row r="39" spans="1:9" x14ac:dyDescent="0.25">
      <c r="A39" t="s">
        <v>2284</v>
      </c>
      <c r="B39" t="s">
        <v>2277</v>
      </c>
      <c r="C39" t="s">
        <v>2278</v>
      </c>
      <c r="D39" s="2">
        <v>0</v>
      </c>
      <c r="E39" t="s">
        <v>30</v>
      </c>
      <c r="F39" t="s">
        <v>103</v>
      </c>
      <c r="G39">
        <v>0</v>
      </c>
      <c r="H39">
        <v>1</v>
      </c>
      <c r="I39" t="s">
        <v>32</v>
      </c>
    </row>
    <row r="40" spans="1:9" x14ac:dyDescent="0.25">
      <c r="A40" t="s">
        <v>2285</v>
      </c>
      <c r="B40" t="s">
        <v>2277</v>
      </c>
      <c r="C40" t="s">
        <v>2278</v>
      </c>
      <c r="D40" s="2">
        <v>1</v>
      </c>
      <c r="E40" t="s">
        <v>30</v>
      </c>
      <c r="F40" t="s">
        <v>103</v>
      </c>
      <c r="G40">
        <v>0</v>
      </c>
      <c r="H40">
        <v>1</v>
      </c>
      <c r="I40" t="s">
        <v>32</v>
      </c>
    </row>
    <row r="41" spans="1:9" x14ac:dyDescent="0.25">
      <c r="A41" t="s">
        <v>2286</v>
      </c>
      <c r="B41" t="s">
        <v>2277</v>
      </c>
      <c r="C41" t="s">
        <v>2278</v>
      </c>
      <c r="D41" s="2" t="b">
        <v>0</v>
      </c>
      <c r="E41" t="s">
        <v>88</v>
      </c>
      <c r="F41" t="s">
        <v>103</v>
      </c>
      <c r="G41" t="s">
        <v>31</v>
      </c>
      <c r="H41" t="s">
        <v>31</v>
      </c>
      <c r="I41" t="s">
        <v>32</v>
      </c>
    </row>
    <row r="42" spans="1:9" x14ac:dyDescent="0.25">
      <c r="A42" t="s">
        <v>2287</v>
      </c>
      <c r="B42" t="s">
        <v>2288</v>
      </c>
      <c r="C42" t="s">
        <v>2289</v>
      </c>
      <c r="D42" s="3">
        <v>0.45</v>
      </c>
      <c r="E42" t="s">
        <v>30</v>
      </c>
      <c r="F42" t="s">
        <v>103</v>
      </c>
      <c r="G42">
        <v>0</v>
      </c>
      <c r="H42">
        <v>1</v>
      </c>
      <c r="I42" t="s">
        <v>2290</v>
      </c>
    </row>
    <row r="43" spans="1:9" x14ac:dyDescent="0.25">
      <c r="A43" t="s">
        <v>2291</v>
      </c>
      <c r="B43" t="s">
        <v>2288</v>
      </c>
      <c r="C43" t="s">
        <v>2289</v>
      </c>
      <c r="D43" s="2" t="s">
        <v>2236</v>
      </c>
      <c r="E43" t="s">
        <v>81</v>
      </c>
      <c r="F43" t="s">
        <v>103</v>
      </c>
      <c r="G43" t="s">
        <v>31</v>
      </c>
      <c r="H43" t="s">
        <v>31</v>
      </c>
      <c r="I43" t="s">
        <v>32</v>
      </c>
    </row>
    <row r="44" spans="1:9" x14ac:dyDescent="0.25">
      <c r="A44" t="s">
        <v>2292</v>
      </c>
      <c r="B44" t="s">
        <v>2288</v>
      </c>
      <c r="C44" t="s">
        <v>2289</v>
      </c>
      <c r="D44" s="2" t="s">
        <v>2289</v>
      </c>
      <c r="E44" t="s">
        <v>81</v>
      </c>
      <c r="F44" t="s">
        <v>103</v>
      </c>
      <c r="G44" t="s">
        <v>31</v>
      </c>
      <c r="H44" t="s">
        <v>31</v>
      </c>
      <c r="I44" t="s">
        <v>32</v>
      </c>
    </row>
    <row r="45" spans="1:9" x14ac:dyDescent="0.25">
      <c r="A45" t="s">
        <v>2293</v>
      </c>
      <c r="B45" t="s">
        <v>2288</v>
      </c>
      <c r="C45" t="s">
        <v>2289</v>
      </c>
      <c r="D45" s="2" t="s">
        <v>2290</v>
      </c>
      <c r="E45" t="s">
        <v>81</v>
      </c>
      <c r="F45" t="s">
        <v>103</v>
      </c>
      <c r="G45" t="s">
        <v>31</v>
      </c>
      <c r="H45" t="s">
        <v>31</v>
      </c>
      <c r="I45" t="s">
        <v>32</v>
      </c>
    </row>
    <row r="46" spans="1:9" x14ac:dyDescent="0.25">
      <c r="A46" t="s">
        <v>2294</v>
      </c>
      <c r="B46" t="s">
        <v>2288</v>
      </c>
      <c r="C46" t="s">
        <v>2289</v>
      </c>
      <c r="D46" s="2" t="s">
        <v>103</v>
      </c>
      <c r="E46" t="s">
        <v>81</v>
      </c>
      <c r="F46" t="s">
        <v>103</v>
      </c>
      <c r="G46" t="s">
        <v>31</v>
      </c>
      <c r="H46" t="s">
        <v>31</v>
      </c>
      <c r="I46" t="s">
        <v>32</v>
      </c>
    </row>
    <row r="47" spans="1:9" x14ac:dyDescent="0.25">
      <c r="A47" t="s">
        <v>2295</v>
      </c>
      <c r="B47" t="s">
        <v>2288</v>
      </c>
      <c r="C47" t="s">
        <v>2289</v>
      </c>
      <c r="D47" s="2">
        <v>0</v>
      </c>
      <c r="E47" t="s">
        <v>30</v>
      </c>
      <c r="F47" t="s">
        <v>103</v>
      </c>
      <c r="G47">
        <v>0</v>
      </c>
      <c r="H47">
        <v>1</v>
      </c>
      <c r="I47" t="s">
        <v>32</v>
      </c>
    </row>
    <row r="48" spans="1:9" x14ac:dyDescent="0.25">
      <c r="A48" t="s">
        <v>2296</v>
      </c>
      <c r="B48" t="s">
        <v>2288</v>
      </c>
      <c r="C48" t="s">
        <v>2289</v>
      </c>
      <c r="D48" s="2">
        <v>1</v>
      </c>
      <c r="E48" t="s">
        <v>30</v>
      </c>
      <c r="F48" t="s">
        <v>103</v>
      </c>
      <c r="G48">
        <v>0</v>
      </c>
      <c r="H48">
        <v>1</v>
      </c>
      <c r="I48" t="s">
        <v>32</v>
      </c>
    </row>
    <row r="49" spans="1:9" x14ac:dyDescent="0.25">
      <c r="A49" t="s">
        <v>2297</v>
      </c>
      <c r="B49" t="s">
        <v>2288</v>
      </c>
      <c r="C49" t="s">
        <v>2289</v>
      </c>
      <c r="D49" s="2" t="b">
        <v>0</v>
      </c>
      <c r="E49" t="s">
        <v>88</v>
      </c>
      <c r="F49" t="s">
        <v>103</v>
      </c>
      <c r="G49" t="s">
        <v>31</v>
      </c>
      <c r="H49" t="s">
        <v>31</v>
      </c>
      <c r="I49" t="s">
        <v>32</v>
      </c>
    </row>
    <row r="50" spans="1:9" x14ac:dyDescent="0.25">
      <c r="A50" t="s">
        <v>2298</v>
      </c>
      <c r="B50" t="s">
        <v>2299</v>
      </c>
      <c r="C50" t="s">
        <v>2300</v>
      </c>
      <c r="D50" s="3">
        <v>2</v>
      </c>
      <c r="E50" t="s">
        <v>30</v>
      </c>
      <c r="F50" t="s">
        <v>77</v>
      </c>
      <c r="G50">
        <v>2</v>
      </c>
      <c r="H50">
        <v>2</v>
      </c>
      <c r="I50" t="s">
        <v>2301</v>
      </c>
    </row>
    <row r="51" spans="1:9" x14ac:dyDescent="0.25">
      <c r="A51" t="s">
        <v>2302</v>
      </c>
      <c r="B51" t="s">
        <v>2299</v>
      </c>
      <c r="C51" t="s">
        <v>2300</v>
      </c>
      <c r="D51" s="2" t="s">
        <v>2236</v>
      </c>
      <c r="E51" t="s">
        <v>81</v>
      </c>
      <c r="F51" t="s">
        <v>77</v>
      </c>
      <c r="G51" t="s">
        <v>31</v>
      </c>
      <c r="H51" t="s">
        <v>31</v>
      </c>
      <c r="I51" t="s">
        <v>32</v>
      </c>
    </row>
    <row r="52" spans="1:9" x14ac:dyDescent="0.25">
      <c r="A52" t="s">
        <v>2303</v>
      </c>
      <c r="B52" t="s">
        <v>2299</v>
      </c>
      <c r="C52" t="s">
        <v>2300</v>
      </c>
      <c r="D52" s="2" t="s">
        <v>2300</v>
      </c>
      <c r="E52" t="s">
        <v>81</v>
      </c>
      <c r="F52" t="s">
        <v>77</v>
      </c>
      <c r="G52" t="s">
        <v>31</v>
      </c>
      <c r="H52" t="s">
        <v>31</v>
      </c>
      <c r="I52" t="s">
        <v>32</v>
      </c>
    </row>
    <row r="53" spans="1:9" x14ac:dyDescent="0.25">
      <c r="A53" t="s">
        <v>2304</v>
      </c>
      <c r="B53" t="s">
        <v>2299</v>
      </c>
      <c r="C53" t="s">
        <v>2300</v>
      </c>
      <c r="D53" s="2" t="s">
        <v>2301</v>
      </c>
      <c r="E53" t="s">
        <v>81</v>
      </c>
      <c r="F53" t="s">
        <v>77</v>
      </c>
      <c r="G53" t="s">
        <v>31</v>
      </c>
      <c r="H53" t="s">
        <v>31</v>
      </c>
      <c r="I53" t="s">
        <v>32</v>
      </c>
    </row>
    <row r="54" spans="1:9" x14ac:dyDescent="0.25">
      <c r="A54" t="s">
        <v>2305</v>
      </c>
      <c r="B54" t="s">
        <v>2299</v>
      </c>
      <c r="C54" t="s">
        <v>2300</v>
      </c>
      <c r="D54" s="2" t="s">
        <v>77</v>
      </c>
      <c r="E54" t="s">
        <v>81</v>
      </c>
      <c r="F54" t="s">
        <v>77</v>
      </c>
      <c r="G54" t="s">
        <v>31</v>
      </c>
      <c r="H54" t="s">
        <v>31</v>
      </c>
      <c r="I54" t="s">
        <v>32</v>
      </c>
    </row>
    <row r="55" spans="1:9" x14ac:dyDescent="0.25">
      <c r="A55" t="s">
        <v>2306</v>
      </c>
      <c r="B55" t="s">
        <v>2299</v>
      </c>
      <c r="C55" t="s">
        <v>2300</v>
      </c>
      <c r="D55" s="2">
        <v>0</v>
      </c>
      <c r="E55" t="s">
        <v>30</v>
      </c>
      <c r="F55" t="s">
        <v>77</v>
      </c>
      <c r="G55">
        <v>0</v>
      </c>
      <c r="H55">
        <v>0</v>
      </c>
      <c r="I55" t="s">
        <v>32</v>
      </c>
    </row>
    <row r="56" spans="1:9" x14ac:dyDescent="0.25">
      <c r="A56" t="s">
        <v>2307</v>
      </c>
      <c r="B56" t="s">
        <v>2299</v>
      </c>
      <c r="C56" t="s">
        <v>2300</v>
      </c>
      <c r="D56" s="2">
        <v>100</v>
      </c>
      <c r="E56" t="s">
        <v>30</v>
      </c>
      <c r="F56" t="s">
        <v>77</v>
      </c>
      <c r="G56">
        <v>100</v>
      </c>
      <c r="H56">
        <v>100</v>
      </c>
      <c r="I56" t="s">
        <v>32</v>
      </c>
    </row>
    <row r="57" spans="1:9" x14ac:dyDescent="0.25">
      <c r="A57" t="s">
        <v>2308</v>
      </c>
      <c r="B57" t="s">
        <v>2299</v>
      </c>
      <c r="C57" t="s">
        <v>2300</v>
      </c>
      <c r="D57" s="2" t="b">
        <v>1</v>
      </c>
      <c r="E57" t="s">
        <v>88</v>
      </c>
      <c r="F57" t="s">
        <v>77</v>
      </c>
      <c r="G57" t="s">
        <v>31</v>
      </c>
      <c r="H57" t="s">
        <v>31</v>
      </c>
      <c r="I57" t="s">
        <v>32</v>
      </c>
    </row>
    <row r="58" spans="1:9" x14ac:dyDescent="0.25">
      <c r="A58" t="s">
        <v>2309</v>
      </c>
      <c r="B58" t="s">
        <v>2310</v>
      </c>
      <c r="C58" t="s">
        <v>2311</v>
      </c>
      <c r="D58" s="3">
        <v>2</v>
      </c>
      <c r="E58" t="s">
        <v>30</v>
      </c>
      <c r="F58" t="s">
        <v>77</v>
      </c>
      <c r="G58">
        <v>2</v>
      </c>
      <c r="H58">
        <v>2</v>
      </c>
      <c r="I58" t="s">
        <v>2312</v>
      </c>
    </row>
    <row r="59" spans="1:9" x14ac:dyDescent="0.25">
      <c r="A59" t="s">
        <v>2313</v>
      </c>
      <c r="B59" t="s">
        <v>2310</v>
      </c>
      <c r="C59" t="s">
        <v>2311</v>
      </c>
      <c r="D59" s="2" t="s">
        <v>2236</v>
      </c>
      <c r="E59" t="s">
        <v>81</v>
      </c>
      <c r="F59" t="s">
        <v>77</v>
      </c>
      <c r="G59" t="s">
        <v>31</v>
      </c>
      <c r="H59" t="s">
        <v>31</v>
      </c>
      <c r="I59" t="s">
        <v>32</v>
      </c>
    </row>
    <row r="60" spans="1:9" x14ac:dyDescent="0.25">
      <c r="A60" t="s">
        <v>2314</v>
      </c>
      <c r="B60" t="s">
        <v>2310</v>
      </c>
      <c r="C60" t="s">
        <v>2311</v>
      </c>
      <c r="D60" s="2" t="s">
        <v>2311</v>
      </c>
      <c r="E60" t="s">
        <v>81</v>
      </c>
      <c r="F60" t="s">
        <v>77</v>
      </c>
      <c r="G60" t="s">
        <v>31</v>
      </c>
      <c r="H60" t="s">
        <v>31</v>
      </c>
      <c r="I60" t="s">
        <v>32</v>
      </c>
    </row>
    <row r="61" spans="1:9" x14ac:dyDescent="0.25">
      <c r="A61" t="s">
        <v>2315</v>
      </c>
      <c r="B61" t="s">
        <v>2310</v>
      </c>
      <c r="C61" t="s">
        <v>2311</v>
      </c>
      <c r="D61" s="2" t="s">
        <v>2312</v>
      </c>
      <c r="E61" t="s">
        <v>81</v>
      </c>
      <c r="F61" t="s">
        <v>77</v>
      </c>
      <c r="G61" t="s">
        <v>31</v>
      </c>
      <c r="H61" t="s">
        <v>31</v>
      </c>
      <c r="I61" t="s">
        <v>32</v>
      </c>
    </row>
    <row r="62" spans="1:9" x14ac:dyDescent="0.25">
      <c r="A62" t="s">
        <v>2316</v>
      </c>
      <c r="B62" t="s">
        <v>2310</v>
      </c>
      <c r="C62" t="s">
        <v>2311</v>
      </c>
      <c r="D62" s="2" t="s">
        <v>77</v>
      </c>
      <c r="E62" t="s">
        <v>81</v>
      </c>
      <c r="F62" t="s">
        <v>77</v>
      </c>
      <c r="G62" t="s">
        <v>31</v>
      </c>
      <c r="H62" t="s">
        <v>31</v>
      </c>
      <c r="I62" t="s">
        <v>32</v>
      </c>
    </row>
    <row r="63" spans="1:9" x14ac:dyDescent="0.25">
      <c r="A63" t="s">
        <v>2317</v>
      </c>
      <c r="B63" t="s">
        <v>2310</v>
      </c>
      <c r="C63" t="s">
        <v>2311</v>
      </c>
      <c r="D63" s="2">
        <v>0</v>
      </c>
      <c r="E63" t="s">
        <v>30</v>
      </c>
      <c r="F63" t="s">
        <v>77</v>
      </c>
      <c r="G63">
        <v>0</v>
      </c>
      <c r="H63">
        <v>0</v>
      </c>
      <c r="I63" t="s">
        <v>32</v>
      </c>
    </row>
    <row r="64" spans="1:9" x14ac:dyDescent="0.25">
      <c r="A64" t="s">
        <v>2318</v>
      </c>
      <c r="B64" t="s">
        <v>2310</v>
      </c>
      <c r="C64" t="s">
        <v>2311</v>
      </c>
      <c r="D64" s="2">
        <v>100</v>
      </c>
      <c r="E64" t="s">
        <v>30</v>
      </c>
      <c r="F64" t="s">
        <v>77</v>
      </c>
      <c r="G64">
        <v>100</v>
      </c>
      <c r="H64">
        <v>100</v>
      </c>
      <c r="I64" t="s">
        <v>32</v>
      </c>
    </row>
    <row r="65" spans="1:9" x14ac:dyDescent="0.25">
      <c r="A65" t="s">
        <v>2319</v>
      </c>
      <c r="B65" t="s">
        <v>2310</v>
      </c>
      <c r="C65" t="s">
        <v>2311</v>
      </c>
      <c r="D65" s="2" t="b">
        <v>1</v>
      </c>
      <c r="E65" t="s">
        <v>88</v>
      </c>
      <c r="F65" t="s">
        <v>77</v>
      </c>
      <c r="G65" t="s">
        <v>31</v>
      </c>
      <c r="H65" t="s">
        <v>31</v>
      </c>
      <c r="I65" t="s">
        <v>32</v>
      </c>
    </row>
    <row r="66" spans="1:9" x14ac:dyDescent="0.25">
      <c r="A66" t="s">
        <v>2320</v>
      </c>
      <c r="B66" t="s">
        <v>2321</v>
      </c>
      <c r="C66" t="s">
        <v>2322</v>
      </c>
      <c r="D66" s="3">
        <v>6</v>
      </c>
      <c r="E66" t="s">
        <v>30</v>
      </c>
      <c r="F66" t="s">
        <v>77</v>
      </c>
      <c r="G66">
        <v>6</v>
      </c>
      <c r="H66">
        <v>6</v>
      </c>
      <c r="I66" t="s">
        <v>2323</v>
      </c>
    </row>
    <row r="67" spans="1:9" x14ac:dyDescent="0.25">
      <c r="A67" t="s">
        <v>2324</v>
      </c>
      <c r="B67" t="s">
        <v>2321</v>
      </c>
      <c r="C67" t="s">
        <v>2322</v>
      </c>
      <c r="D67" s="2" t="s">
        <v>2236</v>
      </c>
      <c r="E67" t="s">
        <v>81</v>
      </c>
      <c r="F67" t="s">
        <v>77</v>
      </c>
      <c r="G67" t="s">
        <v>31</v>
      </c>
      <c r="H67" t="s">
        <v>31</v>
      </c>
      <c r="I67" t="s">
        <v>32</v>
      </c>
    </row>
    <row r="68" spans="1:9" x14ac:dyDescent="0.25">
      <c r="A68" t="s">
        <v>2325</v>
      </c>
      <c r="B68" t="s">
        <v>2321</v>
      </c>
      <c r="C68" t="s">
        <v>2322</v>
      </c>
      <c r="D68" s="2" t="s">
        <v>2322</v>
      </c>
      <c r="E68" t="s">
        <v>81</v>
      </c>
      <c r="F68" t="s">
        <v>77</v>
      </c>
      <c r="G68" t="s">
        <v>31</v>
      </c>
      <c r="H68" t="s">
        <v>31</v>
      </c>
      <c r="I68" t="s">
        <v>32</v>
      </c>
    </row>
    <row r="69" spans="1:9" x14ac:dyDescent="0.25">
      <c r="A69" t="s">
        <v>2326</v>
      </c>
      <c r="B69" t="s">
        <v>2321</v>
      </c>
      <c r="C69" t="s">
        <v>2322</v>
      </c>
      <c r="D69" s="2" t="s">
        <v>2323</v>
      </c>
      <c r="E69" t="s">
        <v>81</v>
      </c>
      <c r="F69" t="s">
        <v>77</v>
      </c>
      <c r="G69" t="s">
        <v>31</v>
      </c>
      <c r="H69" t="s">
        <v>31</v>
      </c>
      <c r="I69" t="s">
        <v>32</v>
      </c>
    </row>
    <row r="70" spans="1:9" x14ac:dyDescent="0.25">
      <c r="A70" t="s">
        <v>2327</v>
      </c>
      <c r="B70" t="s">
        <v>2321</v>
      </c>
      <c r="C70" t="s">
        <v>2322</v>
      </c>
      <c r="D70" s="2" t="s">
        <v>77</v>
      </c>
      <c r="E70" t="s">
        <v>81</v>
      </c>
      <c r="F70" t="s">
        <v>77</v>
      </c>
      <c r="G70" t="s">
        <v>31</v>
      </c>
      <c r="H70" t="s">
        <v>31</v>
      </c>
      <c r="I70" t="s">
        <v>32</v>
      </c>
    </row>
    <row r="71" spans="1:9" x14ac:dyDescent="0.25">
      <c r="A71" t="s">
        <v>2328</v>
      </c>
      <c r="B71" t="s">
        <v>2321</v>
      </c>
      <c r="C71" t="s">
        <v>2322</v>
      </c>
      <c r="D71" s="2">
        <v>0</v>
      </c>
      <c r="E71" t="s">
        <v>30</v>
      </c>
      <c r="F71" t="s">
        <v>77</v>
      </c>
      <c r="G71">
        <v>0</v>
      </c>
      <c r="H71">
        <v>0</v>
      </c>
      <c r="I71" t="s">
        <v>32</v>
      </c>
    </row>
    <row r="72" spans="1:9" x14ac:dyDescent="0.25">
      <c r="A72" t="s">
        <v>2329</v>
      </c>
      <c r="B72" t="s">
        <v>2321</v>
      </c>
      <c r="C72" t="s">
        <v>2322</v>
      </c>
      <c r="D72" s="2">
        <v>100</v>
      </c>
      <c r="E72" t="s">
        <v>30</v>
      </c>
      <c r="F72" t="s">
        <v>77</v>
      </c>
      <c r="G72">
        <v>100</v>
      </c>
      <c r="H72">
        <v>100</v>
      </c>
      <c r="I72" t="s">
        <v>32</v>
      </c>
    </row>
    <row r="73" spans="1:9" x14ac:dyDescent="0.25">
      <c r="A73" t="s">
        <v>2330</v>
      </c>
      <c r="B73" t="s">
        <v>2321</v>
      </c>
      <c r="C73" t="s">
        <v>2322</v>
      </c>
      <c r="D73" s="2" t="b">
        <v>1</v>
      </c>
      <c r="E73" t="s">
        <v>88</v>
      </c>
      <c r="F73" t="s">
        <v>77</v>
      </c>
      <c r="G73" t="s">
        <v>31</v>
      </c>
      <c r="H73" t="s">
        <v>31</v>
      </c>
      <c r="I73" t="s">
        <v>32</v>
      </c>
    </row>
    <row r="74" spans="1:9" x14ac:dyDescent="0.25">
      <c r="A74" t="s">
        <v>2331</v>
      </c>
      <c r="B74" t="s">
        <v>2332</v>
      </c>
      <c r="C74" t="s">
        <v>2333</v>
      </c>
      <c r="D74" s="3">
        <v>2</v>
      </c>
      <c r="E74" t="s">
        <v>30</v>
      </c>
      <c r="F74" t="s">
        <v>77</v>
      </c>
      <c r="G74">
        <v>2</v>
      </c>
      <c r="H74">
        <v>2</v>
      </c>
      <c r="I74" t="s">
        <v>2334</v>
      </c>
    </row>
    <row r="75" spans="1:9" x14ac:dyDescent="0.25">
      <c r="A75" t="s">
        <v>2335</v>
      </c>
      <c r="B75" t="s">
        <v>2332</v>
      </c>
      <c r="C75" t="s">
        <v>2333</v>
      </c>
      <c r="D75" s="2" t="s">
        <v>2236</v>
      </c>
      <c r="E75" t="s">
        <v>81</v>
      </c>
      <c r="F75" t="s">
        <v>77</v>
      </c>
      <c r="G75" t="s">
        <v>31</v>
      </c>
      <c r="H75" t="s">
        <v>31</v>
      </c>
      <c r="I75" t="s">
        <v>32</v>
      </c>
    </row>
    <row r="76" spans="1:9" x14ac:dyDescent="0.25">
      <c r="A76" t="s">
        <v>2336</v>
      </c>
      <c r="B76" t="s">
        <v>2332</v>
      </c>
      <c r="C76" t="s">
        <v>2333</v>
      </c>
      <c r="D76" s="2" t="s">
        <v>2333</v>
      </c>
      <c r="E76" t="s">
        <v>81</v>
      </c>
      <c r="F76" t="s">
        <v>77</v>
      </c>
      <c r="G76" t="s">
        <v>31</v>
      </c>
      <c r="H76" t="s">
        <v>31</v>
      </c>
      <c r="I76" t="s">
        <v>32</v>
      </c>
    </row>
    <row r="77" spans="1:9" x14ac:dyDescent="0.25">
      <c r="A77" t="s">
        <v>2337</v>
      </c>
      <c r="B77" t="s">
        <v>2332</v>
      </c>
      <c r="C77" t="s">
        <v>2333</v>
      </c>
      <c r="D77" s="2" t="s">
        <v>2334</v>
      </c>
      <c r="E77" t="s">
        <v>81</v>
      </c>
      <c r="F77" t="s">
        <v>77</v>
      </c>
      <c r="G77" t="s">
        <v>31</v>
      </c>
      <c r="H77" t="s">
        <v>31</v>
      </c>
      <c r="I77" t="s">
        <v>32</v>
      </c>
    </row>
    <row r="78" spans="1:9" x14ac:dyDescent="0.25">
      <c r="A78" t="s">
        <v>2338</v>
      </c>
      <c r="B78" t="s">
        <v>2332</v>
      </c>
      <c r="C78" t="s">
        <v>2333</v>
      </c>
      <c r="D78" s="2" t="s">
        <v>77</v>
      </c>
      <c r="E78" t="s">
        <v>81</v>
      </c>
      <c r="F78" t="s">
        <v>77</v>
      </c>
      <c r="G78" t="s">
        <v>31</v>
      </c>
      <c r="H78" t="s">
        <v>31</v>
      </c>
      <c r="I78" t="s">
        <v>32</v>
      </c>
    </row>
    <row r="79" spans="1:9" x14ac:dyDescent="0.25">
      <c r="A79" t="s">
        <v>2339</v>
      </c>
      <c r="B79" t="s">
        <v>2332</v>
      </c>
      <c r="C79" t="s">
        <v>2333</v>
      </c>
      <c r="D79" s="2">
        <v>0</v>
      </c>
      <c r="E79" t="s">
        <v>30</v>
      </c>
      <c r="F79" t="s">
        <v>77</v>
      </c>
      <c r="G79">
        <v>0</v>
      </c>
      <c r="H79">
        <v>0</v>
      </c>
      <c r="I79" t="s">
        <v>32</v>
      </c>
    </row>
    <row r="80" spans="1:9" x14ac:dyDescent="0.25">
      <c r="A80" t="s">
        <v>2340</v>
      </c>
      <c r="B80" t="s">
        <v>2332</v>
      </c>
      <c r="C80" t="s">
        <v>2333</v>
      </c>
      <c r="D80" s="2">
        <v>100</v>
      </c>
      <c r="E80" t="s">
        <v>30</v>
      </c>
      <c r="F80" t="s">
        <v>77</v>
      </c>
      <c r="G80">
        <v>100</v>
      </c>
      <c r="H80">
        <v>100</v>
      </c>
      <c r="I80" t="s">
        <v>32</v>
      </c>
    </row>
    <row r="81" spans="1:9" x14ac:dyDescent="0.25">
      <c r="A81" t="s">
        <v>2341</v>
      </c>
      <c r="B81" t="s">
        <v>2332</v>
      </c>
      <c r="C81" t="s">
        <v>2333</v>
      </c>
      <c r="D81" s="2" t="b">
        <v>1</v>
      </c>
      <c r="E81" t="s">
        <v>88</v>
      </c>
      <c r="F81" t="s">
        <v>77</v>
      </c>
      <c r="G81" t="s">
        <v>31</v>
      </c>
      <c r="H81" t="s">
        <v>31</v>
      </c>
      <c r="I81" t="s">
        <v>32</v>
      </c>
    </row>
    <row r="82" spans="1:9" x14ac:dyDescent="0.25">
      <c r="A82" t="s">
        <v>2342</v>
      </c>
      <c r="B82" t="s">
        <v>2343</v>
      </c>
      <c r="C82" t="s">
        <v>2344</v>
      </c>
      <c r="D82" s="3">
        <v>2</v>
      </c>
      <c r="E82" t="s">
        <v>30</v>
      </c>
      <c r="F82" t="s">
        <v>77</v>
      </c>
      <c r="G82">
        <v>2</v>
      </c>
      <c r="H82">
        <v>2</v>
      </c>
      <c r="I82" t="s">
        <v>2345</v>
      </c>
    </row>
    <row r="83" spans="1:9" x14ac:dyDescent="0.25">
      <c r="A83" t="s">
        <v>2346</v>
      </c>
      <c r="B83" t="s">
        <v>2343</v>
      </c>
      <c r="C83" t="s">
        <v>2344</v>
      </c>
      <c r="D83" s="2" t="s">
        <v>2236</v>
      </c>
      <c r="E83" t="s">
        <v>81</v>
      </c>
      <c r="F83" t="s">
        <v>77</v>
      </c>
      <c r="G83" t="s">
        <v>31</v>
      </c>
      <c r="H83" t="s">
        <v>31</v>
      </c>
      <c r="I83" t="s">
        <v>32</v>
      </c>
    </row>
    <row r="84" spans="1:9" x14ac:dyDescent="0.25">
      <c r="A84" t="s">
        <v>2347</v>
      </c>
      <c r="B84" t="s">
        <v>2343</v>
      </c>
      <c r="C84" t="s">
        <v>2344</v>
      </c>
      <c r="D84" s="2" t="s">
        <v>2344</v>
      </c>
      <c r="E84" t="s">
        <v>81</v>
      </c>
      <c r="F84" t="s">
        <v>77</v>
      </c>
      <c r="G84" t="s">
        <v>31</v>
      </c>
      <c r="H84" t="s">
        <v>31</v>
      </c>
      <c r="I84" t="s">
        <v>32</v>
      </c>
    </row>
    <row r="85" spans="1:9" x14ac:dyDescent="0.25">
      <c r="A85" t="s">
        <v>2348</v>
      </c>
      <c r="B85" t="s">
        <v>2343</v>
      </c>
      <c r="C85" t="s">
        <v>2344</v>
      </c>
      <c r="D85" s="2" t="s">
        <v>2345</v>
      </c>
      <c r="E85" t="s">
        <v>81</v>
      </c>
      <c r="F85" t="s">
        <v>77</v>
      </c>
      <c r="G85" t="s">
        <v>31</v>
      </c>
      <c r="H85" t="s">
        <v>31</v>
      </c>
      <c r="I85" t="s">
        <v>32</v>
      </c>
    </row>
    <row r="86" spans="1:9" x14ac:dyDescent="0.25">
      <c r="A86" t="s">
        <v>2349</v>
      </c>
      <c r="B86" t="s">
        <v>2343</v>
      </c>
      <c r="C86" t="s">
        <v>2344</v>
      </c>
      <c r="D86" s="2" t="s">
        <v>77</v>
      </c>
      <c r="E86" t="s">
        <v>81</v>
      </c>
      <c r="F86" t="s">
        <v>77</v>
      </c>
      <c r="G86" t="s">
        <v>31</v>
      </c>
      <c r="H86" t="s">
        <v>31</v>
      </c>
      <c r="I86" t="s">
        <v>32</v>
      </c>
    </row>
    <row r="87" spans="1:9" x14ac:dyDescent="0.25">
      <c r="A87" t="s">
        <v>2350</v>
      </c>
      <c r="B87" t="s">
        <v>2343</v>
      </c>
      <c r="C87" t="s">
        <v>2344</v>
      </c>
      <c r="D87" s="2">
        <v>0</v>
      </c>
      <c r="E87" t="s">
        <v>30</v>
      </c>
      <c r="F87" t="s">
        <v>77</v>
      </c>
      <c r="G87">
        <v>0</v>
      </c>
      <c r="H87">
        <v>0</v>
      </c>
      <c r="I87" t="s">
        <v>32</v>
      </c>
    </row>
    <row r="88" spans="1:9" x14ac:dyDescent="0.25">
      <c r="A88" t="s">
        <v>2351</v>
      </c>
      <c r="B88" t="s">
        <v>2343</v>
      </c>
      <c r="C88" t="s">
        <v>2344</v>
      </c>
      <c r="D88" s="2">
        <v>100</v>
      </c>
      <c r="E88" t="s">
        <v>30</v>
      </c>
      <c r="F88" t="s">
        <v>77</v>
      </c>
      <c r="G88">
        <v>100</v>
      </c>
      <c r="H88">
        <v>100</v>
      </c>
      <c r="I88" t="s">
        <v>32</v>
      </c>
    </row>
    <row r="89" spans="1:9" x14ac:dyDescent="0.25">
      <c r="A89" t="s">
        <v>2352</v>
      </c>
      <c r="B89" t="s">
        <v>2343</v>
      </c>
      <c r="C89" t="s">
        <v>2344</v>
      </c>
      <c r="D89" s="2" t="b">
        <v>1</v>
      </c>
      <c r="E89" t="s">
        <v>88</v>
      </c>
      <c r="F89" t="s">
        <v>77</v>
      </c>
      <c r="G89" t="s">
        <v>31</v>
      </c>
      <c r="H89" t="s">
        <v>31</v>
      </c>
      <c r="I89" t="s">
        <v>32</v>
      </c>
    </row>
    <row r="90" spans="1:9" x14ac:dyDescent="0.25">
      <c r="A90" t="s">
        <v>2353</v>
      </c>
      <c r="B90" t="s">
        <v>2354</v>
      </c>
      <c r="C90" t="s">
        <v>2355</v>
      </c>
      <c r="D90" s="3">
        <v>5</v>
      </c>
      <c r="E90" t="s">
        <v>30</v>
      </c>
      <c r="F90" t="s">
        <v>77</v>
      </c>
      <c r="G90">
        <v>5</v>
      </c>
      <c r="H90">
        <v>5</v>
      </c>
      <c r="I90" t="s">
        <v>2356</v>
      </c>
    </row>
    <row r="91" spans="1:9" x14ac:dyDescent="0.25">
      <c r="A91" t="s">
        <v>2357</v>
      </c>
      <c r="B91" t="s">
        <v>2354</v>
      </c>
      <c r="C91" t="s">
        <v>2355</v>
      </c>
      <c r="D91" s="2" t="s">
        <v>2236</v>
      </c>
      <c r="E91" t="s">
        <v>81</v>
      </c>
      <c r="F91" t="s">
        <v>77</v>
      </c>
      <c r="G91" t="s">
        <v>31</v>
      </c>
      <c r="H91" t="s">
        <v>31</v>
      </c>
      <c r="I91" t="s">
        <v>32</v>
      </c>
    </row>
    <row r="92" spans="1:9" x14ac:dyDescent="0.25">
      <c r="A92" t="s">
        <v>2358</v>
      </c>
      <c r="B92" t="s">
        <v>2354</v>
      </c>
      <c r="C92" t="s">
        <v>2355</v>
      </c>
      <c r="D92" s="2" t="s">
        <v>2355</v>
      </c>
      <c r="E92" t="s">
        <v>81</v>
      </c>
      <c r="F92" t="s">
        <v>77</v>
      </c>
      <c r="G92" t="s">
        <v>31</v>
      </c>
      <c r="H92" t="s">
        <v>31</v>
      </c>
      <c r="I92" t="s">
        <v>32</v>
      </c>
    </row>
    <row r="93" spans="1:9" x14ac:dyDescent="0.25">
      <c r="A93" t="s">
        <v>2359</v>
      </c>
      <c r="B93" t="s">
        <v>2354</v>
      </c>
      <c r="C93" t="s">
        <v>2355</v>
      </c>
      <c r="D93" s="2" t="s">
        <v>2356</v>
      </c>
      <c r="E93" t="s">
        <v>81</v>
      </c>
      <c r="F93" t="s">
        <v>77</v>
      </c>
      <c r="G93" t="s">
        <v>31</v>
      </c>
      <c r="H93" t="s">
        <v>31</v>
      </c>
      <c r="I93" t="s">
        <v>32</v>
      </c>
    </row>
    <row r="94" spans="1:9" x14ac:dyDescent="0.25">
      <c r="A94" t="s">
        <v>2360</v>
      </c>
      <c r="B94" t="s">
        <v>2354</v>
      </c>
      <c r="C94" t="s">
        <v>2355</v>
      </c>
      <c r="D94" s="2" t="s">
        <v>77</v>
      </c>
      <c r="E94" t="s">
        <v>81</v>
      </c>
      <c r="F94" t="s">
        <v>77</v>
      </c>
      <c r="G94" t="s">
        <v>31</v>
      </c>
      <c r="H94" t="s">
        <v>31</v>
      </c>
      <c r="I94" t="s">
        <v>32</v>
      </c>
    </row>
    <row r="95" spans="1:9" x14ac:dyDescent="0.25">
      <c r="A95" t="s">
        <v>2361</v>
      </c>
      <c r="B95" t="s">
        <v>2354</v>
      </c>
      <c r="C95" t="s">
        <v>2355</v>
      </c>
      <c r="D95" s="2">
        <v>0</v>
      </c>
      <c r="E95" t="s">
        <v>30</v>
      </c>
      <c r="F95" t="s">
        <v>77</v>
      </c>
      <c r="G95">
        <v>0</v>
      </c>
      <c r="H95">
        <v>0</v>
      </c>
      <c r="I95" t="s">
        <v>32</v>
      </c>
    </row>
    <row r="96" spans="1:9" x14ac:dyDescent="0.25">
      <c r="A96" t="s">
        <v>2362</v>
      </c>
      <c r="B96" t="s">
        <v>2354</v>
      </c>
      <c r="C96" t="s">
        <v>2355</v>
      </c>
      <c r="D96" s="2">
        <v>100</v>
      </c>
      <c r="E96" t="s">
        <v>30</v>
      </c>
      <c r="F96" t="s">
        <v>77</v>
      </c>
      <c r="G96">
        <v>100</v>
      </c>
      <c r="H96">
        <v>100</v>
      </c>
      <c r="I96" t="s">
        <v>32</v>
      </c>
    </row>
    <row r="97" spans="1:9" x14ac:dyDescent="0.25">
      <c r="A97" t="s">
        <v>2363</v>
      </c>
      <c r="B97" t="s">
        <v>2354</v>
      </c>
      <c r="C97" t="s">
        <v>2355</v>
      </c>
      <c r="D97" s="2" t="b">
        <v>1</v>
      </c>
      <c r="E97" t="s">
        <v>88</v>
      </c>
      <c r="F97" t="s">
        <v>77</v>
      </c>
      <c r="G97" t="s">
        <v>31</v>
      </c>
      <c r="H97" t="s">
        <v>31</v>
      </c>
      <c r="I97" t="s">
        <v>32</v>
      </c>
    </row>
    <row r="98" spans="1:9" x14ac:dyDescent="0.25">
      <c r="A98" t="s">
        <v>2364</v>
      </c>
      <c r="B98" t="s">
        <v>2365</v>
      </c>
      <c r="C98" t="s">
        <v>2366</v>
      </c>
      <c r="D98" s="3">
        <v>8</v>
      </c>
      <c r="E98" t="s">
        <v>30</v>
      </c>
      <c r="F98" t="s">
        <v>77</v>
      </c>
      <c r="G98">
        <v>8</v>
      </c>
      <c r="H98">
        <v>8</v>
      </c>
      <c r="I98" t="s">
        <v>2367</v>
      </c>
    </row>
    <row r="99" spans="1:9" x14ac:dyDescent="0.25">
      <c r="A99" t="s">
        <v>2368</v>
      </c>
      <c r="B99" t="s">
        <v>2365</v>
      </c>
      <c r="C99" t="s">
        <v>2366</v>
      </c>
      <c r="D99" s="2" t="s">
        <v>2236</v>
      </c>
      <c r="E99" t="s">
        <v>81</v>
      </c>
      <c r="F99" t="s">
        <v>77</v>
      </c>
      <c r="G99" t="s">
        <v>31</v>
      </c>
      <c r="H99" t="s">
        <v>31</v>
      </c>
      <c r="I99" t="s">
        <v>32</v>
      </c>
    </row>
    <row r="100" spans="1:9" x14ac:dyDescent="0.25">
      <c r="A100" t="s">
        <v>2369</v>
      </c>
      <c r="B100" t="s">
        <v>2365</v>
      </c>
      <c r="C100" t="s">
        <v>2366</v>
      </c>
      <c r="D100" s="2" t="s">
        <v>2366</v>
      </c>
      <c r="E100" t="s">
        <v>81</v>
      </c>
      <c r="F100" t="s">
        <v>77</v>
      </c>
      <c r="G100" t="s">
        <v>31</v>
      </c>
      <c r="H100" t="s">
        <v>31</v>
      </c>
      <c r="I100" t="s">
        <v>32</v>
      </c>
    </row>
    <row r="101" spans="1:9" x14ac:dyDescent="0.25">
      <c r="A101" t="s">
        <v>2370</v>
      </c>
      <c r="B101" t="s">
        <v>2365</v>
      </c>
      <c r="C101" t="s">
        <v>2366</v>
      </c>
      <c r="D101" s="2" t="s">
        <v>2367</v>
      </c>
      <c r="E101" t="s">
        <v>81</v>
      </c>
      <c r="F101" t="s">
        <v>77</v>
      </c>
      <c r="G101" t="s">
        <v>31</v>
      </c>
      <c r="H101" t="s">
        <v>31</v>
      </c>
      <c r="I101" t="s">
        <v>32</v>
      </c>
    </row>
    <row r="102" spans="1:9" x14ac:dyDescent="0.25">
      <c r="A102" t="s">
        <v>2371</v>
      </c>
      <c r="B102" t="s">
        <v>2365</v>
      </c>
      <c r="C102" t="s">
        <v>2366</v>
      </c>
      <c r="D102" s="2" t="s">
        <v>77</v>
      </c>
      <c r="E102" t="s">
        <v>81</v>
      </c>
      <c r="F102" t="s">
        <v>77</v>
      </c>
      <c r="G102" t="s">
        <v>31</v>
      </c>
      <c r="H102" t="s">
        <v>31</v>
      </c>
      <c r="I102" t="s">
        <v>32</v>
      </c>
    </row>
    <row r="103" spans="1:9" x14ac:dyDescent="0.25">
      <c r="A103" t="s">
        <v>2372</v>
      </c>
      <c r="B103" t="s">
        <v>2365</v>
      </c>
      <c r="C103" t="s">
        <v>2366</v>
      </c>
      <c r="D103" s="2">
        <v>0</v>
      </c>
      <c r="E103" t="s">
        <v>30</v>
      </c>
      <c r="F103" t="s">
        <v>77</v>
      </c>
      <c r="G103">
        <v>0</v>
      </c>
      <c r="H103">
        <v>0</v>
      </c>
      <c r="I103" t="s">
        <v>32</v>
      </c>
    </row>
    <row r="104" spans="1:9" x14ac:dyDescent="0.25">
      <c r="A104" t="s">
        <v>2373</v>
      </c>
      <c r="B104" t="s">
        <v>2365</v>
      </c>
      <c r="C104" t="s">
        <v>2366</v>
      </c>
      <c r="D104" s="2">
        <v>100</v>
      </c>
      <c r="E104" t="s">
        <v>30</v>
      </c>
      <c r="F104" t="s">
        <v>77</v>
      </c>
      <c r="G104">
        <v>100</v>
      </c>
      <c r="H104">
        <v>100</v>
      </c>
      <c r="I104" t="s">
        <v>32</v>
      </c>
    </row>
    <row r="105" spans="1:9" x14ac:dyDescent="0.25">
      <c r="A105" t="s">
        <v>2374</v>
      </c>
      <c r="B105" t="s">
        <v>2365</v>
      </c>
      <c r="C105" t="s">
        <v>2366</v>
      </c>
      <c r="D105" s="2" t="b">
        <v>1</v>
      </c>
      <c r="E105" t="s">
        <v>88</v>
      </c>
      <c r="F105" t="s">
        <v>77</v>
      </c>
      <c r="G105" t="s">
        <v>31</v>
      </c>
      <c r="H105" t="s">
        <v>31</v>
      </c>
      <c r="I105" t="s">
        <v>32</v>
      </c>
    </row>
    <row r="106" spans="1:9" x14ac:dyDescent="0.25">
      <c r="A106" t="s">
        <v>2375</v>
      </c>
      <c r="B106" t="s">
        <v>2376</v>
      </c>
      <c r="C106" t="s">
        <v>2377</v>
      </c>
      <c r="D106" s="3">
        <v>2</v>
      </c>
      <c r="E106" t="s">
        <v>30</v>
      </c>
      <c r="F106" t="s">
        <v>77</v>
      </c>
      <c r="G106">
        <v>2</v>
      </c>
      <c r="H106">
        <v>2</v>
      </c>
      <c r="I106" t="s">
        <v>2378</v>
      </c>
    </row>
    <row r="107" spans="1:9" x14ac:dyDescent="0.25">
      <c r="A107" t="s">
        <v>2379</v>
      </c>
      <c r="B107" t="s">
        <v>2376</v>
      </c>
      <c r="C107" t="s">
        <v>2377</v>
      </c>
      <c r="D107" s="2" t="s">
        <v>2236</v>
      </c>
      <c r="E107" t="s">
        <v>81</v>
      </c>
      <c r="F107" t="s">
        <v>77</v>
      </c>
      <c r="G107" t="s">
        <v>31</v>
      </c>
      <c r="H107" t="s">
        <v>31</v>
      </c>
      <c r="I107" t="s">
        <v>32</v>
      </c>
    </row>
    <row r="108" spans="1:9" x14ac:dyDescent="0.25">
      <c r="A108" t="s">
        <v>2380</v>
      </c>
      <c r="B108" t="s">
        <v>2376</v>
      </c>
      <c r="C108" t="s">
        <v>2377</v>
      </c>
      <c r="D108" s="2" t="s">
        <v>2377</v>
      </c>
      <c r="E108" t="s">
        <v>81</v>
      </c>
      <c r="F108" t="s">
        <v>77</v>
      </c>
      <c r="G108" t="s">
        <v>31</v>
      </c>
      <c r="H108" t="s">
        <v>31</v>
      </c>
      <c r="I108" t="s">
        <v>32</v>
      </c>
    </row>
    <row r="109" spans="1:9" x14ac:dyDescent="0.25">
      <c r="A109" t="s">
        <v>2381</v>
      </c>
      <c r="B109" t="s">
        <v>2376</v>
      </c>
      <c r="C109" t="s">
        <v>2377</v>
      </c>
      <c r="D109" s="2" t="s">
        <v>2378</v>
      </c>
      <c r="E109" t="s">
        <v>81</v>
      </c>
      <c r="F109" t="s">
        <v>77</v>
      </c>
      <c r="G109" t="s">
        <v>31</v>
      </c>
      <c r="H109" t="s">
        <v>31</v>
      </c>
      <c r="I109" t="s">
        <v>32</v>
      </c>
    </row>
    <row r="110" spans="1:9" x14ac:dyDescent="0.25">
      <c r="A110" t="s">
        <v>2382</v>
      </c>
      <c r="B110" t="s">
        <v>2376</v>
      </c>
      <c r="C110" t="s">
        <v>2377</v>
      </c>
      <c r="D110" s="2" t="s">
        <v>77</v>
      </c>
      <c r="E110" t="s">
        <v>81</v>
      </c>
      <c r="F110" t="s">
        <v>77</v>
      </c>
      <c r="G110" t="s">
        <v>31</v>
      </c>
      <c r="H110" t="s">
        <v>31</v>
      </c>
      <c r="I110" t="s">
        <v>32</v>
      </c>
    </row>
    <row r="111" spans="1:9" x14ac:dyDescent="0.25">
      <c r="A111" t="s">
        <v>2383</v>
      </c>
      <c r="B111" t="s">
        <v>2376</v>
      </c>
      <c r="C111" t="s">
        <v>2377</v>
      </c>
      <c r="D111" s="2">
        <v>0</v>
      </c>
      <c r="E111" t="s">
        <v>30</v>
      </c>
      <c r="F111" t="s">
        <v>77</v>
      </c>
      <c r="G111">
        <v>0</v>
      </c>
      <c r="H111">
        <v>0</v>
      </c>
      <c r="I111" t="s">
        <v>32</v>
      </c>
    </row>
    <row r="112" spans="1:9" x14ac:dyDescent="0.25">
      <c r="A112" t="s">
        <v>2384</v>
      </c>
      <c r="B112" t="s">
        <v>2376</v>
      </c>
      <c r="C112" t="s">
        <v>2377</v>
      </c>
      <c r="D112" s="2">
        <v>100</v>
      </c>
      <c r="E112" t="s">
        <v>30</v>
      </c>
      <c r="F112" t="s">
        <v>77</v>
      </c>
      <c r="G112">
        <v>100</v>
      </c>
      <c r="H112">
        <v>100</v>
      </c>
      <c r="I112" t="s">
        <v>32</v>
      </c>
    </row>
    <row r="113" spans="1:9" x14ac:dyDescent="0.25">
      <c r="A113" t="s">
        <v>2385</v>
      </c>
      <c r="B113" t="s">
        <v>2376</v>
      </c>
      <c r="C113" t="s">
        <v>2377</v>
      </c>
      <c r="D113" s="2" t="b">
        <v>1</v>
      </c>
      <c r="E113" t="s">
        <v>88</v>
      </c>
      <c r="F113" t="s">
        <v>77</v>
      </c>
      <c r="G113" t="s">
        <v>31</v>
      </c>
      <c r="H113" t="s">
        <v>31</v>
      </c>
      <c r="I113" t="s">
        <v>32</v>
      </c>
    </row>
    <row r="114" spans="1:9" x14ac:dyDescent="0.25">
      <c r="A114" t="s">
        <v>2386</v>
      </c>
      <c r="B114" t="s">
        <v>2387</v>
      </c>
      <c r="C114" t="s">
        <v>2388</v>
      </c>
      <c r="D114" s="3">
        <v>2</v>
      </c>
      <c r="E114" t="s">
        <v>30</v>
      </c>
      <c r="F114" t="s">
        <v>77</v>
      </c>
      <c r="G114">
        <v>2</v>
      </c>
      <c r="H114">
        <v>2</v>
      </c>
      <c r="I114" t="s">
        <v>2389</v>
      </c>
    </row>
    <row r="115" spans="1:9" x14ac:dyDescent="0.25">
      <c r="A115" t="s">
        <v>2390</v>
      </c>
      <c r="B115" t="s">
        <v>2387</v>
      </c>
      <c r="C115" t="s">
        <v>2388</v>
      </c>
      <c r="D115" s="2" t="s">
        <v>2236</v>
      </c>
      <c r="E115" t="s">
        <v>81</v>
      </c>
      <c r="F115" t="s">
        <v>77</v>
      </c>
      <c r="G115" t="s">
        <v>31</v>
      </c>
      <c r="H115" t="s">
        <v>31</v>
      </c>
      <c r="I115" t="s">
        <v>32</v>
      </c>
    </row>
    <row r="116" spans="1:9" x14ac:dyDescent="0.25">
      <c r="A116" t="s">
        <v>2391</v>
      </c>
      <c r="B116" t="s">
        <v>2387</v>
      </c>
      <c r="C116" t="s">
        <v>2388</v>
      </c>
      <c r="D116" s="2" t="s">
        <v>2388</v>
      </c>
      <c r="E116" t="s">
        <v>81</v>
      </c>
      <c r="F116" t="s">
        <v>77</v>
      </c>
      <c r="G116" t="s">
        <v>31</v>
      </c>
      <c r="H116" t="s">
        <v>31</v>
      </c>
      <c r="I116" t="s">
        <v>32</v>
      </c>
    </row>
    <row r="117" spans="1:9" x14ac:dyDescent="0.25">
      <c r="A117" t="s">
        <v>2392</v>
      </c>
      <c r="B117" t="s">
        <v>2387</v>
      </c>
      <c r="C117" t="s">
        <v>2388</v>
      </c>
      <c r="D117" s="2" t="s">
        <v>2389</v>
      </c>
      <c r="E117" t="s">
        <v>81</v>
      </c>
      <c r="F117" t="s">
        <v>77</v>
      </c>
      <c r="G117" t="s">
        <v>31</v>
      </c>
      <c r="H117" t="s">
        <v>31</v>
      </c>
      <c r="I117" t="s">
        <v>32</v>
      </c>
    </row>
    <row r="118" spans="1:9" x14ac:dyDescent="0.25">
      <c r="A118" t="s">
        <v>2393</v>
      </c>
      <c r="B118" t="s">
        <v>2387</v>
      </c>
      <c r="C118" t="s">
        <v>2388</v>
      </c>
      <c r="D118" s="2" t="s">
        <v>77</v>
      </c>
      <c r="E118" t="s">
        <v>81</v>
      </c>
      <c r="F118" t="s">
        <v>77</v>
      </c>
      <c r="G118" t="s">
        <v>31</v>
      </c>
      <c r="H118" t="s">
        <v>31</v>
      </c>
      <c r="I118" t="s">
        <v>32</v>
      </c>
    </row>
    <row r="119" spans="1:9" x14ac:dyDescent="0.25">
      <c r="A119" t="s">
        <v>2394</v>
      </c>
      <c r="B119" t="s">
        <v>2387</v>
      </c>
      <c r="C119" t="s">
        <v>2388</v>
      </c>
      <c r="D119" s="2">
        <v>0</v>
      </c>
      <c r="E119" t="s">
        <v>30</v>
      </c>
      <c r="F119" t="s">
        <v>77</v>
      </c>
      <c r="G119">
        <v>0</v>
      </c>
      <c r="H119">
        <v>0</v>
      </c>
      <c r="I119" t="s">
        <v>32</v>
      </c>
    </row>
    <row r="120" spans="1:9" x14ac:dyDescent="0.25">
      <c r="A120" t="s">
        <v>2395</v>
      </c>
      <c r="B120" t="s">
        <v>2387</v>
      </c>
      <c r="C120" t="s">
        <v>2388</v>
      </c>
      <c r="D120" s="2">
        <v>100</v>
      </c>
      <c r="E120" t="s">
        <v>30</v>
      </c>
      <c r="F120" t="s">
        <v>77</v>
      </c>
      <c r="G120">
        <v>100</v>
      </c>
      <c r="H120">
        <v>100</v>
      </c>
      <c r="I120" t="s">
        <v>32</v>
      </c>
    </row>
    <row r="121" spans="1:9" x14ac:dyDescent="0.25">
      <c r="A121" t="s">
        <v>2396</v>
      </c>
      <c r="B121" t="s">
        <v>2387</v>
      </c>
      <c r="C121" t="s">
        <v>2388</v>
      </c>
      <c r="D121" s="2" t="b">
        <v>1</v>
      </c>
      <c r="E121" t="s">
        <v>88</v>
      </c>
      <c r="F121" t="s">
        <v>77</v>
      </c>
      <c r="G121" t="s">
        <v>31</v>
      </c>
      <c r="H121" t="s">
        <v>31</v>
      </c>
      <c r="I121" t="s">
        <v>32</v>
      </c>
    </row>
    <row r="122" spans="1:9" x14ac:dyDescent="0.25">
      <c r="A122" t="s">
        <v>2397</v>
      </c>
      <c r="B122" t="s">
        <v>2398</v>
      </c>
      <c r="C122" t="s">
        <v>2399</v>
      </c>
      <c r="D122" s="3">
        <v>0.45</v>
      </c>
      <c r="E122" t="s">
        <v>30</v>
      </c>
      <c r="F122" t="s">
        <v>103</v>
      </c>
      <c r="G122">
        <v>0</v>
      </c>
      <c r="H122">
        <v>1</v>
      </c>
      <c r="I122" t="s">
        <v>2400</v>
      </c>
    </row>
    <row r="123" spans="1:9" x14ac:dyDescent="0.25">
      <c r="A123" t="s">
        <v>2401</v>
      </c>
      <c r="B123" t="s">
        <v>2398</v>
      </c>
      <c r="C123" t="s">
        <v>2399</v>
      </c>
      <c r="D123" s="2" t="s">
        <v>2236</v>
      </c>
      <c r="E123" t="s">
        <v>81</v>
      </c>
      <c r="F123" t="s">
        <v>103</v>
      </c>
      <c r="G123" t="s">
        <v>31</v>
      </c>
      <c r="H123" t="s">
        <v>31</v>
      </c>
      <c r="I123" t="s">
        <v>32</v>
      </c>
    </row>
    <row r="124" spans="1:9" x14ac:dyDescent="0.25">
      <c r="A124" t="s">
        <v>2402</v>
      </c>
      <c r="B124" t="s">
        <v>2398</v>
      </c>
      <c r="C124" t="s">
        <v>2399</v>
      </c>
      <c r="D124" s="2" t="s">
        <v>2399</v>
      </c>
      <c r="E124" t="s">
        <v>81</v>
      </c>
      <c r="F124" t="s">
        <v>103</v>
      </c>
      <c r="G124" t="s">
        <v>31</v>
      </c>
      <c r="H124" t="s">
        <v>31</v>
      </c>
      <c r="I124" t="s">
        <v>32</v>
      </c>
    </row>
    <row r="125" spans="1:9" x14ac:dyDescent="0.25">
      <c r="A125" t="s">
        <v>2403</v>
      </c>
      <c r="B125" t="s">
        <v>2398</v>
      </c>
      <c r="C125" t="s">
        <v>2399</v>
      </c>
      <c r="D125" s="2" t="s">
        <v>2400</v>
      </c>
      <c r="E125" t="s">
        <v>81</v>
      </c>
      <c r="F125" t="s">
        <v>103</v>
      </c>
      <c r="G125" t="s">
        <v>31</v>
      </c>
      <c r="H125" t="s">
        <v>31</v>
      </c>
      <c r="I125" t="s">
        <v>32</v>
      </c>
    </row>
    <row r="126" spans="1:9" x14ac:dyDescent="0.25">
      <c r="A126" t="s">
        <v>2404</v>
      </c>
      <c r="B126" t="s">
        <v>2398</v>
      </c>
      <c r="C126" t="s">
        <v>2399</v>
      </c>
      <c r="D126" s="2" t="s">
        <v>103</v>
      </c>
      <c r="E126" t="s">
        <v>81</v>
      </c>
      <c r="F126" t="s">
        <v>103</v>
      </c>
      <c r="G126" t="s">
        <v>31</v>
      </c>
      <c r="H126" t="s">
        <v>31</v>
      </c>
      <c r="I126" t="s">
        <v>32</v>
      </c>
    </row>
    <row r="127" spans="1:9" x14ac:dyDescent="0.25">
      <c r="A127" t="s">
        <v>2405</v>
      </c>
      <c r="B127" t="s">
        <v>2398</v>
      </c>
      <c r="C127" t="s">
        <v>2399</v>
      </c>
      <c r="D127" s="2">
        <v>0</v>
      </c>
      <c r="E127" t="s">
        <v>30</v>
      </c>
      <c r="F127" t="s">
        <v>103</v>
      </c>
      <c r="G127">
        <v>0</v>
      </c>
      <c r="H127">
        <v>1</v>
      </c>
      <c r="I127" t="s">
        <v>32</v>
      </c>
    </row>
    <row r="128" spans="1:9" x14ac:dyDescent="0.25">
      <c r="A128" t="s">
        <v>2406</v>
      </c>
      <c r="B128" t="s">
        <v>2398</v>
      </c>
      <c r="C128" t="s">
        <v>2399</v>
      </c>
      <c r="D128" s="2">
        <v>1</v>
      </c>
      <c r="E128" t="s">
        <v>30</v>
      </c>
      <c r="F128" t="s">
        <v>103</v>
      </c>
      <c r="G128">
        <v>0</v>
      </c>
      <c r="H128">
        <v>1</v>
      </c>
      <c r="I128" t="s">
        <v>32</v>
      </c>
    </row>
    <row r="129" spans="1:9" x14ac:dyDescent="0.25">
      <c r="A129" t="s">
        <v>2407</v>
      </c>
      <c r="B129" t="s">
        <v>2398</v>
      </c>
      <c r="C129" t="s">
        <v>2399</v>
      </c>
      <c r="D129" s="2" t="b">
        <v>0</v>
      </c>
      <c r="E129" t="s">
        <v>88</v>
      </c>
      <c r="F129" t="s">
        <v>103</v>
      </c>
      <c r="G129" t="s">
        <v>31</v>
      </c>
      <c r="H129" t="s">
        <v>31</v>
      </c>
      <c r="I129" t="s">
        <v>32</v>
      </c>
    </row>
    <row r="130" spans="1:9" x14ac:dyDescent="0.25">
      <c r="A130" t="s">
        <v>2408</v>
      </c>
      <c r="B130" t="s">
        <v>2409</v>
      </c>
      <c r="C130" t="s">
        <v>2410</v>
      </c>
      <c r="D130" s="3">
        <v>0.5</v>
      </c>
      <c r="E130" t="s">
        <v>30</v>
      </c>
      <c r="F130" t="s">
        <v>103</v>
      </c>
      <c r="G130">
        <v>0</v>
      </c>
      <c r="H130">
        <v>1</v>
      </c>
      <c r="I130" t="s">
        <v>2411</v>
      </c>
    </row>
    <row r="131" spans="1:9" x14ac:dyDescent="0.25">
      <c r="A131" t="s">
        <v>2412</v>
      </c>
      <c r="B131" t="s">
        <v>2409</v>
      </c>
      <c r="C131" t="s">
        <v>2410</v>
      </c>
      <c r="D131" s="2" t="s">
        <v>2236</v>
      </c>
      <c r="E131" t="s">
        <v>81</v>
      </c>
      <c r="F131" t="s">
        <v>103</v>
      </c>
      <c r="G131" t="s">
        <v>31</v>
      </c>
      <c r="H131" t="s">
        <v>31</v>
      </c>
      <c r="I131" t="s">
        <v>32</v>
      </c>
    </row>
    <row r="132" spans="1:9" x14ac:dyDescent="0.25">
      <c r="A132" t="s">
        <v>2413</v>
      </c>
      <c r="B132" t="s">
        <v>2409</v>
      </c>
      <c r="C132" t="s">
        <v>2410</v>
      </c>
      <c r="D132" s="2" t="s">
        <v>2410</v>
      </c>
      <c r="E132" t="s">
        <v>81</v>
      </c>
      <c r="F132" t="s">
        <v>103</v>
      </c>
      <c r="G132" t="s">
        <v>31</v>
      </c>
      <c r="H132" t="s">
        <v>31</v>
      </c>
      <c r="I132" t="s">
        <v>32</v>
      </c>
    </row>
    <row r="133" spans="1:9" x14ac:dyDescent="0.25">
      <c r="A133" t="s">
        <v>2414</v>
      </c>
      <c r="B133" t="s">
        <v>2409</v>
      </c>
      <c r="C133" t="s">
        <v>2410</v>
      </c>
      <c r="D133" s="2" t="s">
        <v>2411</v>
      </c>
      <c r="E133" t="s">
        <v>81</v>
      </c>
      <c r="F133" t="s">
        <v>103</v>
      </c>
      <c r="G133" t="s">
        <v>31</v>
      </c>
      <c r="H133" t="s">
        <v>31</v>
      </c>
      <c r="I133" t="s">
        <v>32</v>
      </c>
    </row>
    <row r="134" spans="1:9" x14ac:dyDescent="0.25">
      <c r="A134" t="s">
        <v>2415</v>
      </c>
      <c r="B134" t="s">
        <v>2409</v>
      </c>
      <c r="C134" t="s">
        <v>2410</v>
      </c>
      <c r="D134" s="2" t="s">
        <v>103</v>
      </c>
      <c r="E134" t="s">
        <v>81</v>
      </c>
      <c r="F134" t="s">
        <v>103</v>
      </c>
      <c r="G134" t="s">
        <v>31</v>
      </c>
      <c r="H134" t="s">
        <v>31</v>
      </c>
      <c r="I134" t="s">
        <v>32</v>
      </c>
    </row>
    <row r="135" spans="1:9" x14ac:dyDescent="0.25">
      <c r="A135" t="s">
        <v>2416</v>
      </c>
      <c r="B135" t="s">
        <v>2409</v>
      </c>
      <c r="C135" t="s">
        <v>2410</v>
      </c>
      <c r="D135" s="2">
        <v>0</v>
      </c>
      <c r="E135" t="s">
        <v>30</v>
      </c>
      <c r="F135" t="s">
        <v>103</v>
      </c>
      <c r="G135">
        <v>0</v>
      </c>
      <c r="H135">
        <v>1</v>
      </c>
      <c r="I135" t="s">
        <v>32</v>
      </c>
    </row>
    <row r="136" spans="1:9" x14ac:dyDescent="0.25">
      <c r="A136" t="s">
        <v>2417</v>
      </c>
      <c r="B136" t="s">
        <v>2409</v>
      </c>
      <c r="C136" t="s">
        <v>2410</v>
      </c>
      <c r="D136" s="2">
        <v>1</v>
      </c>
      <c r="E136" t="s">
        <v>30</v>
      </c>
      <c r="F136" t="s">
        <v>103</v>
      </c>
      <c r="G136">
        <v>0</v>
      </c>
      <c r="H136">
        <v>1</v>
      </c>
      <c r="I136" t="s">
        <v>32</v>
      </c>
    </row>
    <row r="137" spans="1:9" x14ac:dyDescent="0.25">
      <c r="A137" t="s">
        <v>2418</v>
      </c>
      <c r="B137" t="s">
        <v>2409</v>
      </c>
      <c r="C137" t="s">
        <v>2410</v>
      </c>
      <c r="D137" s="2" t="b">
        <v>0</v>
      </c>
      <c r="E137" t="s">
        <v>88</v>
      </c>
      <c r="F137" t="s">
        <v>103</v>
      </c>
      <c r="G137" t="s">
        <v>31</v>
      </c>
      <c r="H137" t="s">
        <v>31</v>
      </c>
      <c r="I137" t="s">
        <v>32</v>
      </c>
    </row>
    <row r="138" spans="1:9" x14ac:dyDescent="0.25">
      <c r="A138" t="s">
        <v>2419</v>
      </c>
      <c r="B138" t="s">
        <v>2420</v>
      </c>
      <c r="C138" t="s">
        <v>2421</v>
      </c>
      <c r="D138" s="3">
        <v>7</v>
      </c>
      <c r="E138" t="s">
        <v>30</v>
      </c>
      <c r="F138" t="s">
        <v>77</v>
      </c>
      <c r="G138">
        <v>7</v>
      </c>
      <c r="H138">
        <v>7</v>
      </c>
      <c r="I138" t="s">
        <v>2422</v>
      </c>
    </row>
    <row r="139" spans="1:9" x14ac:dyDescent="0.25">
      <c r="A139" t="s">
        <v>2423</v>
      </c>
      <c r="B139" t="s">
        <v>2420</v>
      </c>
      <c r="C139" t="s">
        <v>2421</v>
      </c>
      <c r="D139" s="2" t="s">
        <v>2236</v>
      </c>
      <c r="E139" t="s">
        <v>81</v>
      </c>
      <c r="F139" t="s">
        <v>77</v>
      </c>
      <c r="G139" t="s">
        <v>31</v>
      </c>
      <c r="H139" t="s">
        <v>31</v>
      </c>
      <c r="I139" t="s">
        <v>32</v>
      </c>
    </row>
    <row r="140" spans="1:9" x14ac:dyDescent="0.25">
      <c r="A140" t="s">
        <v>2424</v>
      </c>
      <c r="B140" t="s">
        <v>2420</v>
      </c>
      <c r="C140" t="s">
        <v>2421</v>
      </c>
      <c r="D140" s="2" t="s">
        <v>2421</v>
      </c>
      <c r="E140" t="s">
        <v>81</v>
      </c>
      <c r="F140" t="s">
        <v>77</v>
      </c>
      <c r="G140" t="s">
        <v>31</v>
      </c>
      <c r="H140" t="s">
        <v>31</v>
      </c>
      <c r="I140" t="s">
        <v>32</v>
      </c>
    </row>
    <row r="141" spans="1:9" x14ac:dyDescent="0.25">
      <c r="A141" t="s">
        <v>2425</v>
      </c>
      <c r="B141" t="s">
        <v>2420</v>
      </c>
      <c r="C141" t="s">
        <v>2421</v>
      </c>
      <c r="D141" s="2" t="s">
        <v>2422</v>
      </c>
      <c r="E141" t="s">
        <v>81</v>
      </c>
      <c r="F141" t="s">
        <v>77</v>
      </c>
      <c r="G141" t="s">
        <v>31</v>
      </c>
      <c r="H141" t="s">
        <v>31</v>
      </c>
      <c r="I141" t="s">
        <v>32</v>
      </c>
    </row>
    <row r="142" spans="1:9" x14ac:dyDescent="0.25">
      <c r="A142" t="s">
        <v>2426</v>
      </c>
      <c r="B142" t="s">
        <v>2420</v>
      </c>
      <c r="C142" t="s">
        <v>2421</v>
      </c>
      <c r="D142" s="2" t="s">
        <v>77</v>
      </c>
      <c r="E142" t="s">
        <v>81</v>
      </c>
      <c r="F142" t="s">
        <v>77</v>
      </c>
      <c r="G142" t="s">
        <v>31</v>
      </c>
      <c r="H142" t="s">
        <v>31</v>
      </c>
      <c r="I142" t="s">
        <v>32</v>
      </c>
    </row>
    <row r="143" spans="1:9" x14ac:dyDescent="0.25">
      <c r="A143" t="s">
        <v>2427</v>
      </c>
      <c r="B143" t="s">
        <v>2420</v>
      </c>
      <c r="C143" t="s">
        <v>2421</v>
      </c>
      <c r="D143" s="2">
        <v>0</v>
      </c>
      <c r="E143" t="s">
        <v>30</v>
      </c>
      <c r="F143" t="s">
        <v>77</v>
      </c>
      <c r="G143">
        <v>0</v>
      </c>
      <c r="H143">
        <v>0</v>
      </c>
      <c r="I143" t="s">
        <v>32</v>
      </c>
    </row>
    <row r="144" spans="1:9" x14ac:dyDescent="0.25">
      <c r="A144" t="s">
        <v>2428</v>
      </c>
      <c r="B144" t="s">
        <v>2420</v>
      </c>
      <c r="C144" t="s">
        <v>2421</v>
      </c>
      <c r="D144" s="2">
        <v>100</v>
      </c>
      <c r="E144" t="s">
        <v>30</v>
      </c>
      <c r="F144" t="s">
        <v>77</v>
      </c>
      <c r="G144">
        <v>100</v>
      </c>
      <c r="H144">
        <v>100</v>
      </c>
      <c r="I144" t="s">
        <v>32</v>
      </c>
    </row>
    <row r="145" spans="1:9" x14ac:dyDescent="0.25">
      <c r="A145" t="s">
        <v>2429</v>
      </c>
      <c r="B145" t="s">
        <v>2420</v>
      </c>
      <c r="C145" t="s">
        <v>2421</v>
      </c>
      <c r="D145" s="2" t="b">
        <v>1</v>
      </c>
      <c r="E145" t="s">
        <v>88</v>
      </c>
      <c r="F145" t="s">
        <v>77</v>
      </c>
      <c r="G145" t="s">
        <v>31</v>
      </c>
      <c r="H145" t="s">
        <v>31</v>
      </c>
      <c r="I145" t="s">
        <v>32</v>
      </c>
    </row>
    <row r="146" spans="1:9" x14ac:dyDescent="0.25">
      <c r="A146" t="s">
        <v>2430</v>
      </c>
      <c r="B146" t="s">
        <v>2431</v>
      </c>
      <c r="C146" t="s">
        <v>2432</v>
      </c>
      <c r="D146" s="3">
        <v>8</v>
      </c>
      <c r="E146" t="s">
        <v>30</v>
      </c>
      <c r="F146" t="s">
        <v>77</v>
      </c>
      <c r="G146">
        <v>8</v>
      </c>
      <c r="H146">
        <v>8</v>
      </c>
      <c r="I146" t="s">
        <v>2433</v>
      </c>
    </row>
    <row r="147" spans="1:9" x14ac:dyDescent="0.25">
      <c r="A147" t="s">
        <v>2434</v>
      </c>
      <c r="B147" t="s">
        <v>2431</v>
      </c>
      <c r="C147" t="s">
        <v>2432</v>
      </c>
      <c r="D147" s="2" t="s">
        <v>2236</v>
      </c>
      <c r="E147" t="s">
        <v>81</v>
      </c>
      <c r="F147" t="s">
        <v>77</v>
      </c>
      <c r="G147" t="s">
        <v>31</v>
      </c>
      <c r="H147" t="s">
        <v>31</v>
      </c>
      <c r="I147" t="s">
        <v>32</v>
      </c>
    </row>
    <row r="148" spans="1:9" x14ac:dyDescent="0.25">
      <c r="A148" t="s">
        <v>2435</v>
      </c>
      <c r="B148" t="s">
        <v>2431</v>
      </c>
      <c r="C148" t="s">
        <v>2432</v>
      </c>
      <c r="D148" s="2" t="s">
        <v>2432</v>
      </c>
      <c r="E148" t="s">
        <v>81</v>
      </c>
      <c r="F148" t="s">
        <v>77</v>
      </c>
      <c r="G148" t="s">
        <v>31</v>
      </c>
      <c r="H148" t="s">
        <v>31</v>
      </c>
      <c r="I148" t="s">
        <v>32</v>
      </c>
    </row>
    <row r="149" spans="1:9" x14ac:dyDescent="0.25">
      <c r="A149" t="s">
        <v>2436</v>
      </c>
      <c r="B149" t="s">
        <v>2431</v>
      </c>
      <c r="C149" t="s">
        <v>2432</v>
      </c>
      <c r="D149" s="2" t="s">
        <v>2433</v>
      </c>
      <c r="E149" t="s">
        <v>81</v>
      </c>
      <c r="F149" t="s">
        <v>77</v>
      </c>
      <c r="G149" t="s">
        <v>31</v>
      </c>
      <c r="H149" t="s">
        <v>31</v>
      </c>
      <c r="I149" t="s">
        <v>32</v>
      </c>
    </row>
    <row r="150" spans="1:9" x14ac:dyDescent="0.25">
      <c r="A150" t="s">
        <v>2437</v>
      </c>
      <c r="B150" t="s">
        <v>2431</v>
      </c>
      <c r="C150" t="s">
        <v>2432</v>
      </c>
      <c r="D150" s="2" t="s">
        <v>77</v>
      </c>
      <c r="E150" t="s">
        <v>81</v>
      </c>
      <c r="F150" t="s">
        <v>77</v>
      </c>
      <c r="G150" t="s">
        <v>31</v>
      </c>
      <c r="H150" t="s">
        <v>31</v>
      </c>
      <c r="I150" t="s">
        <v>32</v>
      </c>
    </row>
    <row r="151" spans="1:9" x14ac:dyDescent="0.25">
      <c r="A151" t="s">
        <v>2438</v>
      </c>
      <c r="B151" t="s">
        <v>2431</v>
      </c>
      <c r="C151" t="s">
        <v>2432</v>
      </c>
      <c r="D151" s="2">
        <v>0</v>
      </c>
      <c r="E151" t="s">
        <v>30</v>
      </c>
      <c r="F151" t="s">
        <v>77</v>
      </c>
      <c r="G151">
        <v>0</v>
      </c>
      <c r="H151">
        <v>0</v>
      </c>
      <c r="I151" t="s">
        <v>32</v>
      </c>
    </row>
    <row r="152" spans="1:9" x14ac:dyDescent="0.25">
      <c r="A152" t="s">
        <v>2439</v>
      </c>
      <c r="B152" t="s">
        <v>2431</v>
      </c>
      <c r="C152" t="s">
        <v>2432</v>
      </c>
      <c r="D152" s="2">
        <v>100</v>
      </c>
      <c r="E152" t="s">
        <v>30</v>
      </c>
      <c r="F152" t="s">
        <v>77</v>
      </c>
      <c r="G152">
        <v>100</v>
      </c>
      <c r="H152">
        <v>100</v>
      </c>
      <c r="I152" t="s">
        <v>32</v>
      </c>
    </row>
    <row r="153" spans="1:9" x14ac:dyDescent="0.25">
      <c r="A153" t="s">
        <v>2440</v>
      </c>
      <c r="B153" t="s">
        <v>2431</v>
      </c>
      <c r="C153" t="s">
        <v>2432</v>
      </c>
      <c r="D153" s="2" t="b">
        <v>1</v>
      </c>
      <c r="E153" t="s">
        <v>88</v>
      </c>
      <c r="F153" t="s">
        <v>77</v>
      </c>
      <c r="G153" t="s">
        <v>31</v>
      </c>
      <c r="H153" t="s">
        <v>31</v>
      </c>
      <c r="I153" t="s">
        <v>32</v>
      </c>
    </row>
    <row r="154" spans="1:9" x14ac:dyDescent="0.25">
      <c r="A154" t="s">
        <v>2441</v>
      </c>
      <c r="B154" t="s">
        <v>2442</v>
      </c>
      <c r="C154" t="s">
        <v>2443</v>
      </c>
      <c r="D154" s="3">
        <v>9</v>
      </c>
      <c r="E154" t="s">
        <v>30</v>
      </c>
      <c r="F154" t="s">
        <v>77</v>
      </c>
      <c r="G154">
        <v>9</v>
      </c>
      <c r="H154">
        <v>9</v>
      </c>
      <c r="I154" t="s">
        <v>2444</v>
      </c>
    </row>
    <row r="155" spans="1:9" x14ac:dyDescent="0.25">
      <c r="A155" t="s">
        <v>2445</v>
      </c>
      <c r="B155" t="s">
        <v>2442</v>
      </c>
      <c r="C155" t="s">
        <v>2443</v>
      </c>
      <c r="D155" s="2" t="s">
        <v>2236</v>
      </c>
      <c r="E155" t="s">
        <v>81</v>
      </c>
      <c r="F155" t="s">
        <v>77</v>
      </c>
      <c r="G155" t="s">
        <v>31</v>
      </c>
      <c r="H155" t="s">
        <v>31</v>
      </c>
      <c r="I155" t="s">
        <v>32</v>
      </c>
    </row>
    <row r="156" spans="1:9" x14ac:dyDescent="0.25">
      <c r="A156" t="s">
        <v>2446</v>
      </c>
      <c r="B156" t="s">
        <v>2442</v>
      </c>
      <c r="C156" t="s">
        <v>2443</v>
      </c>
      <c r="D156" s="2" t="s">
        <v>2443</v>
      </c>
      <c r="E156" t="s">
        <v>81</v>
      </c>
      <c r="F156" t="s">
        <v>77</v>
      </c>
      <c r="G156" t="s">
        <v>31</v>
      </c>
      <c r="H156" t="s">
        <v>31</v>
      </c>
      <c r="I156" t="s">
        <v>32</v>
      </c>
    </row>
    <row r="157" spans="1:9" x14ac:dyDescent="0.25">
      <c r="A157" t="s">
        <v>2447</v>
      </c>
      <c r="B157" t="s">
        <v>2442</v>
      </c>
      <c r="C157" t="s">
        <v>2443</v>
      </c>
      <c r="D157" s="2" t="s">
        <v>2444</v>
      </c>
      <c r="E157" t="s">
        <v>81</v>
      </c>
      <c r="F157" t="s">
        <v>77</v>
      </c>
      <c r="G157" t="s">
        <v>31</v>
      </c>
      <c r="H157" t="s">
        <v>31</v>
      </c>
      <c r="I157" t="s">
        <v>32</v>
      </c>
    </row>
    <row r="158" spans="1:9" x14ac:dyDescent="0.25">
      <c r="A158" t="s">
        <v>2448</v>
      </c>
      <c r="B158" t="s">
        <v>2442</v>
      </c>
      <c r="C158" t="s">
        <v>2443</v>
      </c>
      <c r="D158" s="2" t="s">
        <v>77</v>
      </c>
      <c r="E158" t="s">
        <v>81</v>
      </c>
      <c r="F158" t="s">
        <v>77</v>
      </c>
      <c r="G158" t="s">
        <v>31</v>
      </c>
      <c r="H158" t="s">
        <v>31</v>
      </c>
      <c r="I158" t="s">
        <v>32</v>
      </c>
    </row>
    <row r="159" spans="1:9" x14ac:dyDescent="0.25">
      <c r="A159" t="s">
        <v>2449</v>
      </c>
      <c r="B159" t="s">
        <v>2442</v>
      </c>
      <c r="C159" t="s">
        <v>2443</v>
      </c>
      <c r="D159" s="2">
        <v>0</v>
      </c>
      <c r="E159" t="s">
        <v>30</v>
      </c>
      <c r="F159" t="s">
        <v>77</v>
      </c>
      <c r="G159">
        <v>0</v>
      </c>
      <c r="H159">
        <v>0</v>
      </c>
      <c r="I159" t="s">
        <v>32</v>
      </c>
    </row>
    <row r="160" spans="1:9" x14ac:dyDescent="0.25">
      <c r="A160" t="s">
        <v>2450</v>
      </c>
      <c r="B160" t="s">
        <v>2442</v>
      </c>
      <c r="C160" t="s">
        <v>2443</v>
      </c>
      <c r="D160" s="2">
        <v>100</v>
      </c>
      <c r="E160" t="s">
        <v>30</v>
      </c>
      <c r="F160" t="s">
        <v>77</v>
      </c>
      <c r="G160">
        <v>100</v>
      </c>
      <c r="H160">
        <v>100</v>
      </c>
      <c r="I160" t="s">
        <v>32</v>
      </c>
    </row>
    <row r="161" spans="1:9" x14ac:dyDescent="0.25">
      <c r="A161" t="s">
        <v>2451</v>
      </c>
      <c r="B161" t="s">
        <v>2442</v>
      </c>
      <c r="C161" t="s">
        <v>2443</v>
      </c>
      <c r="D161" s="2" t="b">
        <v>1</v>
      </c>
      <c r="E161" t="s">
        <v>88</v>
      </c>
      <c r="F161" t="s">
        <v>77</v>
      </c>
      <c r="G161" t="s">
        <v>31</v>
      </c>
      <c r="H161" t="s">
        <v>31</v>
      </c>
      <c r="I161" t="s">
        <v>32</v>
      </c>
    </row>
    <row r="162" spans="1:9" x14ac:dyDescent="0.25">
      <c r="A162" t="s">
        <v>2452</v>
      </c>
      <c r="B162" t="s">
        <v>2453</v>
      </c>
      <c r="C162" t="s">
        <v>2454</v>
      </c>
      <c r="D162" s="3">
        <v>9</v>
      </c>
      <c r="E162" t="s">
        <v>30</v>
      </c>
      <c r="F162" t="s">
        <v>77</v>
      </c>
      <c r="G162">
        <v>9</v>
      </c>
      <c r="H162">
        <v>9</v>
      </c>
      <c r="I162" t="s">
        <v>2455</v>
      </c>
    </row>
    <row r="163" spans="1:9" x14ac:dyDescent="0.25">
      <c r="A163" t="s">
        <v>2456</v>
      </c>
      <c r="B163" t="s">
        <v>2453</v>
      </c>
      <c r="C163" t="s">
        <v>2454</v>
      </c>
      <c r="D163" s="2" t="s">
        <v>2236</v>
      </c>
      <c r="E163" t="s">
        <v>81</v>
      </c>
      <c r="F163" t="s">
        <v>77</v>
      </c>
      <c r="G163" t="s">
        <v>31</v>
      </c>
      <c r="H163" t="s">
        <v>31</v>
      </c>
      <c r="I163" t="s">
        <v>32</v>
      </c>
    </row>
    <row r="164" spans="1:9" x14ac:dyDescent="0.25">
      <c r="A164" t="s">
        <v>2457</v>
      </c>
      <c r="B164" t="s">
        <v>2453</v>
      </c>
      <c r="C164" t="s">
        <v>2454</v>
      </c>
      <c r="D164" s="2" t="s">
        <v>2454</v>
      </c>
      <c r="E164" t="s">
        <v>81</v>
      </c>
      <c r="F164" t="s">
        <v>77</v>
      </c>
      <c r="G164" t="s">
        <v>31</v>
      </c>
      <c r="H164" t="s">
        <v>31</v>
      </c>
      <c r="I164" t="s">
        <v>32</v>
      </c>
    </row>
    <row r="165" spans="1:9" x14ac:dyDescent="0.25">
      <c r="A165" t="s">
        <v>2458</v>
      </c>
      <c r="B165" t="s">
        <v>2453</v>
      </c>
      <c r="C165" t="s">
        <v>2454</v>
      </c>
      <c r="D165" s="2" t="s">
        <v>2455</v>
      </c>
      <c r="E165" t="s">
        <v>81</v>
      </c>
      <c r="F165" t="s">
        <v>77</v>
      </c>
      <c r="G165" t="s">
        <v>31</v>
      </c>
      <c r="H165" t="s">
        <v>31</v>
      </c>
      <c r="I165" t="s">
        <v>32</v>
      </c>
    </row>
    <row r="166" spans="1:9" x14ac:dyDescent="0.25">
      <c r="A166" t="s">
        <v>2459</v>
      </c>
      <c r="B166" t="s">
        <v>2453</v>
      </c>
      <c r="C166" t="s">
        <v>2454</v>
      </c>
      <c r="D166" s="2" t="s">
        <v>77</v>
      </c>
      <c r="E166" t="s">
        <v>81</v>
      </c>
      <c r="F166" t="s">
        <v>77</v>
      </c>
      <c r="G166" t="s">
        <v>31</v>
      </c>
      <c r="H166" t="s">
        <v>31</v>
      </c>
      <c r="I166" t="s">
        <v>32</v>
      </c>
    </row>
    <row r="167" spans="1:9" x14ac:dyDescent="0.25">
      <c r="A167" t="s">
        <v>2460</v>
      </c>
      <c r="B167" t="s">
        <v>2453</v>
      </c>
      <c r="C167" t="s">
        <v>2454</v>
      </c>
      <c r="D167" s="2">
        <v>0</v>
      </c>
      <c r="E167" t="s">
        <v>30</v>
      </c>
      <c r="F167" t="s">
        <v>77</v>
      </c>
      <c r="G167">
        <v>0</v>
      </c>
      <c r="H167">
        <v>0</v>
      </c>
      <c r="I167" t="s">
        <v>32</v>
      </c>
    </row>
    <row r="168" spans="1:9" x14ac:dyDescent="0.25">
      <c r="A168" t="s">
        <v>2461</v>
      </c>
      <c r="B168" t="s">
        <v>2453</v>
      </c>
      <c r="C168" t="s">
        <v>2454</v>
      </c>
      <c r="D168" s="2">
        <v>100</v>
      </c>
      <c r="E168" t="s">
        <v>30</v>
      </c>
      <c r="F168" t="s">
        <v>77</v>
      </c>
      <c r="G168">
        <v>100</v>
      </c>
      <c r="H168">
        <v>100</v>
      </c>
      <c r="I168" t="s">
        <v>32</v>
      </c>
    </row>
    <row r="169" spans="1:9" x14ac:dyDescent="0.25">
      <c r="A169" t="s">
        <v>2462</v>
      </c>
      <c r="B169" t="s">
        <v>2453</v>
      </c>
      <c r="C169" t="s">
        <v>2454</v>
      </c>
      <c r="D169" s="2" t="b">
        <v>1</v>
      </c>
      <c r="E169" t="s">
        <v>88</v>
      </c>
      <c r="F169" t="s">
        <v>77</v>
      </c>
      <c r="G169" t="s">
        <v>31</v>
      </c>
      <c r="H169" t="s">
        <v>31</v>
      </c>
      <c r="I169" t="s">
        <v>32</v>
      </c>
    </row>
    <row r="170" spans="1:9" x14ac:dyDescent="0.25">
      <c r="A170" t="s">
        <v>2463</v>
      </c>
      <c r="B170" t="s">
        <v>2464</v>
      </c>
      <c r="C170" t="s">
        <v>2465</v>
      </c>
      <c r="D170" s="3">
        <v>0.035</v>
      </c>
      <c r="E170" t="s">
        <v>30</v>
      </c>
      <c r="F170" t="s">
        <v>103</v>
      </c>
      <c r="G170">
        <v>0</v>
      </c>
      <c r="H170">
        <v>1</v>
      </c>
      <c r="I170" t="s">
        <v>2466</v>
      </c>
    </row>
    <row r="171" spans="1:9" x14ac:dyDescent="0.25">
      <c r="A171" t="s">
        <v>2467</v>
      </c>
      <c r="B171" t="s">
        <v>2464</v>
      </c>
      <c r="C171" t="s">
        <v>2465</v>
      </c>
      <c r="D171" s="2" t="s">
        <v>2236</v>
      </c>
      <c r="E171" t="s">
        <v>81</v>
      </c>
      <c r="F171" t="s">
        <v>103</v>
      </c>
      <c r="G171" t="s">
        <v>31</v>
      </c>
      <c r="H171" t="s">
        <v>31</v>
      </c>
      <c r="I171" t="s">
        <v>32</v>
      </c>
    </row>
    <row r="172" spans="1:9" x14ac:dyDescent="0.25">
      <c r="A172" t="s">
        <v>2468</v>
      </c>
      <c r="B172" t="s">
        <v>2464</v>
      </c>
      <c r="C172" t="s">
        <v>2465</v>
      </c>
      <c r="D172" s="2" t="s">
        <v>2465</v>
      </c>
      <c r="E172" t="s">
        <v>81</v>
      </c>
      <c r="F172" t="s">
        <v>103</v>
      </c>
      <c r="G172" t="s">
        <v>31</v>
      </c>
      <c r="H172" t="s">
        <v>31</v>
      </c>
      <c r="I172" t="s">
        <v>32</v>
      </c>
    </row>
    <row r="173" spans="1:9" x14ac:dyDescent="0.25">
      <c r="A173" t="s">
        <v>2469</v>
      </c>
      <c r="B173" t="s">
        <v>2464</v>
      </c>
      <c r="C173" t="s">
        <v>2465</v>
      </c>
      <c r="D173" s="2" t="s">
        <v>2466</v>
      </c>
      <c r="E173" t="s">
        <v>81</v>
      </c>
      <c r="F173" t="s">
        <v>103</v>
      </c>
      <c r="G173" t="s">
        <v>31</v>
      </c>
      <c r="H173" t="s">
        <v>31</v>
      </c>
      <c r="I173" t="s">
        <v>32</v>
      </c>
    </row>
    <row r="174" spans="1:9" x14ac:dyDescent="0.25">
      <c r="A174" t="s">
        <v>2470</v>
      </c>
      <c r="B174" t="s">
        <v>2464</v>
      </c>
      <c r="C174" t="s">
        <v>2465</v>
      </c>
      <c r="D174" s="2" t="s">
        <v>103</v>
      </c>
      <c r="E174" t="s">
        <v>81</v>
      </c>
      <c r="F174" t="s">
        <v>103</v>
      </c>
      <c r="G174" t="s">
        <v>31</v>
      </c>
      <c r="H174" t="s">
        <v>31</v>
      </c>
      <c r="I174" t="s">
        <v>32</v>
      </c>
    </row>
    <row r="175" spans="1:9" x14ac:dyDescent="0.25">
      <c r="A175" t="s">
        <v>2471</v>
      </c>
      <c r="B175" t="s">
        <v>2464</v>
      </c>
      <c r="C175" t="s">
        <v>2465</v>
      </c>
      <c r="D175" s="2">
        <v>0</v>
      </c>
      <c r="E175" t="s">
        <v>30</v>
      </c>
      <c r="F175" t="s">
        <v>103</v>
      </c>
      <c r="G175">
        <v>0</v>
      </c>
      <c r="H175">
        <v>1</v>
      </c>
      <c r="I175" t="s">
        <v>32</v>
      </c>
    </row>
    <row r="176" spans="1:9" x14ac:dyDescent="0.25">
      <c r="A176" t="s">
        <v>2472</v>
      </c>
      <c r="B176" t="s">
        <v>2464</v>
      </c>
      <c r="C176" t="s">
        <v>2465</v>
      </c>
      <c r="D176" s="2">
        <v>1</v>
      </c>
      <c r="E176" t="s">
        <v>30</v>
      </c>
      <c r="F176" t="s">
        <v>103</v>
      </c>
      <c r="G176">
        <v>0</v>
      </c>
      <c r="H176">
        <v>1</v>
      </c>
      <c r="I176" t="s">
        <v>32</v>
      </c>
    </row>
    <row r="177" spans="1:9" x14ac:dyDescent="0.25">
      <c r="A177" t="s">
        <v>2473</v>
      </c>
      <c r="B177" t="s">
        <v>2464</v>
      </c>
      <c r="C177" t="s">
        <v>2465</v>
      </c>
      <c r="D177" s="2" t="b">
        <v>0</v>
      </c>
      <c r="E177" t="s">
        <v>88</v>
      </c>
      <c r="F177" t="s">
        <v>103</v>
      </c>
      <c r="G177" t="s">
        <v>31</v>
      </c>
      <c r="H177" t="s">
        <v>31</v>
      </c>
      <c r="I177" t="s">
        <v>32</v>
      </c>
    </row>
    <row r="178" spans="1:9" x14ac:dyDescent="0.25">
      <c r="A178" t="s">
        <v>2474</v>
      </c>
      <c r="B178" t="s">
        <v>2475</v>
      </c>
      <c r="C178" t="s">
        <v>2476</v>
      </c>
      <c r="D178" s="3">
        <v>4</v>
      </c>
      <c r="E178" t="s">
        <v>30</v>
      </c>
      <c r="F178" t="s">
        <v>77</v>
      </c>
      <c r="G178">
        <v>4</v>
      </c>
      <c r="H178">
        <v>4</v>
      </c>
      <c r="I178" t="s">
        <v>2477</v>
      </c>
    </row>
    <row r="179" spans="1:9" x14ac:dyDescent="0.25">
      <c r="A179" t="s">
        <v>2478</v>
      </c>
      <c r="B179" t="s">
        <v>2475</v>
      </c>
      <c r="C179" t="s">
        <v>2476</v>
      </c>
      <c r="D179" s="2" t="s">
        <v>2236</v>
      </c>
      <c r="E179" t="s">
        <v>81</v>
      </c>
      <c r="F179" t="s">
        <v>77</v>
      </c>
      <c r="G179" t="s">
        <v>31</v>
      </c>
      <c r="H179" t="s">
        <v>31</v>
      </c>
      <c r="I179" t="s">
        <v>32</v>
      </c>
    </row>
    <row r="180" spans="1:9" x14ac:dyDescent="0.25">
      <c r="A180" t="s">
        <v>2479</v>
      </c>
      <c r="B180" t="s">
        <v>2475</v>
      </c>
      <c r="C180" t="s">
        <v>2476</v>
      </c>
      <c r="D180" s="2" t="s">
        <v>2476</v>
      </c>
      <c r="E180" t="s">
        <v>81</v>
      </c>
      <c r="F180" t="s">
        <v>77</v>
      </c>
      <c r="G180" t="s">
        <v>31</v>
      </c>
      <c r="H180" t="s">
        <v>31</v>
      </c>
      <c r="I180" t="s">
        <v>32</v>
      </c>
    </row>
    <row r="181" spans="1:9" x14ac:dyDescent="0.25">
      <c r="A181" t="s">
        <v>2480</v>
      </c>
      <c r="B181" t="s">
        <v>2475</v>
      </c>
      <c r="C181" t="s">
        <v>2476</v>
      </c>
      <c r="D181" s="2" t="s">
        <v>2477</v>
      </c>
      <c r="E181" t="s">
        <v>81</v>
      </c>
      <c r="F181" t="s">
        <v>77</v>
      </c>
      <c r="G181" t="s">
        <v>31</v>
      </c>
      <c r="H181" t="s">
        <v>31</v>
      </c>
      <c r="I181" t="s">
        <v>32</v>
      </c>
    </row>
    <row r="182" spans="1:9" x14ac:dyDescent="0.25">
      <c r="A182" t="s">
        <v>2481</v>
      </c>
      <c r="B182" t="s">
        <v>2475</v>
      </c>
      <c r="C182" t="s">
        <v>2476</v>
      </c>
      <c r="D182" s="2" t="s">
        <v>77</v>
      </c>
      <c r="E182" t="s">
        <v>81</v>
      </c>
      <c r="F182" t="s">
        <v>77</v>
      </c>
      <c r="G182" t="s">
        <v>31</v>
      </c>
      <c r="H182" t="s">
        <v>31</v>
      </c>
      <c r="I182" t="s">
        <v>32</v>
      </c>
    </row>
    <row r="183" spans="1:9" x14ac:dyDescent="0.25">
      <c r="A183" t="s">
        <v>2482</v>
      </c>
      <c r="B183" t="s">
        <v>2475</v>
      </c>
      <c r="C183" t="s">
        <v>2476</v>
      </c>
      <c r="D183" s="2">
        <v>0</v>
      </c>
      <c r="E183" t="s">
        <v>30</v>
      </c>
      <c r="F183" t="s">
        <v>77</v>
      </c>
      <c r="G183">
        <v>0</v>
      </c>
      <c r="H183">
        <v>0</v>
      </c>
      <c r="I183" t="s">
        <v>32</v>
      </c>
    </row>
    <row r="184" spans="1:9" x14ac:dyDescent="0.25">
      <c r="A184" t="s">
        <v>2483</v>
      </c>
      <c r="B184" t="s">
        <v>2475</v>
      </c>
      <c r="C184" t="s">
        <v>2476</v>
      </c>
      <c r="D184" s="2">
        <v>100</v>
      </c>
      <c r="E184" t="s">
        <v>30</v>
      </c>
      <c r="F184" t="s">
        <v>77</v>
      </c>
      <c r="G184">
        <v>100</v>
      </c>
      <c r="H184">
        <v>100</v>
      </c>
      <c r="I184" t="s">
        <v>32</v>
      </c>
    </row>
    <row r="185" spans="1:9" x14ac:dyDescent="0.25">
      <c r="A185" t="s">
        <v>2484</v>
      </c>
      <c r="B185" t="s">
        <v>2475</v>
      </c>
      <c r="C185" t="s">
        <v>2476</v>
      </c>
      <c r="D185" s="2" t="b">
        <v>1</v>
      </c>
      <c r="E185" t="s">
        <v>88</v>
      </c>
      <c r="F185" t="s">
        <v>77</v>
      </c>
      <c r="G185" t="s">
        <v>31</v>
      </c>
      <c r="H185" t="s">
        <v>31</v>
      </c>
      <c r="I185" t="s">
        <v>32</v>
      </c>
    </row>
    <row r="186" spans="1:9" x14ac:dyDescent="0.25">
      <c r="A186" t="s">
        <v>2485</v>
      </c>
      <c r="B186" t="s">
        <v>2486</v>
      </c>
      <c r="C186" t="s">
        <v>2487</v>
      </c>
      <c r="D186" s="3">
        <v>3</v>
      </c>
      <c r="E186" t="s">
        <v>30</v>
      </c>
      <c r="F186" t="s">
        <v>77</v>
      </c>
      <c r="G186">
        <v>3</v>
      </c>
      <c r="H186">
        <v>3</v>
      </c>
      <c r="I186" t="s">
        <v>2488</v>
      </c>
    </row>
    <row r="187" spans="1:9" x14ac:dyDescent="0.25">
      <c r="A187" t="s">
        <v>2489</v>
      </c>
      <c r="B187" t="s">
        <v>2486</v>
      </c>
      <c r="C187" t="s">
        <v>2487</v>
      </c>
      <c r="D187" s="2" t="s">
        <v>2236</v>
      </c>
      <c r="E187" t="s">
        <v>81</v>
      </c>
      <c r="F187" t="s">
        <v>77</v>
      </c>
      <c r="G187" t="s">
        <v>31</v>
      </c>
      <c r="H187" t="s">
        <v>31</v>
      </c>
      <c r="I187" t="s">
        <v>32</v>
      </c>
    </row>
    <row r="188" spans="1:9" x14ac:dyDescent="0.25">
      <c r="A188" t="s">
        <v>2490</v>
      </c>
      <c r="B188" t="s">
        <v>2486</v>
      </c>
      <c r="C188" t="s">
        <v>2487</v>
      </c>
      <c r="D188" s="2" t="s">
        <v>2487</v>
      </c>
      <c r="E188" t="s">
        <v>81</v>
      </c>
      <c r="F188" t="s">
        <v>77</v>
      </c>
      <c r="G188" t="s">
        <v>31</v>
      </c>
      <c r="H188" t="s">
        <v>31</v>
      </c>
      <c r="I188" t="s">
        <v>32</v>
      </c>
    </row>
    <row r="189" spans="1:9" x14ac:dyDescent="0.25">
      <c r="A189" t="s">
        <v>2491</v>
      </c>
      <c r="B189" t="s">
        <v>2486</v>
      </c>
      <c r="C189" t="s">
        <v>2487</v>
      </c>
      <c r="D189" s="2" t="s">
        <v>2488</v>
      </c>
      <c r="E189" t="s">
        <v>81</v>
      </c>
      <c r="F189" t="s">
        <v>77</v>
      </c>
      <c r="G189" t="s">
        <v>31</v>
      </c>
      <c r="H189" t="s">
        <v>31</v>
      </c>
      <c r="I189" t="s">
        <v>32</v>
      </c>
    </row>
    <row r="190" spans="1:9" x14ac:dyDescent="0.25">
      <c r="A190" t="s">
        <v>2492</v>
      </c>
      <c r="B190" t="s">
        <v>2486</v>
      </c>
      <c r="C190" t="s">
        <v>2487</v>
      </c>
      <c r="D190" s="2" t="s">
        <v>77</v>
      </c>
      <c r="E190" t="s">
        <v>81</v>
      </c>
      <c r="F190" t="s">
        <v>77</v>
      </c>
      <c r="G190" t="s">
        <v>31</v>
      </c>
      <c r="H190" t="s">
        <v>31</v>
      </c>
      <c r="I190" t="s">
        <v>32</v>
      </c>
    </row>
    <row r="191" spans="1:9" x14ac:dyDescent="0.25">
      <c r="A191" t="s">
        <v>2493</v>
      </c>
      <c r="B191" t="s">
        <v>2486</v>
      </c>
      <c r="C191" t="s">
        <v>2487</v>
      </c>
      <c r="D191" s="2">
        <v>0</v>
      </c>
      <c r="E191" t="s">
        <v>30</v>
      </c>
      <c r="F191" t="s">
        <v>77</v>
      </c>
      <c r="G191">
        <v>0</v>
      </c>
      <c r="H191">
        <v>0</v>
      </c>
      <c r="I191" t="s">
        <v>32</v>
      </c>
    </row>
    <row r="192" spans="1:9" x14ac:dyDescent="0.25">
      <c r="A192" t="s">
        <v>2494</v>
      </c>
      <c r="B192" t="s">
        <v>2486</v>
      </c>
      <c r="C192" t="s">
        <v>2487</v>
      </c>
      <c r="D192" s="2">
        <v>100</v>
      </c>
      <c r="E192" t="s">
        <v>30</v>
      </c>
      <c r="F192" t="s">
        <v>77</v>
      </c>
      <c r="G192">
        <v>100</v>
      </c>
      <c r="H192">
        <v>100</v>
      </c>
      <c r="I192" t="s">
        <v>32</v>
      </c>
    </row>
    <row r="193" spans="1:9" x14ac:dyDescent="0.25">
      <c r="A193" t="s">
        <v>2495</v>
      </c>
      <c r="B193" t="s">
        <v>2486</v>
      </c>
      <c r="C193" t="s">
        <v>2487</v>
      </c>
      <c r="D193" s="2" t="b">
        <v>1</v>
      </c>
      <c r="E193" t="s">
        <v>88</v>
      </c>
      <c r="F193" t="s">
        <v>77</v>
      </c>
      <c r="G193" t="s">
        <v>31</v>
      </c>
      <c r="H193" t="s">
        <v>31</v>
      </c>
      <c r="I193" t="s">
        <v>32</v>
      </c>
    </row>
    <row r="194" spans="1:9" x14ac:dyDescent="0.25">
      <c r="A194" t="s">
        <v>2496</v>
      </c>
      <c r="B194" t="s">
        <v>2497</v>
      </c>
      <c r="C194" t="s">
        <v>2498</v>
      </c>
      <c r="D194" s="3">
        <v>6</v>
      </c>
      <c r="E194" t="s">
        <v>30</v>
      </c>
      <c r="F194" t="s">
        <v>77</v>
      </c>
      <c r="G194">
        <v>6</v>
      </c>
      <c r="H194">
        <v>6</v>
      </c>
      <c r="I194" t="s">
        <v>2499</v>
      </c>
    </row>
    <row r="195" spans="1:9" x14ac:dyDescent="0.25">
      <c r="A195" t="s">
        <v>2500</v>
      </c>
      <c r="B195" t="s">
        <v>2497</v>
      </c>
      <c r="C195" t="s">
        <v>2498</v>
      </c>
      <c r="D195" s="2" t="s">
        <v>2236</v>
      </c>
      <c r="E195" t="s">
        <v>81</v>
      </c>
      <c r="F195" t="s">
        <v>77</v>
      </c>
      <c r="G195" t="s">
        <v>31</v>
      </c>
      <c r="H195" t="s">
        <v>31</v>
      </c>
      <c r="I195" t="s">
        <v>32</v>
      </c>
    </row>
    <row r="196" spans="1:9" x14ac:dyDescent="0.25">
      <c r="A196" t="s">
        <v>2501</v>
      </c>
      <c r="B196" t="s">
        <v>2497</v>
      </c>
      <c r="C196" t="s">
        <v>2498</v>
      </c>
      <c r="D196" s="2" t="s">
        <v>2498</v>
      </c>
      <c r="E196" t="s">
        <v>81</v>
      </c>
      <c r="F196" t="s">
        <v>77</v>
      </c>
      <c r="G196" t="s">
        <v>31</v>
      </c>
      <c r="H196" t="s">
        <v>31</v>
      </c>
      <c r="I196" t="s">
        <v>32</v>
      </c>
    </row>
    <row r="197" spans="1:9" x14ac:dyDescent="0.25">
      <c r="A197" t="s">
        <v>2502</v>
      </c>
      <c r="B197" t="s">
        <v>2497</v>
      </c>
      <c r="C197" t="s">
        <v>2498</v>
      </c>
      <c r="D197" s="2" t="s">
        <v>2499</v>
      </c>
      <c r="E197" t="s">
        <v>81</v>
      </c>
      <c r="F197" t="s">
        <v>77</v>
      </c>
      <c r="G197" t="s">
        <v>31</v>
      </c>
      <c r="H197" t="s">
        <v>31</v>
      </c>
      <c r="I197" t="s">
        <v>32</v>
      </c>
    </row>
    <row r="198" spans="1:9" x14ac:dyDescent="0.25">
      <c r="A198" t="s">
        <v>2503</v>
      </c>
      <c r="B198" t="s">
        <v>2497</v>
      </c>
      <c r="C198" t="s">
        <v>2498</v>
      </c>
      <c r="D198" s="2" t="s">
        <v>77</v>
      </c>
      <c r="E198" t="s">
        <v>81</v>
      </c>
      <c r="F198" t="s">
        <v>77</v>
      </c>
      <c r="G198" t="s">
        <v>31</v>
      </c>
      <c r="H198" t="s">
        <v>31</v>
      </c>
      <c r="I198" t="s">
        <v>32</v>
      </c>
    </row>
    <row r="199" spans="1:9" x14ac:dyDescent="0.25">
      <c r="A199" t="s">
        <v>2504</v>
      </c>
      <c r="B199" t="s">
        <v>2497</v>
      </c>
      <c r="C199" t="s">
        <v>2498</v>
      </c>
      <c r="D199" s="2">
        <v>0</v>
      </c>
      <c r="E199" t="s">
        <v>30</v>
      </c>
      <c r="F199" t="s">
        <v>77</v>
      </c>
      <c r="G199">
        <v>0</v>
      </c>
      <c r="H199">
        <v>0</v>
      </c>
      <c r="I199" t="s">
        <v>32</v>
      </c>
    </row>
    <row r="200" spans="1:9" x14ac:dyDescent="0.25">
      <c r="A200" t="s">
        <v>2505</v>
      </c>
      <c r="B200" t="s">
        <v>2497</v>
      </c>
      <c r="C200" t="s">
        <v>2498</v>
      </c>
      <c r="D200" s="2">
        <v>100</v>
      </c>
      <c r="E200" t="s">
        <v>30</v>
      </c>
      <c r="F200" t="s">
        <v>77</v>
      </c>
      <c r="G200">
        <v>100</v>
      </c>
      <c r="H200">
        <v>100</v>
      </c>
      <c r="I200" t="s">
        <v>32</v>
      </c>
    </row>
    <row r="201" spans="1:9" x14ac:dyDescent="0.25">
      <c r="A201" t="s">
        <v>2506</v>
      </c>
      <c r="B201" t="s">
        <v>2497</v>
      </c>
      <c r="C201" t="s">
        <v>2498</v>
      </c>
      <c r="D201" s="2" t="b">
        <v>1</v>
      </c>
      <c r="E201" t="s">
        <v>88</v>
      </c>
      <c r="F201" t="s">
        <v>77</v>
      </c>
      <c r="G201" t="s">
        <v>31</v>
      </c>
      <c r="H201" t="s">
        <v>31</v>
      </c>
      <c r="I201" t="s">
        <v>32</v>
      </c>
    </row>
    <row r="202" spans="1:9" x14ac:dyDescent="0.25">
      <c r="A202" t="s">
        <v>2507</v>
      </c>
      <c r="B202" t="s">
        <v>2508</v>
      </c>
      <c r="C202" t="s">
        <v>2509</v>
      </c>
      <c r="D202" s="3">
        <v>3</v>
      </c>
      <c r="E202" t="s">
        <v>30</v>
      </c>
      <c r="F202" t="s">
        <v>77</v>
      </c>
      <c r="G202">
        <v>3</v>
      </c>
      <c r="H202">
        <v>3</v>
      </c>
      <c r="I202" t="s">
        <v>2510</v>
      </c>
    </row>
    <row r="203" spans="1:9" x14ac:dyDescent="0.25">
      <c r="A203" t="s">
        <v>2511</v>
      </c>
      <c r="B203" t="s">
        <v>2508</v>
      </c>
      <c r="C203" t="s">
        <v>2509</v>
      </c>
      <c r="D203" s="2" t="s">
        <v>2236</v>
      </c>
      <c r="E203" t="s">
        <v>81</v>
      </c>
      <c r="F203" t="s">
        <v>77</v>
      </c>
      <c r="G203" t="s">
        <v>31</v>
      </c>
      <c r="H203" t="s">
        <v>31</v>
      </c>
      <c r="I203" t="s">
        <v>32</v>
      </c>
    </row>
    <row r="204" spans="1:9" x14ac:dyDescent="0.25">
      <c r="A204" t="s">
        <v>2512</v>
      </c>
      <c r="B204" t="s">
        <v>2508</v>
      </c>
      <c r="C204" t="s">
        <v>2509</v>
      </c>
      <c r="D204" s="2" t="s">
        <v>2509</v>
      </c>
      <c r="E204" t="s">
        <v>81</v>
      </c>
      <c r="F204" t="s">
        <v>77</v>
      </c>
      <c r="G204" t="s">
        <v>31</v>
      </c>
      <c r="H204" t="s">
        <v>31</v>
      </c>
      <c r="I204" t="s">
        <v>32</v>
      </c>
    </row>
    <row r="205" spans="1:9" x14ac:dyDescent="0.25">
      <c r="A205" t="s">
        <v>2513</v>
      </c>
      <c r="B205" t="s">
        <v>2508</v>
      </c>
      <c r="C205" t="s">
        <v>2509</v>
      </c>
      <c r="D205" s="2" t="s">
        <v>2510</v>
      </c>
      <c r="E205" t="s">
        <v>81</v>
      </c>
      <c r="F205" t="s">
        <v>77</v>
      </c>
      <c r="G205" t="s">
        <v>31</v>
      </c>
      <c r="H205" t="s">
        <v>31</v>
      </c>
      <c r="I205" t="s">
        <v>32</v>
      </c>
    </row>
    <row r="206" spans="1:9" x14ac:dyDescent="0.25">
      <c r="A206" t="s">
        <v>2514</v>
      </c>
      <c r="B206" t="s">
        <v>2508</v>
      </c>
      <c r="C206" t="s">
        <v>2509</v>
      </c>
      <c r="D206" s="2" t="s">
        <v>77</v>
      </c>
      <c r="E206" t="s">
        <v>81</v>
      </c>
      <c r="F206" t="s">
        <v>77</v>
      </c>
      <c r="G206" t="s">
        <v>31</v>
      </c>
      <c r="H206" t="s">
        <v>31</v>
      </c>
      <c r="I206" t="s">
        <v>32</v>
      </c>
    </row>
    <row r="207" spans="1:9" x14ac:dyDescent="0.25">
      <c r="A207" t="s">
        <v>2515</v>
      </c>
      <c r="B207" t="s">
        <v>2508</v>
      </c>
      <c r="C207" t="s">
        <v>2509</v>
      </c>
      <c r="D207" s="2">
        <v>0</v>
      </c>
      <c r="E207" t="s">
        <v>30</v>
      </c>
      <c r="F207" t="s">
        <v>77</v>
      </c>
      <c r="G207">
        <v>0</v>
      </c>
      <c r="H207">
        <v>0</v>
      </c>
      <c r="I207" t="s">
        <v>32</v>
      </c>
    </row>
    <row r="208" spans="1:9" x14ac:dyDescent="0.25">
      <c r="A208" t="s">
        <v>2516</v>
      </c>
      <c r="B208" t="s">
        <v>2508</v>
      </c>
      <c r="C208" t="s">
        <v>2509</v>
      </c>
      <c r="D208" s="2">
        <v>100</v>
      </c>
      <c r="E208" t="s">
        <v>30</v>
      </c>
      <c r="F208" t="s">
        <v>77</v>
      </c>
      <c r="G208">
        <v>100</v>
      </c>
      <c r="H208">
        <v>100</v>
      </c>
      <c r="I208" t="s">
        <v>32</v>
      </c>
    </row>
    <row r="209" spans="1:9" x14ac:dyDescent="0.25">
      <c r="A209" t="s">
        <v>2517</v>
      </c>
      <c r="B209" t="s">
        <v>2508</v>
      </c>
      <c r="C209" t="s">
        <v>2509</v>
      </c>
      <c r="D209" s="2" t="b">
        <v>1</v>
      </c>
      <c r="E209" t="s">
        <v>88</v>
      </c>
      <c r="F209" t="s">
        <v>77</v>
      </c>
      <c r="G209" t="s">
        <v>31</v>
      </c>
      <c r="H209" t="s">
        <v>31</v>
      </c>
      <c r="I209" t="s">
        <v>32</v>
      </c>
    </row>
    <row r="210" spans="1:9" x14ac:dyDescent="0.25">
      <c r="A210" t="s">
        <v>2518</v>
      </c>
      <c r="B210" t="s">
        <v>2519</v>
      </c>
      <c r="C210" t="s">
        <v>2520</v>
      </c>
      <c r="D210" s="3">
        <v>7</v>
      </c>
      <c r="E210" t="s">
        <v>30</v>
      </c>
      <c r="F210" t="s">
        <v>77</v>
      </c>
      <c r="G210">
        <v>7</v>
      </c>
      <c r="H210">
        <v>7</v>
      </c>
      <c r="I210" t="s">
        <v>2521</v>
      </c>
    </row>
    <row r="211" spans="1:9" x14ac:dyDescent="0.25">
      <c r="A211" t="s">
        <v>2522</v>
      </c>
      <c r="B211" t="s">
        <v>2519</v>
      </c>
      <c r="C211" t="s">
        <v>2520</v>
      </c>
      <c r="D211" s="2" t="s">
        <v>2236</v>
      </c>
      <c r="E211" t="s">
        <v>81</v>
      </c>
      <c r="F211" t="s">
        <v>77</v>
      </c>
      <c r="G211" t="s">
        <v>31</v>
      </c>
      <c r="H211" t="s">
        <v>31</v>
      </c>
      <c r="I211" t="s">
        <v>32</v>
      </c>
    </row>
    <row r="212" spans="1:9" x14ac:dyDescent="0.25">
      <c r="A212" t="s">
        <v>2523</v>
      </c>
      <c r="B212" t="s">
        <v>2519</v>
      </c>
      <c r="C212" t="s">
        <v>2520</v>
      </c>
      <c r="D212" s="2" t="s">
        <v>2520</v>
      </c>
      <c r="E212" t="s">
        <v>81</v>
      </c>
      <c r="F212" t="s">
        <v>77</v>
      </c>
      <c r="G212" t="s">
        <v>31</v>
      </c>
      <c r="H212" t="s">
        <v>31</v>
      </c>
      <c r="I212" t="s">
        <v>32</v>
      </c>
    </row>
    <row r="213" spans="1:9" x14ac:dyDescent="0.25">
      <c r="A213" t="s">
        <v>2524</v>
      </c>
      <c r="B213" t="s">
        <v>2519</v>
      </c>
      <c r="C213" t="s">
        <v>2520</v>
      </c>
      <c r="D213" s="2" t="s">
        <v>2521</v>
      </c>
      <c r="E213" t="s">
        <v>81</v>
      </c>
      <c r="F213" t="s">
        <v>77</v>
      </c>
      <c r="G213" t="s">
        <v>31</v>
      </c>
      <c r="H213" t="s">
        <v>31</v>
      </c>
      <c r="I213" t="s">
        <v>32</v>
      </c>
    </row>
    <row r="214" spans="1:9" x14ac:dyDescent="0.25">
      <c r="A214" t="s">
        <v>2525</v>
      </c>
      <c r="B214" t="s">
        <v>2519</v>
      </c>
      <c r="C214" t="s">
        <v>2520</v>
      </c>
      <c r="D214" s="2" t="s">
        <v>77</v>
      </c>
      <c r="E214" t="s">
        <v>81</v>
      </c>
      <c r="F214" t="s">
        <v>77</v>
      </c>
      <c r="G214" t="s">
        <v>31</v>
      </c>
      <c r="H214" t="s">
        <v>31</v>
      </c>
      <c r="I214" t="s">
        <v>32</v>
      </c>
    </row>
    <row r="215" spans="1:9" x14ac:dyDescent="0.25">
      <c r="A215" t="s">
        <v>2526</v>
      </c>
      <c r="B215" t="s">
        <v>2519</v>
      </c>
      <c r="C215" t="s">
        <v>2520</v>
      </c>
      <c r="D215" s="2">
        <v>0</v>
      </c>
      <c r="E215" t="s">
        <v>30</v>
      </c>
      <c r="F215" t="s">
        <v>77</v>
      </c>
      <c r="G215">
        <v>0</v>
      </c>
      <c r="H215">
        <v>0</v>
      </c>
      <c r="I215" t="s">
        <v>32</v>
      </c>
    </row>
    <row r="216" spans="1:9" x14ac:dyDescent="0.25">
      <c r="A216" t="s">
        <v>2527</v>
      </c>
      <c r="B216" t="s">
        <v>2519</v>
      </c>
      <c r="C216" t="s">
        <v>2520</v>
      </c>
      <c r="D216" s="2">
        <v>100</v>
      </c>
      <c r="E216" t="s">
        <v>30</v>
      </c>
      <c r="F216" t="s">
        <v>77</v>
      </c>
      <c r="G216">
        <v>100</v>
      </c>
      <c r="H216">
        <v>100</v>
      </c>
      <c r="I216" t="s">
        <v>32</v>
      </c>
    </row>
    <row r="217" spans="1:9" x14ac:dyDescent="0.25">
      <c r="A217" t="s">
        <v>2528</v>
      </c>
      <c r="B217" t="s">
        <v>2519</v>
      </c>
      <c r="C217" t="s">
        <v>2520</v>
      </c>
      <c r="D217" s="2" t="b">
        <v>1</v>
      </c>
      <c r="E217" t="s">
        <v>88</v>
      </c>
      <c r="F217" t="s">
        <v>77</v>
      </c>
      <c r="G217" t="s">
        <v>31</v>
      </c>
      <c r="H217" t="s">
        <v>31</v>
      </c>
      <c r="I217" t="s">
        <v>32</v>
      </c>
    </row>
    <row r="218" spans="1:9" x14ac:dyDescent="0.25">
      <c r="A218" t="s">
        <v>2529</v>
      </c>
      <c r="B218" t="s">
        <v>2530</v>
      </c>
      <c r="C218" t="s">
        <v>2531</v>
      </c>
      <c r="D218" s="3">
        <v>4</v>
      </c>
      <c r="E218" t="s">
        <v>30</v>
      </c>
      <c r="F218" t="s">
        <v>77</v>
      </c>
      <c r="G218">
        <v>4</v>
      </c>
      <c r="H218">
        <v>4</v>
      </c>
      <c r="I218" t="s">
        <v>2532</v>
      </c>
    </row>
    <row r="219" spans="1:9" x14ac:dyDescent="0.25">
      <c r="A219" t="s">
        <v>2533</v>
      </c>
      <c r="B219" t="s">
        <v>2530</v>
      </c>
      <c r="C219" t="s">
        <v>2531</v>
      </c>
      <c r="D219" s="2" t="s">
        <v>2236</v>
      </c>
      <c r="E219" t="s">
        <v>81</v>
      </c>
      <c r="F219" t="s">
        <v>77</v>
      </c>
      <c r="G219" t="s">
        <v>31</v>
      </c>
      <c r="H219" t="s">
        <v>31</v>
      </c>
      <c r="I219" t="s">
        <v>32</v>
      </c>
    </row>
    <row r="220" spans="1:9" x14ac:dyDescent="0.25">
      <c r="A220" t="s">
        <v>2534</v>
      </c>
      <c r="B220" t="s">
        <v>2530</v>
      </c>
      <c r="C220" t="s">
        <v>2531</v>
      </c>
      <c r="D220" s="2" t="s">
        <v>2531</v>
      </c>
      <c r="E220" t="s">
        <v>81</v>
      </c>
      <c r="F220" t="s">
        <v>77</v>
      </c>
      <c r="G220" t="s">
        <v>31</v>
      </c>
      <c r="H220" t="s">
        <v>31</v>
      </c>
      <c r="I220" t="s">
        <v>32</v>
      </c>
    </row>
    <row r="221" spans="1:9" x14ac:dyDescent="0.25">
      <c r="A221" t="s">
        <v>2535</v>
      </c>
      <c r="B221" t="s">
        <v>2530</v>
      </c>
      <c r="C221" t="s">
        <v>2531</v>
      </c>
      <c r="D221" s="2" t="s">
        <v>2532</v>
      </c>
      <c r="E221" t="s">
        <v>81</v>
      </c>
      <c r="F221" t="s">
        <v>77</v>
      </c>
      <c r="G221" t="s">
        <v>31</v>
      </c>
      <c r="H221" t="s">
        <v>31</v>
      </c>
      <c r="I221" t="s">
        <v>32</v>
      </c>
    </row>
    <row r="222" spans="1:9" x14ac:dyDescent="0.25">
      <c r="A222" t="s">
        <v>2536</v>
      </c>
      <c r="B222" t="s">
        <v>2530</v>
      </c>
      <c r="C222" t="s">
        <v>2531</v>
      </c>
      <c r="D222" s="2" t="s">
        <v>77</v>
      </c>
      <c r="E222" t="s">
        <v>81</v>
      </c>
      <c r="F222" t="s">
        <v>77</v>
      </c>
      <c r="G222" t="s">
        <v>31</v>
      </c>
      <c r="H222" t="s">
        <v>31</v>
      </c>
      <c r="I222" t="s">
        <v>32</v>
      </c>
    </row>
    <row r="223" spans="1:9" x14ac:dyDescent="0.25">
      <c r="A223" t="s">
        <v>2537</v>
      </c>
      <c r="B223" t="s">
        <v>2530</v>
      </c>
      <c r="C223" t="s">
        <v>2531</v>
      </c>
      <c r="D223" s="2">
        <v>0</v>
      </c>
      <c r="E223" t="s">
        <v>30</v>
      </c>
      <c r="F223" t="s">
        <v>77</v>
      </c>
      <c r="G223">
        <v>0</v>
      </c>
      <c r="H223">
        <v>0</v>
      </c>
      <c r="I223" t="s">
        <v>32</v>
      </c>
    </row>
    <row r="224" spans="1:9" x14ac:dyDescent="0.25">
      <c r="A224" t="s">
        <v>2538</v>
      </c>
      <c r="B224" t="s">
        <v>2530</v>
      </c>
      <c r="C224" t="s">
        <v>2531</v>
      </c>
      <c r="D224" s="2">
        <v>100</v>
      </c>
      <c r="E224" t="s">
        <v>30</v>
      </c>
      <c r="F224" t="s">
        <v>77</v>
      </c>
      <c r="G224">
        <v>100</v>
      </c>
      <c r="H224">
        <v>100</v>
      </c>
      <c r="I224" t="s">
        <v>32</v>
      </c>
    </row>
    <row r="225" spans="1:9" x14ac:dyDescent="0.25">
      <c r="A225" t="s">
        <v>2539</v>
      </c>
      <c r="B225" t="s">
        <v>2530</v>
      </c>
      <c r="C225" t="s">
        <v>2531</v>
      </c>
      <c r="D225" s="2" t="b">
        <v>1</v>
      </c>
      <c r="E225" t="s">
        <v>88</v>
      </c>
      <c r="F225" t="s">
        <v>77</v>
      </c>
      <c r="G225" t="s">
        <v>31</v>
      </c>
      <c r="H225" t="s">
        <v>31</v>
      </c>
      <c r="I225" t="s">
        <v>32</v>
      </c>
    </row>
    <row r="226" spans="1:9" x14ac:dyDescent="0.25">
      <c r="A226" t="s">
        <v>2540</v>
      </c>
      <c r="B226" t="s">
        <v>2541</v>
      </c>
      <c r="C226" t="s">
        <v>2542</v>
      </c>
      <c r="D226" s="3">
        <v>7</v>
      </c>
      <c r="E226" t="s">
        <v>30</v>
      </c>
      <c r="F226" t="s">
        <v>77</v>
      </c>
      <c r="G226">
        <v>7</v>
      </c>
      <c r="H226">
        <v>7</v>
      </c>
      <c r="I226" t="s">
        <v>2543</v>
      </c>
    </row>
    <row r="227" spans="1:9" x14ac:dyDescent="0.25">
      <c r="A227" t="s">
        <v>2544</v>
      </c>
      <c r="B227" t="s">
        <v>2541</v>
      </c>
      <c r="C227" t="s">
        <v>2542</v>
      </c>
      <c r="D227" s="2" t="s">
        <v>2236</v>
      </c>
      <c r="E227" t="s">
        <v>81</v>
      </c>
      <c r="F227" t="s">
        <v>77</v>
      </c>
      <c r="G227" t="s">
        <v>31</v>
      </c>
      <c r="H227" t="s">
        <v>31</v>
      </c>
      <c r="I227" t="s">
        <v>32</v>
      </c>
    </row>
    <row r="228" spans="1:9" x14ac:dyDescent="0.25">
      <c r="A228" t="s">
        <v>2545</v>
      </c>
      <c r="B228" t="s">
        <v>2541</v>
      </c>
      <c r="C228" t="s">
        <v>2542</v>
      </c>
      <c r="D228" s="2" t="s">
        <v>2542</v>
      </c>
      <c r="E228" t="s">
        <v>81</v>
      </c>
      <c r="F228" t="s">
        <v>77</v>
      </c>
      <c r="G228" t="s">
        <v>31</v>
      </c>
      <c r="H228" t="s">
        <v>31</v>
      </c>
      <c r="I228" t="s">
        <v>32</v>
      </c>
    </row>
    <row r="229" spans="1:9" x14ac:dyDescent="0.25">
      <c r="A229" t="s">
        <v>2546</v>
      </c>
      <c r="B229" t="s">
        <v>2541</v>
      </c>
      <c r="C229" t="s">
        <v>2542</v>
      </c>
      <c r="D229" s="2" t="s">
        <v>2543</v>
      </c>
      <c r="E229" t="s">
        <v>81</v>
      </c>
      <c r="F229" t="s">
        <v>77</v>
      </c>
      <c r="G229" t="s">
        <v>31</v>
      </c>
      <c r="H229" t="s">
        <v>31</v>
      </c>
      <c r="I229" t="s">
        <v>32</v>
      </c>
    </row>
    <row r="230" spans="1:9" x14ac:dyDescent="0.25">
      <c r="A230" t="s">
        <v>2547</v>
      </c>
      <c r="B230" t="s">
        <v>2541</v>
      </c>
      <c r="C230" t="s">
        <v>2542</v>
      </c>
      <c r="D230" s="2" t="s">
        <v>77</v>
      </c>
      <c r="E230" t="s">
        <v>81</v>
      </c>
      <c r="F230" t="s">
        <v>77</v>
      </c>
      <c r="G230" t="s">
        <v>31</v>
      </c>
      <c r="H230" t="s">
        <v>31</v>
      </c>
      <c r="I230" t="s">
        <v>32</v>
      </c>
    </row>
    <row r="231" spans="1:9" x14ac:dyDescent="0.25">
      <c r="A231" t="s">
        <v>2548</v>
      </c>
      <c r="B231" t="s">
        <v>2541</v>
      </c>
      <c r="C231" t="s">
        <v>2542</v>
      </c>
      <c r="D231" s="2">
        <v>0</v>
      </c>
      <c r="E231" t="s">
        <v>30</v>
      </c>
      <c r="F231" t="s">
        <v>77</v>
      </c>
      <c r="G231">
        <v>0</v>
      </c>
      <c r="H231">
        <v>0</v>
      </c>
      <c r="I231" t="s">
        <v>32</v>
      </c>
    </row>
    <row r="232" spans="1:9" x14ac:dyDescent="0.25">
      <c r="A232" t="s">
        <v>2549</v>
      </c>
      <c r="B232" t="s">
        <v>2541</v>
      </c>
      <c r="C232" t="s">
        <v>2542</v>
      </c>
      <c r="D232" s="2">
        <v>100</v>
      </c>
      <c r="E232" t="s">
        <v>30</v>
      </c>
      <c r="F232" t="s">
        <v>77</v>
      </c>
      <c r="G232">
        <v>100</v>
      </c>
      <c r="H232">
        <v>100</v>
      </c>
      <c r="I232" t="s">
        <v>32</v>
      </c>
    </row>
    <row r="233" spans="1:9" x14ac:dyDescent="0.25">
      <c r="A233" t="s">
        <v>2550</v>
      </c>
      <c r="B233" t="s">
        <v>2541</v>
      </c>
      <c r="C233" t="s">
        <v>2542</v>
      </c>
      <c r="D233" s="2" t="b">
        <v>1</v>
      </c>
      <c r="E233" t="s">
        <v>88</v>
      </c>
      <c r="F233" t="s">
        <v>77</v>
      </c>
      <c r="G233" t="s">
        <v>31</v>
      </c>
      <c r="H233" t="s">
        <v>31</v>
      </c>
      <c r="I233" t="s">
        <v>32</v>
      </c>
    </row>
    <row r="234" spans="1:9" x14ac:dyDescent="0.25">
      <c r="A234" t="s">
        <v>2551</v>
      </c>
      <c r="B234" t="s">
        <v>2552</v>
      </c>
      <c r="C234" t="s">
        <v>2553</v>
      </c>
      <c r="D234" s="3">
        <v>0.3</v>
      </c>
      <c r="E234" t="s">
        <v>30</v>
      </c>
      <c r="F234" t="s">
        <v>103</v>
      </c>
      <c r="G234">
        <v>0</v>
      </c>
      <c r="H234">
        <v>1</v>
      </c>
      <c r="I234" t="s">
        <v>2554</v>
      </c>
    </row>
    <row r="235" spans="1:9" x14ac:dyDescent="0.25">
      <c r="A235" t="s">
        <v>2555</v>
      </c>
      <c r="B235" t="s">
        <v>2552</v>
      </c>
      <c r="C235" t="s">
        <v>2553</v>
      </c>
      <c r="D235" s="2" t="s">
        <v>2236</v>
      </c>
      <c r="E235" t="s">
        <v>81</v>
      </c>
      <c r="F235" t="s">
        <v>103</v>
      </c>
      <c r="G235" t="s">
        <v>31</v>
      </c>
      <c r="H235" t="s">
        <v>31</v>
      </c>
      <c r="I235" t="s">
        <v>32</v>
      </c>
    </row>
    <row r="236" spans="1:9" x14ac:dyDescent="0.25">
      <c r="A236" t="s">
        <v>2556</v>
      </c>
      <c r="B236" t="s">
        <v>2552</v>
      </c>
      <c r="C236" t="s">
        <v>2553</v>
      </c>
      <c r="D236" s="2" t="s">
        <v>2553</v>
      </c>
      <c r="E236" t="s">
        <v>81</v>
      </c>
      <c r="F236" t="s">
        <v>103</v>
      </c>
      <c r="G236" t="s">
        <v>31</v>
      </c>
      <c r="H236" t="s">
        <v>31</v>
      </c>
      <c r="I236" t="s">
        <v>32</v>
      </c>
    </row>
    <row r="237" spans="1:9" x14ac:dyDescent="0.25">
      <c r="A237" t="s">
        <v>2557</v>
      </c>
      <c r="B237" t="s">
        <v>2552</v>
      </c>
      <c r="C237" t="s">
        <v>2553</v>
      </c>
      <c r="D237" s="2" t="s">
        <v>2554</v>
      </c>
      <c r="E237" t="s">
        <v>81</v>
      </c>
      <c r="F237" t="s">
        <v>103</v>
      </c>
      <c r="G237" t="s">
        <v>31</v>
      </c>
      <c r="H237" t="s">
        <v>31</v>
      </c>
      <c r="I237" t="s">
        <v>32</v>
      </c>
    </row>
    <row r="238" spans="1:9" x14ac:dyDescent="0.25">
      <c r="A238" t="s">
        <v>2558</v>
      </c>
      <c r="B238" t="s">
        <v>2552</v>
      </c>
      <c r="C238" t="s">
        <v>2553</v>
      </c>
      <c r="D238" s="2" t="s">
        <v>103</v>
      </c>
      <c r="E238" t="s">
        <v>81</v>
      </c>
      <c r="F238" t="s">
        <v>103</v>
      </c>
      <c r="G238" t="s">
        <v>31</v>
      </c>
      <c r="H238" t="s">
        <v>31</v>
      </c>
      <c r="I238" t="s">
        <v>32</v>
      </c>
    </row>
    <row r="239" spans="1:9" x14ac:dyDescent="0.25">
      <c r="A239" t="s">
        <v>2559</v>
      </c>
      <c r="B239" t="s">
        <v>2552</v>
      </c>
      <c r="C239" t="s">
        <v>2553</v>
      </c>
      <c r="D239" s="2">
        <v>0</v>
      </c>
      <c r="E239" t="s">
        <v>30</v>
      </c>
      <c r="F239" t="s">
        <v>103</v>
      </c>
      <c r="G239">
        <v>0</v>
      </c>
      <c r="H239">
        <v>1</v>
      </c>
      <c r="I239" t="s">
        <v>32</v>
      </c>
    </row>
    <row r="240" spans="1:9" x14ac:dyDescent="0.25">
      <c r="A240" t="s">
        <v>2560</v>
      </c>
      <c r="B240" t="s">
        <v>2552</v>
      </c>
      <c r="C240" t="s">
        <v>2553</v>
      </c>
      <c r="D240" s="2">
        <v>1</v>
      </c>
      <c r="E240" t="s">
        <v>30</v>
      </c>
      <c r="F240" t="s">
        <v>103</v>
      </c>
      <c r="G240">
        <v>0</v>
      </c>
      <c r="H240">
        <v>1</v>
      </c>
      <c r="I240" t="s">
        <v>32</v>
      </c>
    </row>
    <row r="241" spans="1:9" x14ac:dyDescent="0.25">
      <c r="A241" t="s">
        <v>2561</v>
      </c>
      <c r="B241" t="s">
        <v>2552</v>
      </c>
      <c r="C241" t="s">
        <v>2553</v>
      </c>
      <c r="D241" s="2" t="b">
        <v>0</v>
      </c>
      <c r="E241" t="s">
        <v>88</v>
      </c>
      <c r="F241" t="s">
        <v>103</v>
      </c>
      <c r="G241" t="s">
        <v>31</v>
      </c>
      <c r="H241" t="s">
        <v>31</v>
      </c>
      <c r="I241" t="s">
        <v>32</v>
      </c>
    </row>
    <row r="242" spans="1:9" x14ac:dyDescent="0.25">
      <c r="A242" t="s">
        <v>2562</v>
      </c>
      <c r="B242" t="s">
        <v>2563</v>
      </c>
      <c r="C242" t="s">
        <v>2564</v>
      </c>
      <c r="D242" s="3">
        <v>0.32</v>
      </c>
      <c r="E242" t="s">
        <v>30</v>
      </c>
      <c r="F242" t="s">
        <v>103</v>
      </c>
      <c r="G242">
        <v>0</v>
      </c>
      <c r="H242">
        <v>1</v>
      </c>
      <c r="I242" t="s">
        <v>2565</v>
      </c>
    </row>
    <row r="243" spans="1:9" x14ac:dyDescent="0.25">
      <c r="A243" t="s">
        <v>2566</v>
      </c>
      <c r="B243" t="s">
        <v>2563</v>
      </c>
      <c r="C243" t="s">
        <v>2564</v>
      </c>
      <c r="D243" s="2" t="s">
        <v>2236</v>
      </c>
      <c r="E243" t="s">
        <v>81</v>
      </c>
      <c r="F243" t="s">
        <v>103</v>
      </c>
      <c r="G243" t="s">
        <v>31</v>
      </c>
      <c r="H243" t="s">
        <v>31</v>
      </c>
      <c r="I243" t="s">
        <v>32</v>
      </c>
    </row>
    <row r="244" spans="1:9" x14ac:dyDescent="0.25">
      <c r="A244" t="s">
        <v>2567</v>
      </c>
      <c r="B244" t="s">
        <v>2563</v>
      </c>
      <c r="C244" t="s">
        <v>2564</v>
      </c>
      <c r="D244" s="2" t="s">
        <v>2564</v>
      </c>
      <c r="E244" t="s">
        <v>81</v>
      </c>
      <c r="F244" t="s">
        <v>103</v>
      </c>
      <c r="G244" t="s">
        <v>31</v>
      </c>
      <c r="H244" t="s">
        <v>31</v>
      </c>
      <c r="I244" t="s">
        <v>32</v>
      </c>
    </row>
    <row r="245" spans="1:9" x14ac:dyDescent="0.25">
      <c r="A245" t="s">
        <v>2568</v>
      </c>
      <c r="B245" t="s">
        <v>2563</v>
      </c>
      <c r="C245" t="s">
        <v>2564</v>
      </c>
      <c r="D245" s="2" t="s">
        <v>2565</v>
      </c>
      <c r="E245" t="s">
        <v>81</v>
      </c>
      <c r="F245" t="s">
        <v>103</v>
      </c>
      <c r="G245" t="s">
        <v>31</v>
      </c>
      <c r="H245" t="s">
        <v>31</v>
      </c>
      <c r="I245" t="s">
        <v>32</v>
      </c>
    </row>
    <row r="246" spans="1:9" x14ac:dyDescent="0.25">
      <c r="A246" t="s">
        <v>2569</v>
      </c>
      <c r="B246" t="s">
        <v>2563</v>
      </c>
      <c r="C246" t="s">
        <v>2564</v>
      </c>
      <c r="D246" s="2" t="s">
        <v>103</v>
      </c>
      <c r="E246" t="s">
        <v>81</v>
      </c>
      <c r="F246" t="s">
        <v>103</v>
      </c>
      <c r="G246" t="s">
        <v>31</v>
      </c>
      <c r="H246" t="s">
        <v>31</v>
      </c>
      <c r="I246" t="s">
        <v>32</v>
      </c>
    </row>
    <row r="247" spans="1:9" x14ac:dyDescent="0.25">
      <c r="A247" t="s">
        <v>2570</v>
      </c>
      <c r="B247" t="s">
        <v>2563</v>
      </c>
      <c r="C247" t="s">
        <v>2564</v>
      </c>
      <c r="D247" s="2">
        <v>0</v>
      </c>
      <c r="E247" t="s">
        <v>30</v>
      </c>
      <c r="F247" t="s">
        <v>103</v>
      </c>
      <c r="G247">
        <v>0</v>
      </c>
      <c r="H247">
        <v>1</v>
      </c>
      <c r="I247" t="s">
        <v>32</v>
      </c>
    </row>
    <row r="248" spans="1:9" x14ac:dyDescent="0.25">
      <c r="A248" t="s">
        <v>2571</v>
      </c>
      <c r="B248" t="s">
        <v>2563</v>
      </c>
      <c r="C248" t="s">
        <v>2564</v>
      </c>
      <c r="D248" s="2">
        <v>1</v>
      </c>
      <c r="E248" t="s">
        <v>30</v>
      </c>
      <c r="F248" t="s">
        <v>103</v>
      </c>
      <c r="G248">
        <v>0</v>
      </c>
      <c r="H248">
        <v>1</v>
      </c>
      <c r="I248" t="s">
        <v>32</v>
      </c>
    </row>
    <row r="249" spans="1:9" x14ac:dyDescent="0.25">
      <c r="A249" t="s">
        <v>2572</v>
      </c>
      <c r="B249" t="s">
        <v>2563</v>
      </c>
      <c r="C249" t="s">
        <v>2564</v>
      </c>
      <c r="D249" s="2" t="b">
        <v>0</v>
      </c>
      <c r="E249" t="s">
        <v>88</v>
      </c>
      <c r="F249" t="s">
        <v>103</v>
      </c>
      <c r="G249" t="s">
        <v>31</v>
      </c>
      <c r="H249" t="s">
        <v>31</v>
      </c>
      <c r="I249" t="s">
        <v>32</v>
      </c>
    </row>
    <row r="250" spans="1:9" x14ac:dyDescent="0.25">
      <c r="A250" t="s">
        <v>2573</v>
      </c>
      <c r="B250" t="s">
        <v>2574</v>
      </c>
      <c r="C250" t="s">
        <v>2575</v>
      </c>
      <c r="D250" s="3">
        <v>0.3</v>
      </c>
      <c r="E250" t="s">
        <v>30</v>
      </c>
      <c r="F250" t="s">
        <v>103</v>
      </c>
      <c r="G250">
        <v>0</v>
      </c>
      <c r="H250">
        <v>1</v>
      </c>
      <c r="I250" t="s">
        <v>2576</v>
      </c>
    </row>
    <row r="251" spans="1:9" x14ac:dyDescent="0.25">
      <c r="A251" t="s">
        <v>2577</v>
      </c>
      <c r="B251" t="s">
        <v>2574</v>
      </c>
      <c r="C251" t="s">
        <v>2575</v>
      </c>
      <c r="D251" s="2" t="s">
        <v>2236</v>
      </c>
      <c r="E251" t="s">
        <v>81</v>
      </c>
      <c r="F251" t="s">
        <v>103</v>
      </c>
      <c r="G251" t="s">
        <v>31</v>
      </c>
      <c r="H251" t="s">
        <v>31</v>
      </c>
      <c r="I251" t="s">
        <v>32</v>
      </c>
    </row>
    <row r="252" spans="1:9" x14ac:dyDescent="0.25">
      <c r="A252" t="s">
        <v>2578</v>
      </c>
      <c r="B252" t="s">
        <v>2574</v>
      </c>
      <c r="C252" t="s">
        <v>2575</v>
      </c>
      <c r="D252" s="2" t="s">
        <v>2575</v>
      </c>
      <c r="E252" t="s">
        <v>81</v>
      </c>
      <c r="F252" t="s">
        <v>103</v>
      </c>
      <c r="G252" t="s">
        <v>31</v>
      </c>
      <c r="H252" t="s">
        <v>31</v>
      </c>
      <c r="I252" t="s">
        <v>32</v>
      </c>
    </row>
    <row r="253" spans="1:9" x14ac:dyDescent="0.25">
      <c r="A253" t="s">
        <v>2579</v>
      </c>
      <c r="B253" t="s">
        <v>2574</v>
      </c>
      <c r="C253" t="s">
        <v>2575</v>
      </c>
      <c r="D253" s="2" t="s">
        <v>2576</v>
      </c>
      <c r="E253" t="s">
        <v>81</v>
      </c>
      <c r="F253" t="s">
        <v>103</v>
      </c>
      <c r="G253" t="s">
        <v>31</v>
      </c>
      <c r="H253" t="s">
        <v>31</v>
      </c>
      <c r="I253" t="s">
        <v>32</v>
      </c>
    </row>
    <row r="254" spans="1:9" x14ac:dyDescent="0.25">
      <c r="A254" t="s">
        <v>2580</v>
      </c>
      <c r="B254" t="s">
        <v>2574</v>
      </c>
      <c r="C254" t="s">
        <v>2575</v>
      </c>
      <c r="D254" s="2" t="s">
        <v>103</v>
      </c>
      <c r="E254" t="s">
        <v>81</v>
      </c>
      <c r="F254" t="s">
        <v>103</v>
      </c>
      <c r="G254" t="s">
        <v>31</v>
      </c>
      <c r="H254" t="s">
        <v>31</v>
      </c>
      <c r="I254" t="s">
        <v>32</v>
      </c>
    </row>
    <row r="255" spans="1:9" x14ac:dyDescent="0.25">
      <c r="A255" t="s">
        <v>2581</v>
      </c>
      <c r="B255" t="s">
        <v>2574</v>
      </c>
      <c r="C255" t="s">
        <v>2575</v>
      </c>
      <c r="D255" s="2">
        <v>0</v>
      </c>
      <c r="E255" t="s">
        <v>30</v>
      </c>
      <c r="F255" t="s">
        <v>103</v>
      </c>
      <c r="G255">
        <v>0</v>
      </c>
      <c r="H255">
        <v>1</v>
      </c>
      <c r="I255" t="s">
        <v>32</v>
      </c>
    </row>
    <row r="256" spans="1:9" x14ac:dyDescent="0.25">
      <c r="A256" t="s">
        <v>2582</v>
      </c>
      <c r="B256" t="s">
        <v>2574</v>
      </c>
      <c r="C256" t="s">
        <v>2575</v>
      </c>
      <c r="D256" s="2">
        <v>1</v>
      </c>
      <c r="E256" t="s">
        <v>30</v>
      </c>
      <c r="F256" t="s">
        <v>103</v>
      </c>
      <c r="G256">
        <v>0</v>
      </c>
      <c r="H256">
        <v>1</v>
      </c>
      <c r="I256" t="s">
        <v>32</v>
      </c>
    </row>
    <row r="257" spans="1:9" x14ac:dyDescent="0.25">
      <c r="A257" t="s">
        <v>2583</v>
      </c>
      <c r="B257" t="s">
        <v>2574</v>
      </c>
      <c r="C257" t="s">
        <v>2575</v>
      </c>
      <c r="D257" s="2" t="b">
        <v>0</v>
      </c>
      <c r="E257" t="s">
        <v>88</v>
      </c>
      <c r="F257" t="s">
        <v>103</v>
      </c>
      <c r="G257" t="s">
        <v>31</v>
      </c>
      <c r="H257" t="s">
        <v>31</v>
      </c>
      <c r="I257" t="s">
        <v>32</v>
      </c>
    </row>
    <row r="258" spans="1:9" x14ac:dyDescent="0.25">
      <c r="A258" t="s">
        <v>2584</v>
      </c>
      <c r="B258" t="s">
        <v>2585</v>
      </c>
      <c r="C258" t="s">
        <v>2586</v>
      </c>
      <c r="D258" s="3">
        <v>0.75</v>
      </c>
      <c r="E258" t="s">
        <v>30</v>
      </c>
      <c r="F258" t="s">
        <v>103</v>
      </c>
      <c r="G258">
        <v>0</v>
      </c>
      <c r="H258">
        <v>1</v>
      </c>
      <c r="I258" t="s">
        <v>2587</v>
      </c>
    </row>
    <row r="259" spans="1:9" x14ac:dyDescent="0.25">
      <c r="A259" t="s">
        <v>2588</v>
      </c>
      <c r="B259" t="s">
        <v>2585</v>
      </c>
      <c r="C259" t="s">
        <v>2586</v>
      </c>
      <c r="D259" s="2" t="s">
        <v>2236</v>
      </c>
      <c r="E259" t="s">
        <v>81</v>
      </c>
      <c r="F259" t="s">
        <v>103</v>
      </c>
      <c r="G259" t="s">
        <v>31</v>
      </c>
      <c r="H259" t="s">
        <v>31</v>
      </c>
      <c r="I259" t="s">
        <v>32</v>
      </c>
    </row>
    <row r="260" spans="1:9" x14ac:dyDescent="0.25">
      <c r="A260" t="s">
        <v>2589</v>
      </c>
      <c r="B260" t="s">
        <v>2585</v>
      </c>
      <c r="C260" t="s">
        <v>2586</v>
      </c>
      <c r="D260" s="2" t="s">
        <v>2586</v>
      </c>
      <c r="E260" t="s">
        <v>81</v>
      </c>
      <c r="F260" t="s">
        <v>103</v>
      </c>
      <c r="G260" t="s">
        <v>31</v>
      </c>
      <c r="H260" t="s">
        <v>31</v>
      </c>
      <c r="I260" t="s">
        <v>32</v>
      </c>
    </row>
    <row r="261" spans="1:9" x14ac:dyDescent="0.25">
      <c r="A261" t="s">
        <v>2590</v>
      </c>
      <c r="B261" t="s">
        <v>2585</v>
      </c>
      <c r="C261" t="s">
        <v>2586</v>
      </c>
      <c r="D261" s="2" t="s">
        <v>2587</v>
      </c>
      <c r="E261" t="s">
        <v>81</v>
      </c>
      <c r="F261" t="s">
        <v>103</v>
      </c>
      <c r="G261" t="s">
        <v>31</v>
      </c>
      <c r="H261" t="s">
        <v>31</v>
      </c>
      <c r="I261" t="s">
        <v>32</v>
      </c>
    </row>
    <row r="262" spans="1:9" x14ac:dyDescent="0.25">
      <c r="A262" t="s">
        <v>2591</v>
      </c>
      <c r="B262" t="s">
        <v>2585</v>
      </c>
      <c r="C262" t="s">
        <v>2586</v>
      </c>
      <c r="D262" s="2" t="s">
        <v>103</v>
      </c>
      <c r="E262" t="s">
        <v>81</v>
      </c>
      <c r="F262" t="s">
        <v>103</v>
      </c>
      <c r="G262" t="s">
        <v>31</v>
      </c>
      <c r="H262" t="s">
        <v>31</v>
      </c>
      <c r="I262" t="s">
        <v>32</v>
      </c>
    </row>
    <row r="263" spans="1:9" x14ac:dyDescent="0.25">
      <c r="A263" t="s">
        <v>2592</v>
      </c>
      <c r="B263" t="s">
        <v>2585</v>
      </c>
      <c r="C263" t="s">
        <v>2586</v>
      </c>
      <c r="D263" s="2">
        <v>0</v>
      </c>
      <c r="E263" t="s">
        <v>30</v>
      </c>
      <c r="F263" t="s">
        <v>103</v>
      </c>
      <c r="G263">
        <v>0</v>
      </c>
      <c r="H263">
        <v>1</v>
      </c>
      <c r="I263" t="s">
        <v>32</v>
      </c>
    </row>
    <row r="264" spans="1:9" x14ac:dyDescent="0.25">
      <c r="A264" t="s">
        <v>2593</v>
      </c>
      <c r="B264" t="s">
        <v>2585</v>
      </c>
      <c r="C264" t="s">
        <v>2586</v>
      </c>
      <c r="D264" s="2">
        <v>1</v>
      </c>
      <c r="E264" t="s">
        <v>30</v>
      </c>
      <c r="F264" t="s">
        <v>103</v>
      </c>
      <c r="G264">
        <v>0</v>
      </c>
      <c r="H264">
        <v>1</v>
      </c>
      <c r="I264" t="s">
        <v>32</v>
      </c>
    </row>
    <row r="265" spans="1:9" x14ac:dyDescent="0.25">
      <c r="A265" t="s">
        <v>2594</v>
      </c>
      <c r="B265" t="s">
        <v>2585</v>
      </c>
      <c r="C265" t="s">
        <v>2586</v>
      </c>
      <c r="D265" s="2" t="b">
        <v>0</v>
      </c>
      <c r="E265" t="s">
        <v>88</v>
      </c>
      <c r="F265" t="s">
        <v>103</v>
      </c>
      <c r="G265" t="s">
        <v>31</v>
      </c>
      <c r="H265" t="s">
        <v>31</v>
      </c>
      <c r="I265" t="s">
        <v>32</v>
      </c>
    </row>
    <row r="266" spans="1:9" x14ac:dyDescent="0.25">
      <c r="A266" t="s">
        <v>2595</v>
      </c>
      <c r="B266" t="s">
        <v>2596</v>
      </c>
      <c r="C266" t="s">
        <v>2597</v>
      </c>
      <c r="D266" s="3">
        <v>0.95</v>
      </c>
      <c r="E266" t="s">
        <v>30</v>
      </c>
      <c r="F266" t="s">
        <v>103</v>
      </c>
      <c r="G266">
        <v>0</v>
      </c>
      <c r="H266">
        <v>1</v>
      </c>
      <c r="I266" t="s">
        <v>2598</v>
      </c>
    </row>
    <row r="267" spans="1:9" x14ac:dyDescent="0.25">
      <c r="A267" t="s">
        <v>2599</v>
      </c>
      <c r="B267" t="s">
        <v>2596</v>
      </c>
      <c r="C267" t="s">
        <v>2597</v>
      </c>
      <c r="D267" s="2" t="s">
        <v>2236</v>
      </c>
      <c r="E267" t="s">
        <v>81</v>
      </c>
      <c r="F267" t="s">
        <v>103</v>
      </c>
      <c r="G267" t="s">
        <v>31</v>
      </c>
      <c r="H267" t="s">
        <v>31</v>
      </c>
      <c r="I267" t="s">
        <v>32</v>
      </c>
    </row>
    <row r="268" spans="1:9" x14ac:dyDescent="0.25">
      <c r="A268" t="s">
        <v>2600</v>
      </c>
      <c r="B268" t="s">
        <v>2596</v>
      </c>
      <c r="C268" t="s">
        <v>2597</v>
      </c>
      <c r="D268" s="2" t="s">
        <v>2597</v>
      </c>
      <c r="E268" t="s">
        <v>81</v>
      </c>
      <c r="F268" t="s">
        <v>103</v>
      </c>
      <c r="G268" t="s">
        <v>31</v>
      </c>
      <c r="H268" t="s">
        <v>31</v>
      </c>
      <c r="I268" t="s">
        <v>32</v>
      </c>
    </row>
    <row r="269" spans="1:9" x14ac:dyDescent="0.25">
      <c r="A269" t="s">
        <v>2601</v>
      </c>
      <c r="B269" t="s">
        <v>2596</v>
      </c>
      <c r="C269" t="s">
        <v>2597</v>
      </c>
      <c r="D269" s="2" t="s">
        <v>2598</v>
      </c>
      <c r="E269" t="s">
        <v>81</v>
      </c>
      <c r="F269" t="s">
        <v>103</v>
      </c>
      <c r="G269" t="s">
        <v>31</v>
      </c>
      <c r="H269" t="s">
        <v>31</v>
      </c>
      <c r="I269" t="s">
        <v>32</v>
      </c>
    </row>
    <row r="270" spans="1:9" x14ac:dyDescent="0.25">
      <c r="A270" t="s">
        <v>2602</v>
      </c>
      <c r="B270" t="s">
        <v>2596</v>
      </c>
      <c r="C270" t="s">
        <v>2597</v>
      </c>
      <c r="D270" s="2" t="s">
        <v>103</v>
      </c>
      <c r="E270" t="s">
        <v>81</v>
      </c>
      <c r="F270" t="s">
        <v>103</v>
      </c>
      <c r="G270" t="s">
        <v>31</v>
      </c>
      <c r="H270" t="s">
        <v>31</v>
      </c>
      <c r="I270" t="s">
        <v>32</v>
      </c>
    </row>
    <row r="271" spans="1:9" x14ac:dyDescent="0.25">
      <c r="A271" t="s">
        <v>2603</v>
      </c>
      <c r="B271" t="s">
        <v>2596</v>
      </c>
      <c r="C271" t="s">
        <v>2597</v>
      </c>
      <c r="D271" s="2">
        <v>0</v>
      </c>
      <c r="E271" t="s">
        <v>30</v>
      </c>
      <c r="F271" t="s">
        <v>103</v>
      </c>
      <c r="G271">
        <v>0</v>
      </c>
      <c r="H271">
        <v>1</v>
      </c>
      <c r="I271" t="s">
        <v>32</v>
      </c>
    </row>
    <row r="272" spans="1:9" x14ac:dyDescent="0.25">
      <c r="A272" t="s">
        <v>2604</v>
      </c>
      <c r="B272" t="s">
        <v>2596</v>
      </c>
      <c r="C272" t="s">
        <v>2597</v>
      </c>
      <c r="D272" s="2">
        <v>1</v>
      </c>
      <c r="E272" t="s">
        <v>30</v>
      </c>
      <c r="F272" t="s">
        <v>103</v>
      </c>
      <c r="G272">
        <v>0</v>
      </c>
      <c r="H272">
        <v>1</v>
      </c>
      <c r="I272" t="s">
        <v>32</v>
      </c>
    </row>
    <row r="273" spans="1:9" x14ac:dyDescent="0.25">
      <c r="A273" t="s">
        <v>2605</v>
      </c>
      <c r="B273" t="s">
        <v>2596</v>
      </c>
      <c r="C273" t="s">
        <v>2597</v>
      </c>
      <c r="D273" s="2" t="b">
        <v>0</v>
      </c>
      <c r="E273" t="s">
        <v>88</v>
      </c>
      <c r="F273" t="s">
        <v>103</v>
      </c>
      <c r="G273" t="s">
        <v>31</v>
      </c>
      <c r="H273" t="s">
        <v>31</v>
      </c>
      <c r="I273" t="s">
        <v>32</v>
      </c>
    </row>
    <row r="274" spans="1:9" x14ac:dyDescent="0.25">
      <c r="A274" t="s">
        <v>2606</v>
      </c>
      <c r="B274" t="s">
        <v>2607</v>
      </c>
      <c r="C274" t="s">
        <v>2608</v>
      </c>
      <c r="D274" s="3">
        <v>2</v>
      </c>
      <c r="E274" t="s">
        <v>30</v>
      </c>
      <c r="F274" t="s">
        <v>77</v>
      </c>
      <c r="G274">
        <v>2</v>
      </c>
      <c r="H274">
        <v>2</v>
      </c>
      <c r="I274" t="s">
        <v>2609</v>
      </c>
    </row>
    <row r="275" spans="1:9" x14ac:dyDescent="0.25">
      <c r="A275" t="s">
        <v>2610</v>
      </c>
      <c r="B275" t="s">
        <v>2607</v>
      </c>
      <c r="C275" t="s">
        <v>2608</v>
      </c>
      <c r="D275" s="2" t="s">
        <v>2236</v>
      </c>
      <c r="E275" t="s">
        <v>81</v>
      </c>
      <c r="F275" t="s">
        <v>77</v>
      </c>
      <c r="G275" t="s">
        <v>31</v>
      </c>
      <c r="H275" t="s">
        <v>31</v>
      </c>
      <c r="I275" t="s">
        <v>32</v>
      </c>
    </row>
    <row r="276" spans="1:9" x14ac:dyDescent="0.25">
      <c r="A276" t="s">
        <v>2611</v>
      </c>
      <c r="B276" t="s">
        <v>2607</v>
      </c>
      <c r="C276" t="s">
        <v>2608</v>
      </c>
      <c r="D276" s="2" t="s">
        <v>2608</v>
      </c>
      <c r="E276" t="s">
        <v>81</v>
      </c>
      <c r="F276" t="s">
        <v>77</v>
      </c>
      <c r="G276" t="s">
        <v>31</v>
      </c>
      <c r="H276" t="s">
        <v>31</v>
      </c>
      <c r="I276" t="s">
        <v>32</v>
      </c>
    </row>
    <row r="277" spans="1:9" x14ac:dyDescent="0.25">
      <c r="A277" t="s">
        <v>2612</v>
      </c>
      <c r="B277" t="s">
        <v>2607</v>
      </c>
      <c r="C277" t="s">
        <v>2608</v>
      </c>
      <c r="D277" s="2" t="s">
        <v>2609</v>
      </c>
      <c r="E277" t="s">
        <v>81</v>
      </c>
      <c r="F277" t="s">
        <v>77</v>
      </c>
      <c r="G277" t="s">
        <v>31</v>
      </c>
      <c r="H277" t="s">
        <v>31</v>
      </c>
      <c r="I277" t="s">
        <v>32</v>
      </c>
    </row>
    <row r="278" spans="1:9" x14ac:dyDescent="0.25">
      <c r="A278" t="s">
        <v>2613</v>
      </c>
      <c r="B278" t="s">
        <v>2607</v>
      </c>
      <c r="C278" t="s">
        <v>2608</v>
      </c>
      <c r="D278" s="2" t="s">
        <v>77</v>
      </c>
      <c r="E278" t="s">
        <v>81</v>
      </c>
      <c r="F278" t="s">
        <v>77</v>
      </c>
      <c r="G278" t="s">
        <v>31</v>
      </c>
      <c r="H278" t="s">
        <v>31</v>
      </c>
      <c r="I278" t="s">
        <v>32</v>
      </c>
    </row>
    <row r="279" spans="1:9" x14ac:dyDescent="0.25">
      <c r="A279" t="s">
        <v>2614</v>
      </c>
      <c r="B279" t="s">
        <v>2607</v>
      </c>
      <c r="C279" t="s">
        <v>2608</v>
      </c>
      <c r="D279" s="2">
        <v>0</v>
      </c>
      <c r="E279" t="s">
        <v>30</v>
      </c>
      <c r="F279" t="s">
        <v>77</v>
      </c>
      <c r="G279">
        <v>0</v>
      </c>
      <c r="H279">
        <v>0</v>
      </c>
      <c r="I279" t="s">
        <v>32</v>
      </c>
    </row>
    <row r="280" spans="1:9" x14ac:dyDescent="0.25">
      <c r="A280" t="s">
        <v>2615</v>
      </c>
      <c r="B280" t="s">
        <v>2607</v>
      </c>
      <c r="C280" t="s">
        <v>2608</v>
      </c>
      <c r="D280" s="2">
        <v>100</v>
      </c>
      <c r="E280" t="s">
        <v>30</v>
      </c>
      <c r="F280" t="s">
        <v>77</v>
      </c>
      <c r="G280">
        <v>100</v>
      </c>
      <c r="H280">
        <v>100</v>
      </c>
      <c r="I280" t="s">
        <v>32</v>
      </c>
    </row>
    <row r="281" spans="1:9" x14ac:dyDescent="0.25">
      <c r="A281" t="s">
        <v>2616</v>
      </c>
      <c r="B281" t="s">
        <v>2607</v>
      </c>
      <c r="C281" t="s">
        <v>2608</v>
      </c>
      <c r="D281" s="2" t="b">
        <v>1</v>
      </c>
      <c r="E281" t="s">
        <v>88</v>
      </c>
      <c r="F281" t="s">
        <v>77</v>
      </c>
      <c r="G281" t="s">
        <v>31</v>
      </c>
      <c r="H281" t="s">
        <v>31</v>
      </c>
      <c r="I281" t="s">
        <v>32</v>
      </c>
    </row>
    <row r="282" spans="1:9" x14ac:dyDescent="0.25">
      <c r="A282" t="s">
        <v>2617</v>
      </c>
      <c r="B282" t="s">
        <v>2618</v>
      </c>
      <c r="C282" t="s">
        <v>2619</v>
      </c>
      <c r="D282" s="3">
        <v>3</v>
      </c>
      <c r="E282" t="s">
        <v>30</v>
      </c>
      <c r="F282" t="s">
        <v>77</v>
      </c>
      <c r="G282">
        <v>3</v>
      </c>
      <c r="H282">
        <v>3</v>
      </c>
      <c r="I282" t="s">
        <v>2620</v>
      </c>
    </row>
    <row r="283" spans="1:9" x14ac:dyDescent="0.25">
      <c r="A283" t="s">
        <v>2621</v>
      </c>
      <c r="B283" t="s">
        <v>2618</v>
      </c>
      <c r="C283" t="s">
        <v>2619</v>
      </c>
      <c r="D283" s="2" t="s">
        <v>2236</v>
      </c>
      <c r="E283" t="s">
        <v>81</v>
      </c>
      <c r="F283" t="s">
        <v>77</v>
      </c>
      <c r="G283" t="s">
        <v>31</v>
      </c>
      <c r="H283" t="s">
        <v>31</v>
      </c>
      <c r="I283" t="s">
        <v>32</v>
      </c>
    </row>
    <row r="284" spans="1:9" x14ac:dyDescent="0.25">
      <c r="A284" t="s">
        <v>2622</v>
      </c>
      <c r="B284" t="s">
        <v>2618</v>
      </c>
      <c r="C284" t="s">
        <v>2619</v>
      </c>
      <c r="D284" s="2" t="s">
        <v>2619</v>
      </c>
      <c r="E284" t="s">
        <v>81</v>
      </c>
      <c r="F284" t="s">
        <v>77</v>
      </c>
      <c r="G284" t="s">
        <v>31</v>
      </c>
      <c r="H284" t="s">
        <v>31</v>
      </c>
      <c r="I284" t="s">
        <v>32</v>
      </c>
    </row>
    <row r="285" spans="1:9" x14ac:dyDescent="0.25">
      <c r="A285" t="s">
        <v>2623</v>
      </c>
      <c r="B285" t="s">
        <v>2618</v>
      </c>
      <c r="C285" t="s">
        <v>2619</v>
      </c>
      <c r="D285" s="2" t="s">
        <v>2620</v>
      </c>
      <c r="E285" t="s">
        <v>81</v>
      </c>
      <c r="F285" t="s">
        <v>77</v>
      </c>
      <c r="G285" t="s">
        <v>31</v>
      </c>
      <c r="H285" t="s">
        <v>31</v>
      </c>
      <c r="I285" t="s">
        <v>32</v>
      </c>
    </row>
    <row r="286" spans="1:9" x14ac:dyDescent="0.25">
      <c r="A286" t="s">
        <v>2624</v>
      </c>
      <c r="B286" t="s">
        <v>2618</v>
      </c>
      <c r="C286" t="s">
        <v>2619</v>
      </c>
      <c r="D286" s="2" t="s">
        <v>77</v>
      </c>
      <c r="E286" t="s">
        <v>81</v>
      </c>
      <c r="F286" t="s">
        <v>77</v>
      </c>
      <c r="G286" t="s">
        <v>31</v>
      </c>
      <c r="H286" t="s">
        <v>31</v>
      </c>
      <c r="I286" t="s">
        <v>32</v>
      </c>
    </row>
    <row r="287" spans="1:9" x14ac:dyDescent="0.25">
      <c r="A287" t="s">
        <v>2625</v>
      </c>
      <c r="B287" t="s">
        <v>2618</v>
      </c>
      <c r="C287" t="s">
        <v>2619</v>
      </c>
      <c r="D287" s="2">
        <v>0</v>
      </c>
      <c r="E287" t="s">
        <v>30</v>
      </c>
      <c r="F287" t="s">
        <v>77</v>
      </c>
      <c r="G287">
        <v>0</v>
      </c>
      <c r="H287">
        <v>0</v>
      </c>
      <c r="I287" t="s">
        <v>32</v>
      </c>
    </row>
    <row r="288" spans="1:9" x14ac:dyDescent="0.25">
      <c r="A288" t="s">
        <v>2626</v>
      </c>
      <c r="B288" t="s">
        <v>2618</v>
      </c>
      <c r="C288" t="s">
        <v>2619</v>
      </c>
      <c r="D288" s="2">
        <v>100</v>
      </c>
      <c r="E288" t="s">
        <v>30</v>
      </c>
      <c r="F288" t="s">
        <v>77</v>
      </c>
      <c r="G288">
        <v>100</v>
      </c>
      <c r="H288">
        <v>100</v>
      </c>
      <c r="I288" t="s">
        <v>32</v>
      </c>
    </row>
    <row r="289" spans="1:9" x14ac:dyDescent="0.25">
      <c r="A289" t="s">
        <v>2627</v>
      </c>
      <c r="B289" t="s">
        <v>2618</v>
      </c>
      <c r="C289" t="s">
        <v>2619</v>
      </c>
      <c r="D289" s="2" t="b">
        <v>1</v>
      </c>
      <c r="E289" t="s">
        <v>88</v>
      </c>
      <c r="F289" t="s">
        <v>77</v>
      </c>
      <c r="G289" t="s">
        <v>31</v>
      </c>
      <c r="H289" t="s">
        <v>31</v>
      </c>
      <c r="I289" t="s">
        <v>32</v>
      </c>
    </row>
    <row r="290" spans="1:9" x14ac:dyDescent="0.25">
      <c r="A290" t="s">
        <v>2628</v>
      </c>
      <c r="B290" t="s">
        <v>2629</v>
      </c>
      <c r="C290" t="s">
        <v>2630</v>
      </c>
      <c r="D290" s="3">
        <v>2</v>
      </c>
      <c r="E290" t="s">
        <v>30</v>
      </c>
      <c r="F290" t="s">
        <v>77</v>
      </c>
      <c r="G290">
        <v>2</v>
      </c>
      <c r="H290">
        <v>2</v>
      </c>
      <c r="I290" t="s">
        <v>2631</v>
      </c>
    </row>
    <row r="291" spans="1:9" x14ac:dyDescent="0.25">
      <c r="A291" t="s">
        <v>2632</v>
      </c>
      <c r="B291" t="s">
        <v>2629</v>
      </c>
      <c r="C291" t="s">
        <v>2630</v>
      </c>
      <c r="D291" s="2" t="s">
        <v>2236</v>
      </c>
      <c r="E291" t="s">
        <v>81</v>
      </c>
      <c r="F291" t="s">
        <v>77</v>
      </c>
      <c r="G291" t="s">
        <v>31</v>
      </c>
      <c r="H291" t="s">
        <v>31</v>
      </c>
      <c r="I291" t="s">
        <v>32</v>
      </c>
    </row>
    <row r="292" spans="1:9" x14ac:dyDescent="0.25">
      <c r="A292" t="s">
        <v>2633</v>
      </c>
      <c r="B292" t="s">
        <v>2629</v>
      </c>
      <c r="C292" t="s">
        <v>2630</v>
      </c>
      <c r="D292" s="2" t="s">
        <v>2630</v>
      </c>
      <c r="E292" t="s">
        <v>81</v>
      </c>
      <c r="F292" t="s">
        <v>77</v>
      </c>
      <c r="G292" t="s">
        <v>31</v>
      </c>
      <c r="H292" t="s">
        <v>31</v>
      </c>
      <c r="I292" t="s">
        <v>32</v>
      </c>
    </row>
    <row r="293" spans="1:9" x14ac:dyDescent="0.25">
      <c r="A293" t="s">
        <v>2634</v>
      </c>
      <c r="B293" t="s">
        <v>2629</v>
      </c>
      <c r="C293" t="s">
        <v>2630</v>
      </c>
      <c r="D293" s="2" t="s">
        <v>2631</v>
      </c>
      <c r="E293" t="s">
        <v>81</v>
      </c>
      <c r="F293" t="s">
        <v>77</v>
      </c>
      <c r="G293" t="s">
        <v>31</v>
      </c>
      <c r="H293" t="s">
        <v>31</v>
      </c>
      <c r="I293" t="s">
        <v>32</v>
      </c>
    </row>
    <row r="294" spans="1:9" x14ac:dyDescent="0.25">
      <c r="A294" t="s">
        <v>2635</v>
      </c>
      <c r="B294" t="s">
        <v>2629</v>
      </c>
      <c r="C294" t="s">
        <v>2630</v>
      </c>
      <c r="D294" s="2" t="s">
        <v>77</v>
      </c>
      <c r="E294" t="s">
        <v>81</v>
      </c>
      <c r="F294" t="s">
        <v>77</v>
      </c>
      <c r="G294" t="s">
        <v>31</v>
      </c>
      <c r="H294" t="s">
        <v>31</v>
      </c>
      <c r="I294" t="s">
        <v>32</v>
      </c>
    </row>
    <row r="295" spans="1:9" x14ac:dyDescent="0.25">
      <c r="A295" t="s">
        <v>2636</v>
      </c>
      <c r="B295" t="s">
        <v>2629</v>
      </c>
      <c r="C295" t="s">
        <v>2630</v>
      </c>
      <c r="D295" s="2">
        <v>0</v>
      </c>
      <c r="E295" t="s">
        <v>30</v>
      </c>
      <c r="F295" t="s">
        <v>77</v>
      </c>
      <c r="G295">
        <v>0</v>
      </c>
      <c r="H295">
        <v>0</v>
      </c>
      <c r="I295" t="s">
        <v>32</v>
      </c>
    </row>
    <row r="296" spans="1:9" x14ac:dyDescent="0.25">
      <c r="A296" t="s">
        <v>2637</v>
      </c>
      <c r="B296" t="s">
        <v>2629</v>
      </c>
      <c r="C296" t="s">
        <v>2630</v>
      </c>
      <c r="D296" s="2">
        <v>100</v>
      </c>
      <c r="E296" t="s">
        <v>30</v>
      </c>
      <c r="F296" t="s">
        <v>77</v>
      </c>
      <c r="G296">
        <v>100</v>
      </c>
      <c r="H296">
        <v>100</v>
      </c>
      <c r="I296" t="s">
        <v>32</v>
      </c>
    </row>
    <row r="297" spans="1:9" x14ac:dyDescent="0.25">
      <c r="A297" t="s">
        <v>2638</v>
      </c>
      <c r="B297" t="s">
        <v>2629</v>
      </c>
      <c r="C297" t="s">
        <v>2630</v>
      </c>
      <c r="D297" s="2" t="b">
        <v>1</v>
      </c>
      <c r="E297" t="s">
        <v>88</v>
      </c>
      <c r="F297" t="s">
        <v>77</v>
      </c>
      <c r="G297" t="s">
        <v>31</v>
      </c>
      <c r="H297" t="s">
        <v>31</v>
      </c>
      <c r="I297" t="s">
        <v>32</v>
      </c>
    </row>
    <row r="298" spans="1:9" x14ac:dyDescent="0.25">
      <c r="A298" t="s">
        <v>2639</v>
      </c>
      <c r="B298" t="s">
        <v>2640</v>
      </c>
      <c r="C298" t="s">
        <v>2641</v>
      </c>
      <c r="D298" s="3">
        <v>2</v>
      </c>
      <c r="E298" t="s">
        <v>30</v>
      </c>
      <c r="F298" t="s">
        <v>77</v>
      </c>
      <c r="G298">
        <v>2</v>
      </c>
      <c r="H298">
        <v>2</v>
      </c>
      <c r="I298" t="s">
        <v>2642</v>
      </c>
    </row>
    <row r="299" spans="1:9" x14ac:dyDescent="0.25">
      <c r="A299" t="s">
        <v>2643</v>
      </c>
      <c r="B299" t="s">
        <v>2640</v>
      </c>
      <c r="C299" t="s">
        <v>2641</v>
      </c>
      <c r="D299" s="2" t="s">
        <v>2236</v>
      </c>
      <c r="E299" t="s">
        <v>81</v>
      </c>
      <c r="F299" t="s">
        <v>77</v>
      </c>
      <c r="G299" t="s">
        <v>31</v>
      </c>
      <c r="H299" t="s">
        <v>31</v>
      </c>
      <c r="I299" t="s">
        <v>32</v>
      </c>
    </row>
    <row r="300" spans="1:9" x14ac:dyDescent="0.25">
      <c r="A300" t="s">
        <v>2644</v>
      </c>
      <c r="B300" t="s">
        <v>2640</v>
      </c>
      <c r="C300" t="s">
        <v>2641</v>
      </c>
      <c r="D300" s="2" t="s">
        <v>2641</v>
      </c>
      <c r="E300" t="s">
        <v>81</v>
      </c>
      <c r="F300" t="s">
        <v>77</v>
      </c>
      <c r="G300" t="s">
        <v>31</v>
      </c>
      <c r="H300" t="s">
        <v>31</v>
      </c>
      <c r="I300" t="s">
        <v>32</v>
      </c>
    </row>
    <row r="301" spans="1:9" x14ac:dyDescent="0.25">
      <c r="A301" t="s">
        <v>2645</v>
      </c>
      <c r="B301" t="s">
        <v>2640</v>
      </c>
      <c r="C301" t="s">
        <v>2641</v>
      </c>
      <c r="D301" s="2" t="s">
        <v>2642</v>
      </c>
      <c r="E301" t="s">
        <v>81</v>
      </c>
      <c r="F301" t="s">
        <v>77</v>
      </c>
      <c r="G301" t="s">
        <v>31</v>
      </c>
      <c r="H301" t="s">
        <v>31</v>
      </c>
      <c r="I301" t="s">
        <v>32</v>
      </c>
    </row>
    <row r="302" spans="1:9" x14ac:dyDescent="0.25">
      <c r="A302" t="s">
        <v>2646</v>
      </c>
      <c r="B302" t="s">
        <v>2640</v>
      </c>
      <c r="C302" t="s">
        <v>2641</v>
      </c>
      <c r="D302" s="2" t="s">
        <v>77</v>
      </c>
      <c r="E302" t="s">
        <v>81</v>
      </c>
      <c r="F302" t="s">
        <v>77</v>
      </c>
      <c r="G302" t="s">
        <v>31</v>
      </c>
      <c r="H302" t="s">
        <v>31</v>
      </c>
      <c r="I302" t="s">
        <v>32</v>
      </c>
    </row>
    <row r="303" spans="1:9" x14ac:dyDescent="0.25">
      <c r="A303" t="s">
        <v>2647</v>
      </c>
      <c r="B303" t="s">
        <v>2640</v>
      </c>
      <c r="C303" t="s">
        <v>2641</v>
      </c>
      <c r="D303" s="2">
        <v>0</v>
      </c>
      <c r="E303" t="s">
        <v>30</v>
      </c>
      <c r="F303" t="s">
        <v>77</v>
      </c>
      <c r="G303">
        <v>0</v>
      </c>
      <c r="H303">
        <v>0</v>
      </c>
      <c r="I303" t="s">
        <v>32</v>
      </c>
    </row>
    <row r="304" spans="1:9" x14ac:dyDescent="0.25">
      <c r="A304" t="s">
        <v>2648</v>
      </c>
      <c r="B304" t="s">
        <v>2640</v>
      </c>
      <c r="C304" t="s">
        <v>2641</v>
      </c>
      <c r="D304" s="2">
        <v>100</v>
      </c>
      <c r="E304" t="s">
        <v>30</v>
      </c>
      <c r="F304" t="s">
        <v>77</v>
      </c>
      <c r="G304">
        <v>100</v>
      </c>
      <c r="H304">
        <v>100</v>
      </c>
      <c r="I304" t="s">
        <v>32</v>
      </c>
    </row>
    <row r="305" spans="1:9" x14ac:dyDescent="0.25">
      <c r="A305" t="s">
        <v>2649</v>
      </c>
      <c r="B305" t="s">
        <v>2640</v>
      </c>
      <c r="C305" t="s">
        <v>2641</v>
      </c>
      <c r="D305" s="2" t="b">
        <v>1</v>
      </c>
      <c r="E305" t="s">
        <v>88</v>
      </c>
      <c r="F305" t="s">
        <v>77</v>
      </c>
      <c r="G305" t="s">
        <v>31</v>
      </c>
      <c r="H305" t="s">
        <v>31</v>
      </c>
      <c r="I305" t="s">
        <v>32</v>
      </c>
    </row>
    <row r="306" spans="1:9" x14ac:dyDescent="0.25">
      <c r="A306" t="s">
        <v>2650</v>
      </c>
      <c r="B306" t="s">
        <v>2651</v>
      </c>
      <c r="C306" t="s">
        <v>2652</v>
      </c>
      <c r="D306" s="3">
        <v>2</v>
      </c>
      <c r="E306" t="s">
        <v>30</v>
      </c>
      <c r="F306" t="s">
        <v>77</v>
      </c>
      <c r="G306">
        <v>2</v>
      </c>
      <c r="H306">
        <v>2</v>
      </c>
      <c r="I306" t="s">
        <v>2653</v>
      </c>
    </row>
    <row r="307" spans="1:9" x14ac:dyDescent="0.25">
      <c r="A307" t="s">
        <v>2654</v>
      </c>
      <c r="B307" t="s">
        <v>2651</v>
      </c>
      <c r="C307" t="s">
        <v>2652</v>
      </c>
      <c r="D307" s="2" t="s">
        <v>2236</v>
      </c>
      <c r="E307" t="s">
        <v>81</v>
      </c>
      <c r="F307" t="s">
        <v>77</v>
      </c>
      <c r="G307" t="s">
        <v>31</v>
      </c>
      <c r="H307" t="s">
        <v>31</v>
      </c>
      <c r="I307" t="s">
        <v>32</v>
      </c>
    </row>
    <row r="308" spans="1:9" x14ac:dyDescent="0.25">
      <c r="A308" t="s">
        <v>2655</v>
      </c>
      <c r="B308" t="s">
        <v>2651</v>
      </c>
      <c r="C308" t="s">
        <v>2652</v>
      </c>
      <c r="D308" s="2" t="s">
        <v>2652</v>
      </c>
      <c r="E308" t="s">
        <v>81</v>
      </c>
      <c r="F308" t="s">
        <v>77</v>
      </c>
      <c r="G308" t="s">
        <v>31</v>
      </c>
      <c r="H308" t="s">
        <v>31</v>
      </c>
      <c r="I308" t="s">
        <v>32</v>
      </c>
    </row>
    <row r="309" spans="1:9" x14ac:dyDescent="0.25">
      <c r="A309" t="s">
        <v>2656</v>
      </c>
      <c r="B309" t="s">
        <v>2651</v>
      </c>
      <c r="C309" t="s">
        <v>2652</v>
      </c>
      <c r="D309" s="2" t="s">
        <v>2653</v>
      </c>
      <c r="E309" t="s">
        <v>81</v>
      </c>
      <c r="F309" t="s">
        <v>77</v>
      </c>
      <c r="G309" t="s">
        <v>31</v>
      </c>
      <c r="H309" t="s">
        <v>31</v>
      </c>
      <c r="I309" t="s">
        <v>32</v>
      </c>
    </row>
    <row r="310" spans="1:9" x14ac:dyDescent="0.25">
      <c r="A310" t="s">
        <v>2657</v>
      </c>
      <c r="B310" t="s">
        <v>2651</v>
      </c>
      <c r="C310" t="s">
        <v>2652</v>
      </c>
      <c r="D310" s="2" t="s">
        <v>77</v>
      </c>
      <c r="E310" t="s">
        <v>81</v>
      </c>
      <c r="F310" t="s">
        <v>77</v>
      </c>
      <c r="G310" t="s">
        <v>31</v>
      </c>
      <c r="H310" t="s">
        <v>31</v>
      </c>
      <c r="I310" t="s">
        <v>32</v>
      </c>
    </row>
    <row r="311" spans="1:9" x14ac:dyDescent="0.25">
      <c r="A311" t="s">
        <v>2658</v>
      </c>
      <c r="B311" t="s">
        <v>2651</v>
      </c>
      <c r="C311" t="s">
        <v>2652</v>
      </c>
      <c r="D311" s="2">
        <v>0</v>
      </c>
      <c r="E311" t="s">
        <v>30</v>
      </c>
      <c r="F311" t="s">
        <v>77</v>
      </c>
      <c r="G311">
        <v>0</v>
      </c>
      <c r="H311">
        <v>0</v>
      </c>
      <c r="I311" t="s">
        <v>32</v>
      </c>
    </row>
    <row r="312" spans="1:9" x14ac:dyDescent="0.25">
      <c r="A312" t="s">
        <v>2659</v>
      </c>
      <c r="B312" t="s">
        <v>2651</v>
      </c>
      <c r="C312" t="s">
        <v>2652</v>
      </c>
      <c r="D312" s="2">
        <v>100</v>
      </c>
      <c r="E312" t="s">
        <v>30</v>
      </c>
      <c r="F312" t="s">
        <v>77</v>
      </c>
      <c r="G312">
        <v>100</v>
      </c>
      <c r="H312">
        <v>100</v>
      </c>
      <c r="I312" t="s">
        <v>32</v>
      </c>
    </row>
    <row r="313" spans="1:9" x14ac:dyDescent="0.25">
      <c r="A313" t="s">
        <v>2660</v>
      </c>
      <c r="B313" t="s">
        <v>2651</v>
      </c>
      <c r="C313" t="s">
        <v>2652</v>
      </c>
      <c r="D313" s="2" t="b">
        <v>1</v>
      </c>
      <c r="E313" t="s">
        <v>88</v>
      </c>
      <c r="F313" t="s">
        <v>77</v>
      </c>
      <c r="G313" t="s">
        <v>31</v>
      </c>
      <c r="H313" t="s">
        <v>31</v>
      </c>
      <c r="I313" t="s">
        <v>32</v>
      </c>
    </row>
    <row r="314" spans="1:9" x14ac:dyDescent="0.25">
      <c r="A314" t="s">
        <v>2661</v>
      </c>
      <c r="B314" t="s">
        <v>2662</v>
      </c>
      <c r="C314" t="s">
        <v>2663</v>
      </c>
      <c r="D314" s="3">
        <v>0.3</v>
      </c>
      <c r="E314" t="s">
        <v>30</v>
      </c>
      <c r="F314" t="s">
        <v>103</v>
      </c>
      <c r="G314">
        <v>0</v>
      </c>
      <c r="H314">
        <v>1</v>
      </c>
      <c r="I314" t="s">
        <v>2664</v>
      </c>
    </row>
    <row r="315" spans="1:9" x14ac:dyDescent="0.25">
      <c r="A315" t="s">
        <v>2665</v>
      </c>
      <c r="B315" t="s">
        <v>2662</v>
      </c>
      <c r="C315" t="s">
        <v>2663</v>
      </c>
      <c r="D315" s="2" t="s">
        <v>2236</v>
      </c>
      <c r="E315" t="s">
        <v>81</v>
      </c>
      <c r="F315" t="s">
        <v>103</v>
      </c>
      <c r="G315" t="s">
        <v>31</v>
      </c>
      <c r="H315" t="s">
        <v>31</v>
      </c>
      <c r="I315" t="s">
        <v>32</v>
      </c>
    </row>
    <row r="316" spans="1:9" x14ac:dyDescent="0.25">
      <c r="A316" t="s">
        <v>2666</v>
      </c>
      <c r="B316" t="s">
        <v>2662</v>
      </c>
      <c r="C316" t="s">
        <v>2663</v>
      </c>
      <c r="D316" s="2" t="s">
        <v>2663</v>
      </c>
      <c r="E316" t="s">
        <v>81</v>
      </c>
      <c r="F316" t="s">
        <v>103</v>
      </c>
      <c r="G316" t="s">
        <v>31</v>
      </c>
      <c r="H316" t="s">
        <v>31</v>
      </c>
      <c r="I316" t="s">
        <v>32</v>
      </c>
    </row>
    <row r="317" spans="1:9" x14ac:dyDescent="0.25">
      <c r="A317" t="s">
        <v>2667</v>
      </c>
      <c r="B317" t="s">
        <v>2662</v>
      </c>
      <c r="C317" t="s">
        <v>2663</v>
      </c>
      <c r="D317" s="2" t="s">
        <v>2664</v>
      </c>
      <c r="E317" t="s">
        <v>81</v>
      </c>
      <c r="F317" t="s">
        <v>103</v>
      </c>
      <c r="G317" t="s">
        <v>31</v>
      </c>
      <c r="H317" t="s">
        <v>31</v>
      </c>
      <c r="I317" t="s">
        <v>32</v>
      </c>
    </row>
    <row r="318" spans="1:9" x14ac:dyDescent="0.25">
      <c r="A318" t="s">
        <v>2668</v>
      </c>
      <c r="B318" t="s">
        <v>2662</v>
      </c>
      <c r="C318" t="s">
        <v>2663</v>
      </c>
      <c r="D318" s="2" t="s">
        <v>103</v>
      </c>
      <c r="E318" t="s">
        <v>81</v>
      </c>
      <c r="F318" t="s">
        <v>103</v>
      </c>
      <c r="G318" t="s">
        <v>31</v>
      </c>
      <c r="H318" t="s">
        <v>31</v>
      </c>
      <c r="I318" t="s">
        <v>32</v>
      </c>
    </row>
    <row r="319" spans="1:9" x14ac:dyDescent="0.25">
      <c r="A319" t="s">
        <v>2669</v>
      </c>
      <c r="B319" t="s">
        <v>2662</v>
      </c>
      <c r="C319" t="s">
        <v>2663</v>
      </c>
      <c r="D319" s="2">
        <v>0</v>
      </c>
      <c r="E319" t="s">
        <v>30</v>
      </c>
      <c r="F319" t="s">
        <v>103</v>
      </c>
      <c r="G319">
        <v>0</v>
      </c>
      <c r="H319">
        <v>1</v>
      </c>
      <c r="I319" t="s">
        <v>32</v>
      </c>
    </row>
    <row r="320" spans="1:9" x14ac:dyDescent="0.25">
      <c r="A320" t="s">
        <v>2670</v>
      </c>
      <c r="B320" t="s">
        <v>2662</v>
      </c>
      <c r="C320" t="s">
        <v>2663</v>
      </c>
      <c r="D320" s="2">
        <v>1</v>
      </c>
      <c r="E320" t="s">
        <v>30</v>
      </c>
      <c r="F320" t="s">
        <v>103</v>
      </c>
      <c r="G320">
        <v>0</v>
      </c>
      <c r="H320">
        <v>1</v>
      </c>
      <c r="I320" t="s">
        <v>32</v>
      </c>
    </row>
    <row r="321" spans="1:9" x14ac:dyDescent="0.25">
      <c r="A321" t="s">
        <v>2671</v>
      </c>
      <c r="B321" t="s">
        <v>2662</v>
      </c>
      <c r="C321" t="s">
        <v>2663</v>
      </c>
      <c r="D321" s="2" t="b">
        <v>0</v>
      </c>
      <c r="E321" t="s">
        <v>88</v>
      </c>
      <c r="F321" t="s">
        <v>103</v>
      </c>
      <c r="G321" t="s">
        <v>31</v>
      </c>
      <c r="H321" t="s">
        <v>31</v>
      </c>
      <c r="I321" t="s">
        <v>32</v>
      </c>
    </row>
    <row r="322" spans="1:9" x14ac:dyDescent="0.25">
      <c r="A322" t="s">
        <v>2672</v>
      </c>
      <c r="B322" t="s">
        <v>2673</v>
      </c>
      <c r="C322" t="s">
        <v>2674</v>
      </c>
      <c r="D322" s="3">
        <v>3</v>
      </c>
      <c r="E322" t="s">
        <v>30</v>
      </c>
      <c r="F322" t="s">
        <v>77</v>
      </c>
      <c r="G322">
        <v>3</v>
      </c>
      <c r="H322">
        <v>3</v>
      </c>
      <c r="I322" t="s">
        <v>2675</v>
      </c>
    </row>
    <row r="323" spans="1:9" x14ac:dyDescent="0.25">
      <c r="A323" t="s">
        <v>2676</v>
      </c>
      <c r="B323" t="s">
        <v>2673</v>
      </c>
      <c r="C323" t="s">
        <v>2674</v>
      </c>
      <c r="D323" s="2" t="s">
        <v>2236</v>
      </c>
      <c r="E323" t="s">
        <v>81</v>
      </c>
      <c r="F323" t="s">
        <v>77</v>
      </c>
      <c r="G323" t="s">
        <v>31</v>
      </c>
      <c r="H323" t="s">
        <v>31</v>
      </c>
      <c r="I323" t="s">
        <v>32</v>
      </c>
    </row>
    <row r="324" spans="1:9" x14ac:dyDescent="0.25">
      <c r="A324" t="s">
        <v>2677</v>
      </c>
      <c r="B324" t="s">
        <v>2673</v>
      </c>
      <c r="C324" t="s">
        <v>2674</v>
      </c>
      <c r="D324" s="2" t="s">
        <v>2674</v>
      </c>
      <c r="E324" t="s">
        <v>81</v>
      </c>
      <c r="F324" t="s">
        <v>77</v>
      </c>
      <c r="G324" t="s">
        <v>31</v>
      </c>
      <c r="H324" t="s">
        <v>31</v>
      </c>
      <c r="I324" t="s">
        <v>32</v>
      </c>
    </row>
    <row r="325" spans="1:9" x14ac:dyDescent="0.25">
      <c r="A325" t="s">
        <v>2678</v>
      </c>
      <c r="B325" t="s">
        <v>2673</v>
      </c>
      <c r="C325" t="s">
        <v>2674</v>
      </c>
      <c r="D325" s="2" t="s">
        <v>2675</v>
      </c>
      <c r="E325" t="s">
        <v>81</v>
      </c>
      <c r="F325" t="s">
        <v>77</v>
      </c>
      <c r="G325" t="s">
        <v>31</v>
      </c>
      <c r="H325" t="s">
        <v>31</v>
      </c>
      <c r="I325" t="s">
        <v>32</v>
      </c>
    </row>
    <row r="326" spans="1:9" x14ac:dyDescent="0.25">
      <c r="A326" t="s">
        <v>2679</v>
      </c>
      <c r="B326" t="s">
        <v>2673</v>
      </c>
      <c r="C326" t="s">
        <v>2674</v>
      </c>
      <c r="D326" s="2" t="s">
        <v>77</v>
      </c>
      <c r="E326" t="s">
        <v>81</v>
      </c>
      <c r="F326" t="s">
        <v>77</v>
      </c>
      <c r="G326" t="s">
        <v>31</v>
      </c>
      <c r="H326" t="s">
        <v>31</v>
      </c>
      <c r="I326" t="s">
        <v>32</v>
      </c>
    </row>
    <row r="327" spans="1:9" x14ac:dyDescent="0.25">
      <c r="A327" t="s">
        <v>2680</v>
      </c>
      <c r="B327" t="s">
        <v>2673</v>
      </c>
      <c r="C327" t="s">
        <v>2674</v>
      </c>
      <c r="D327" s="2">
        <v>0</v>
      </c>
      <c r="E327" t="s">
        <v>30</v>
      </c>
      <c r="F327" t="s">
        <v>77</v>
      </c>
      <c r="G327">
        <v>0</v>
      </c>
      <c r="H327">
        <v>0</v>
      </c>
      <c r="I327" t="s">
        <v>32</v>
      </c>
    </row>
    <row r="328" spans="1:9" x14ac:dyDescent="0.25">
      <c r="A328" t="s">
        <v>2681</v>
      </c>
      <c r="B328" t="s">
        <v>2673</v>
      </c>
      <c r="C328" t="s">
        <v>2674</v>
      </c>
      <c r="D328" s="2">
        <v>100</v>
      </c>
      <c r="E328" t="s">
        <v>30</v>
      </c>
      <c r="F328" t="s">
        <v>77</v>
      </c>
      <c r="G328">
        <v>100</v>
      </c>
      <c r="H328">
        <v>100</v>
      </c>
      <c r="I328" t="s">
        <v>32</v>
      </c>
    </row>
    <row r="329" spans="1:9" x14ac:dyDescent="0.25">
      <c r="A329" t="s">
        <v>2682</v>
      </c>
      <c r="B329" t="s">
        <v>2673</v>
      </c>
      <c r="C329" t="s">
        <v>2674</v>
      </c>
      <c r="D329" s="2" t="b">
        <v>1</v>
      </c>
      <c r="E329" t="s">
        <v>88</v>
      </c>
      <c r="F329" t="s">
        <v>77</v>
      </c>
      <c r="G329" t="s">
        <v>31</v>
      </c>
      <c r="H329" t="s">
        <v>31</v>
      </c>
      <c r="I329" t="s">
        <v>32</v>
      </c>
    </row>
    <row r="330" spans="1:9" x14ac:dyDescent="0.25">
      <c r="A330" t="s">
        <v>2683</v>
      </c>
      <c r="B330" t="s">
        <v>2684</v>
      </c>
      <c r="C330" t="s">
        <v>2685</v>
      </c>
      <c r="D330" s="3">
        <v>2</v>
      </c>
      <c r="E330" t="s">
        <v>30</v>
      </c>
      <c r="F330" t="s">
        <v>77</v>
      </c>
      <c r="G330">
        <v>2</v>
      </c>
      <c r="H330">
        <v>2</v>
      </c>
      <c r="I330" t="s">
        <v>2686</v>
      </c>
    </row>
    <row r="331" spans="1:9" x14ac:dyDescent="0.25">
      <c r="A331" t="s">
        <v>2687</v>
      </c>
      <c r="B331" t="s">
        <v>2684</v>
      </c>
      <c r="C331" t="s">
        <v>2685</v>
      </c>
      <c r="D331" s="2" t="s">
        <v>2236</v>
      </c>
      <c r="E331" t="s">
        <v>81</v>
      </c>
      <c r="F331" t="s">
        <v>77</v>
      </c>
      <c r="G331" t="s">
        <v>31</v>
      </c>
      <c r="H331" t="s">
        <v>31</v>
      </c>
      <c r="I331" t="s">
        <v>32</v>
      </c>
    </row>
    <row r="332" spans="1:9" x14ac:dyDescent="0.25">
      <c r="A332" t="s">
        <v>2688</v>
      </c>
      <c r="B332" t="s">
        <v>2684</v>
      </c>
      <c r="C332" t="s">
        <v>2685</v>
      </c>
      <c r="D332" s="2" t="s">
        <v>2685</v>
      </c>
      <c r="E332" t="s">
        <v>81</v>
      </c>
      <c r="F332" t="s">
        <v>77</v>
      </c>
      <c r="G332" t="s">
        <v>31</v>
      </c>
      <c r="H332" t="s">
        <v>31</v>
      </c>
      <c r="I332" t="s">
        <v>32</v>
      </c>
    </row>
    <row r="333" spans="1:9" x14ac:dyDescent="0.25">
      <c r="A333" t="s">
        <v>2689</v>
      </c>
      <c r="B333" t="s">
        <v>2684</v>
      </c>
      <c r="C333" t="s">
        <v>2685</v>
      </c>
      <c r="D333" s="2" t="s">
        <v>2686</v>
      </c>
      <c r="E333" t="s">
        <v>81</v>
      </c>
      <c r="F333" t="s">
        <v>77</v>
      </c>
      <c r="G333" t="s">
        <v>31</v>
      </c>
      <c r="H333" t="s">
        <v>31</v>
      </c>
      <c r="I333" t="s">
        <v>32</v>
      </c>
    </row>
    <row r="334" spans="1:9" x14ac:dyDescent="0.25">
      <c r="A334" t="s">
        <v>2690</v>
      </c>
      <c r="B334" t="s">
        <v>2684</v>
      </c>
      <c r="C334" t="s">
        <v>2685</v>
      </c>
      <c r="D334" s="2" t="s">
        <v>77</v>
      </c>
      <c r="E334" t="s">
        <v>81</v>
      </c>
      <c r="F334" t="s">
        <v>77</v>
      </c>
      <c r="G334" t="s">
        <v>31</v>
      </c>
      <c r="H334" t="s">
        <v>31</v>
      </c>
      <c r="I334" t="s">
        <v>32</v>
      </c>
    </row>
    <row r="335" spans="1:9" x14ac:dyDescent="0.25">
      <c r="A335" t="s">
        <v>2691</v>
      </c>
      <c r="B335" t="s">
        <v>2684</v>
      </c>
      <c r="C335" t="s">
        <v>2685</v>
      </c>
      <c r="D335" s="2">
        <v>0</v>
      </c>
      <c r="E335" t="s">
        <v>30</v>
      </c>
      <c r="F335" t="s">
        <v>77</v>
      </c>
      <c r="G335">
        <v>0</v>
      </c>
      <c r="H335">
        <v>0</v>
      </c>
      <c r="I335" t="s">
        <v>32</v>
      </c>
    </row>
    <row r="336" spans="1:9" x14ac:dyDescent="0.25">
      <c r="A336" t="s">
        <v>2692</v>
      </c>
      <c r="B336" t="s">
        <v>2684</v>
      </c>
      <c r="C336" t="s">
        <v>2685</v>
      </c>
      <c r="D336" s="2">
        <v>100</v>
      </c>
      <c r="E336" t="s">
        <v>30</v>
      </c>
      <c r="F336" t="s">
        <v>77</v>
      </c>
      <c r="G336">
        <v>100</v>
      </c>
      <c r="H336">
        <v>100</v>
      </c>
      <c r="I336" t="s">
        <v>32</v>
      </c>
    </row>
    <row r="337" spans="1:9" x14ac:dyDescent="0.25">
      <c r="A337" t="s">
        <v>2693</v>
      </c>
      <c r="B337" t="s">
        <v>2684</v>
      </c>
      <c r="C337" t="s">
        <v>2685</v>
      </c>
      <c r="D337" s="2" t="b">
        <v>1</v>
      </c>
      <c r="E337" t="s">
        <v>88</v>
      </c>
      <c r="F337" t="s">
        <v>77</v>
      </c>
      <c r="G337" t="s">
        <v>31</v>
      </c>
      <c r="H337" t="s">
        <v>31</v>
      </c>
      <c r="I337" t="s">
        <v>32</v>
      </c>
    </row>
    <row r="338" spans="1:9" x14ac:dyDescent="0.25">
      <c r="A338" t="s">
        <v>2694</v>
      </c>
      <c r="B338" t="s">
        <v>2695</v>
      </c>
      <c r="C338" t="s">
        <v>2696</v>
      </c>
      <c r="D338" s="3">
        <v>7</v>
      </c>
      <c r="E338" t="s">
        <v>30</v>
      </c>
      <c r="F338" t="s">
        <v>77</v>
      </c>
      <c r="G338">
        <v>7</v>
      </c>
      <c r="H338">
        <v>7</v>
      </c>
      <c r="I338" t="s">
        <v>2697</v>
      </c>
    </row>
    <row r="339" spans="1:9" x14ac:dyDescent="0.25">
      <c r="A339" t="s">
        <v>2698</v>
      </c>
      <c r="B339" t="s">
        <v>2695</v>
      </c>
      <c r="C339" t="s">
        <v>2696</v>
      </c>
      <c r="D339" s="2" t="s">
        <v>2236</v>
      </c>
      <c r="E339" t="s">
        <v>81</v>
      </c>
      <c r="F339" t="s">
        <v>77</v>
      </c>
      <c r="G339" t="s">
        <v>31</v>
      </c>
      <c r="H339" t="s">
        <v>31</v>
      </c>
      <c r="I339" t="s">
        <v>32</v>
      </c>
    </row>
    <row r="340" spans="1:9" x14ac:dyDescent="0.25">
      <c r="A340" t="s">
        <v>2699</v>
      </c>
      <c r="B340" t="s">
        <v>2695</v>
      </c>
      <c r="C340" t="s">
        <v>2696</v>
      </c>
      <c r="D340" s="2" t="s">
        <v>2696</v>
      </c>
      <c r="E340" t="s">
        <v>81</v>
      </c>
      <c r="F340" t="s">
        <v>77</v>
      </c>
      <c r="G340" t="s">
        <v>31</v>
      </c>
      <c r="H340" t="s">
        <v>31</v>
      </c>
      <c r="I340" t="s">
        <v>32</v>
      </c>
    </row>
    <row r="341" spans="1:9" x14ac:dyDescent="0.25">
      <c r="A341" t="s">
        <v>2700</v>
      </c>
      <c r="B341" t="s">
        <v>2695</v>
      </c>
      <c r="C341" t="s">
        <v>2696</v>
      </c>
      <c r="D341" s="2" t="s">
        <v>2697</v>
      </c>
      <c r="E341" t="s">
        <v>81</v>
      </c>
      <c r="F341" t="s">
        <v>77</v>
      </c>
      <c r="G341" t="s">
        <v>31</v>
      </c>
      <c r="H341" t="s">
        <v>31</v>
      </c>
      <c r="I341" t="s">
        <v>32</v>
      </c>
    </row>
    <row r="342" spans="1:9" x14ac:dyDescent="0.25">
      <c r="A342" t="s">
        <v>2701</v>
      </c>
      <c r="B342" t="s">
        <v>2695</v>
      </c>
      <c r="C342" t="s">
        <v>2696</v>
      </c>
      <c r="D342" s="2" t="s">
        <v>77</v>
      </c>
      <c r="E342" t="s">
        <v>81</v>
      </c>
      <c r="F342" t="s">
        <v>77</v>
      </c>
      <c r="G342" t="s">
        <v>31</v>
      </c>
      <c r="H342" t="s">
        <v>31</v>
      </c>
      <c r="I342" t="s">
        <v>32</v>
      </c>
    </row>
    <row r="343" spans="1:9" x14ac:dyDescent="0.25">
      <c r="A343" t="s">
        <v>2702</v>
      </c>
      <c r="B343" t="s">
        <v>2695</v>
      </c>
      <c r="C343" t="s">
        <v>2696</v>
      </c>
      <c r="D343" s="2">
        <v>0</v>
      </c>
      <c r="E343" t="s">
        <v>30</v>
      </c>
      <c r="F343" t="s">
        <v>77</v>
      </c>
      <c r="G343">
        <v>0</v>
      </c>
      <c r="H343">
        <v>0</v>
      </c>
      <c r="I343" t="s">
        <v>32</v>
      </c>
    </row>
    <row r="344" spans="1:9" x14ac:dyDescent="0.25">
      <c r="A344" t="s">
        <v>2703</v>
      </c>
      <c r="B344" t="s">
        <v>2695</v>
      </c>
      <c r="C344" t="s">
        <v>2696</v>
      </c>
      <c r="D344" s="2">
        <v>100</v>
      </c>
      <c r="E344" t="s">
        <v>30</v>
      </c>
      <c r="F344" t="s">
        <v>77</v>
      </c>
      <c r="G344">
        <v>100</v>
      </c>
      <c r="H344">
        <v>100</v>
      </c>
      <c r="I344" t="s">
        <v>32</v>
      </c>
    </row>
    <row r="345" spans="1:9" x14ac:dyDescent="0.25">
      <c r="A345" t="s">
        <v>2704</v>
      </c>
      <c r="B345" t="s">
        <v>2695</v>
      </c>
      <c r="C345" t="s">
        <v>2696</v>
      </c>
      <c r="D345" s="2" t="b">
        <v>1</v>
      </c>
      <c r="E345" t="s">
        <v>88</v>
      </c>
      <c r="F345" t="s">
        <v>77</v>
      </c>
      <c r="G345" t="s">
        <v>31</v>
      </c>
      <c r="H345" t="s">
        <v>31</v>
      </c>
      <c r="I345" t="s">
        <v>32</v>
      </c>
    </row>
    <row r="346" spans="1:9" x14ac:dyDescent="0.25">
      <c r="A346" t="s">
        <v>2705</v>
      </c>
      <c r="B346" t="s">
        <v>2706</v>
      </c>
      <c r="C346" t="s">
        <v>2707</v>
      </c>
      <c r="D346" s="3">
        <v>0.12</v>
      </c>
      <c r="E346" t="s">
        <v>30</v>
      </c>
      <c r="F346" t="s">
        <v>103</v>
      </c>
      <c r="G346">
        <v>0</v>
      </c>
      <c r="H346">
        <v>1</v>
      </c>
      <c r="I346" t="s">
        <v>2708</v>
      </c>
    </row>
    <row r="347" spans="1:9" x14ac:dyDescent="0.25">
      <c r="A347" t="s">
        <v>2709</v>
      </c>
      <c r="B347" t="s">
        <v>2706</v>
      </c>
      <c r="C347" t="s">
        <v>2707</v>
      </c>
      <c r="D347" s="2" t="s">
        <v>2236</v>
      </c>
      <c r="E347" t="s">
        <v>81</v>
      </c>
      <c r="F347" t="s">
        <v>103</v>
      </c>
      <c r="G347" t="s">
        <v>31</v>
      </c>
      <c r="H347" t="s">
        <v>31</v>
      </c>
      <c r="I347" t="s">
        <v>32</v>
      </c>
    </row>
    <row r="348" spans="1:9" x14ac:dyDescent="0.25">
      <c r="A348" t="s">
        <v>2710</v>
      </c>
      <c r="B348" t="s">
        <v>2706</v>
      </c>
      <c r="C348" t="s">
        <v>2707</v>
      </c>
      <c r="D348" s="2" t="s">
        <v>2707</v>
      </c>
      <c r="E348" t="s">
        <v>81</v>
      </c>
      <c r="F348" t="s">
        <v>103</v>
      </c>
      <c r="G348" t="s">
        <v>31</v>
      </c>
      <c r="H348" t="s">
        <v>31</v>
      </c>
      <c r="I348" t="s">
        <v>32</v>
      </c>
    </row>
    <row r="349" spans="1:9" x14ac:dyDescent="0.25">
      <c r="A349" t="s">
        <v>2711</v>
      </c>
      <c r="B349" t="s">
        <v>2706</v>
      </c>
      <c r="C349" t="s">
        <v>2707</v>
      </c>
      <c r="D349" s="2" t="s">
        <v>2708</v>
      </c>
      <c r="E349" t="s">
        <v>81</v>
      </c>
      <c r="F349" t="s">
        <v>103</v>
      </c>
      <c r="G349" t="s">
        <v>31</v>
      </c>
      <c r="H349" t="s">
        <v>31</v>
      </c>
      <c r="I349" t="s">
        <v>32</v>
      </c>
    </row>
    <row r="350" spans="1:9" x14ac:dyDescent="0.25">
      <c r="A350" t="s">
        <v>2712</v>
      </c>
      <c r="B350" t="s">
        <v>2706</v>
      </c>
      <c r="C350" t="s">
        <v>2707</v>
      </c>
      <c r="D350" s="2" t="s">
        <v>103</v>
      </c>
      <c r="E350" t="s">
        <v>81</v>
      </c>
      <c r="F350" t="s">
        <v>103</v>
      </c>
      <c r="G350" t="s">
        <v>31</v>
      </c>
      <c r="H350" t="s">
        <v>31</v>
      </c>
      <c r="I350" t="s">
        <v>32</v>
      </c>
    </row>
    <row r="351" spans="1:9" x14ac:dyDescent="0.25">
      <c r="A351" t="s">
        <v>2713</v>
      </c>
      <c r="B351" t="s">
        <v>2706</v>
      </c>
      <c r="C351" t="s">
        <v>2707</v>
      </c>
      <c r="D351" s="2">
        <v>0</v>
      </c>
      <c r="E351" t="s">
        <v>30</v>
      </c>
      <c r="F351" t="s">
        <v>103</v>
      </c>
      <c r="G351">
        <v>0</v>
      </c>
      <c r="H351">
        <v>1</v>
      </c>
      <c r="I351" t="s">
        <v>32</v>
      </c>
    </row>
    <row r="352" spans="1:9" x14ac:dyDescent="0.25">
      <c r="A352" t="s">
        <v>2714</v>
      </c>
      <c r="B352" t="s">
        <v>2706</v>
      </c>
      <c r="C352" t="s">
        <v>2707</v>
      </c>
      <c r="D352" s="2">
        <v>1</v>
      </c>
      <c r="E352" t="s">
        <v>30</v>
      </c>
      <c r="F352" t="s">
        <v>103</v>
      </c>
      <c r="G352">
        <v>0</v>
      </c>
      <c r="H352">
        <v>1</v>
      </c>
      <c r="I352" t="s">
        <v>32</v>
      </c>
    </row>
    <row r="353" spans="1:9" x14ac:dyDescent="0.25">
      <c r="A353" t="s">
        <v>2715</v>
      </c>
      <c r="B353" t="s">
        <v>2706</v>
      </c>
      <c r="C353" t="s">
        <v>2707</v>
      </c>
      <c r="D353" s="2" t="b">
        <v>0</v>
      </c>
      <c r="E353" t="s">
        <v>88</v>
      </c>
      <c r="F353" t="s">
        <v>103</v>
      </c>
      <c r="G353" t="s">
        <v>31</v>
      </c>
      <c r="H353" t="s">
        <v>31</v>
      </c>
      <c r="I353" t="s">
        <v>32</v>
      </c>
    </row>
    <row r="354" spans="1:9" x14ac:dyDescent="0.25">
      <c r="A354" t="s">
        <v>2716</v>
      </c>
      <c r="B354" t="s">
        <v>2717</v>
      </c>
      <c r="C354" t="s">
        <v>2718</v>
      </c>
      <c r="D354" s="3">
        <v>6</v>
      </c>
      <c r="E354" t="s">
        <v>30</v>
      </c>
      <c r="F354" t="s">
        <v>77</v>
      </c>
      <c r="G354">
        <v>1</v>
      </c>
      <c r="H354">
        <v>100</v>
      </c>
      <c r="I354" t="s">
        <v>2719</v>
      </c>
    </row>
    <row r="355" spans="1:9" x14ac:dyDescent="0.25">
      <c r="A355" t="s">
        <v>2720</v>
      </c>
      <c r="B355" t="s">
        <v>2717</v>
      </c>
      <c r="C355" t="s">
        <v>2718</v>
      </c>
      <c r="D355" s="2" t="s">
        <v>2236</v>
      </c>
      <c r="E355" t="s">
        <v>81</v>
      </c>
      <c r="F355" t="s">
        <v>77</v>
      </c>
      <c r="G355" t="s">
        <v>31</v>
      </c>
      <c r="H355" t="s">
        <v>31</v>
      </c>
      <c r="I355" t="s">
        <v>32</v>
      </c>
    </row>
    <row r="356" spans="1:9" x14ac:dyDescent="0.25">
      <c r="A356" t="s">
        <v>2721</v>
      </c>
      <c r="B356" t="s">
        <v>2717</v>
      </c>
      <c r="C356" t="s">
        <v>2718</v>
      </c>
      <c r="D356" s="2" t="s">
        <v>2718</v>
      </c>
      <c r="E356" t="s">
        <v>81</v>
      </c>
      <c r="F356" t="s">
        <v>77</v>
      </c>
      <c r="G356" t="s">
        <v>31</v>
      </c>
      <c r="H356" t="s">
        <v>31</v>
      </c>
      <c r="I356" t="s">
        <v>32</v>
      </c>
    </row>
    <row r="357" spans="1:9" x14ac:dyDescent="0.25">
      <c r="A357" t="s">
        <v>2722</v>
      </c>
      <c r="B357" t="s">
        <v>2717</v>
      </c>
      <c r="C357" t="s">
        <v>2718</v>
      </c>
      <c r="D357" s="2" t="s">
        <v>2719</v>
      </c>
      <c r="E357" t="s">
        <v>81</v>
      </c>
      <c r="F357" t="s">
        <v>77</v>
      </c>
      <c r="G357" t="s">
        <v>31</v>
      </c>
      <c r="H357" t="s">
        <v>31</v>
      </c>
      <c r="I357" t="s">
        <v>32</v>
      </c>
    </row>
    <row r="358" spans="1:9" x14ac:dyDescent="0.25">
      <c r="A358" t="s">
        <v>2723</v>
      </c>
      <c r="B358" t="s">
        <v>2717</v>
      </c>
      <c r="C358" t="s">
        <v>2718</v>
      </c>
      <c r="D358" s="2" t="s">
        <v>77</v>
      </c>
      <c r="E358" t="s">
        <v>81</v>
      </c>
      <c r="F358" t="s">
        <v>77</v>
      </c>
      <c r="G358" t="s">
        <v>31</v>
      </c>
      <c r="H358" t="s">
        <v>31</v>
      </c>
      <c r="I358" t="s">
        <v>32</v>
      </c>
    </row>
    <row r="359" spans="1:9" x14ac:dyDescent="0.25">
      <c r="A359" t="s">
        <v>2724</v>
      </c>
      <c r="B359" t="s">
        <v>2717</v>
      </c>
      <c r="C359" t="s">
        <v>2718</v>
      </c>
      <c r="D359" s="2">
        <v>0</v>
      </c>
      <c r="E359" t="s">
        <v>30</v>
      </c>
      <c r="F359" t="s">
        <v>77</v>
      </c>
      <c r="G359">
        <v>1</v>
      </c>
      <c r="H359">
        <v>100</v>
      </c>
      <c r="I359" t="s">
        <v>32</v>
      </c>
    </row>
    <row r="360" spans="1:9" x14ac:dyDescent="0.25">
      <c r="A360" t="s">
        <v>2725</v>
      </c>
      <c r="B360" t="s">
        <v>2717</v>
      </c>
      <c r="C360" t="s">
        <v>2718</v>
      </c>
      <c r="D360" s="2">
        <v>100</v>
      </c>
      <c r="E360" t="s">
        <v>30</v>
      </c>
      <c r="F360" t="s">
        <v>77</v>
      </c>
      <c r="G360">
        <v>1</v>
      </c>
      <c r="H360">
        <v>100</v>
      </c>
      <c r="I360" t="s">
        <v>32</v>
      </c>
    </row>
    <row r="361" spans="1:9" x14ac:dyDescent="0.25">
      <c r="A361" t="s">
        <v>2726</v>
      </c>
      <c r="B361" t="s">
        <v>2717</v>
      </c>
      <c r="C361" t="s">
        <v>2718</v>
      </c>
      <c r="D361" s="2" t="b">
        <v>1</v>
      </c>
      <c r="E361" t="s">
        <v>88</v>
      </c>
      <c r="F361" t="s">
        <v>77</v>
      </c>
      <c r="G361" t="s">
        <v>31</v>
      </c>
      <c r="H361" t="s">
        <v>31</v>
      </c>
      <c r="I361" t="s">
        <v>32</v>
      </c>
    </row>
    <row r="362" spans="1:9" x14ac:dyDescent="0.25">
      <c r="A362" t="s">
        <v>2727</v>
      </c>
      <c r="B362" t="s">
        <v>2728</v>
      </c>
      <c r="C362" t="s">
        <v>2729</v>
      </c>
      <c r="D362" s="3">
        <v>2</v>
      </c>
      <c r="E362" t="s">
        <v>30</v>
      </c>
      <c r="F362" t="s">
        <v>77</v>
      </c>
      <c r="G362">
        <v>1</v>
      </c>
      <c r="H362">
        <v>100</v>
      </c>
      <c r="I362" t="s">
        <v>2730</v>
      </c>
    </row>
    <row r="363" spans="1:9" x14ac:dyDescent="0.25">
      <c r="A363" t="s">
        <v>2731</v>
      </c>
      <c r="B363" t="s">
        <v>2728</v>
      </c>
      <c r="C363" t="s">
        <v>2729</v>
      </c>
      <c r="D363" s="2" t="s">
        <v>2236</v>
      </c>
      <c r="E363" t="s">
        <v>81</v>
      </c>
      <c r="F363" t="s">
        <v>77</v>
      </c>
      <c r="G363" t="s">
        <v>31</v>
      </c>
      <c r="H363" t="s">
        <v>31</v>
      </c>
      <c r="I363" t="s">
        <v>32</v>
      </c>
    </row>
    <row r="364" spans="1:9" x14ac:dyDescent="0.25">
      <c r="A364" t="s">
        <v>2732</v>
      </c>
      <c r="B364" t="s">
        <v>2728</v>
      </c>
      <c r="C364" t="s">
        <v>2729</v>
      </c>
      <c r="D364" s="2" t="s">
        <v>2729</v>
      </c>
      <c r="E364" t="s">
        <v>81</v>
      </c>
      <c r="F364" t="s">
        <v>77</v>
      </c>
      <c r="G364" t="s">
        <v>31</v>
      </c>
      <c r="H364" t="s">
        <v>31</v>
      </c>
      <c r="I364" t="s">
        <v>32</v>
      </c>
    </row>
    <row r="365" spans="1:9" x14ac:dyDescent="0.25">
      <c r="A365" t="s">
        <v>2733</v>
      </c>
      <c r="B365" t="s">
        <v>2728</v>
      </c>
      <c r="C365" t="s">
        <v>2729</v>
      </c>
      <c r="D365" s="2" t="s">
        <v>2730</v>
      </c>
      <c r="E365" t="s">
        <v>81</v>
      </c>
      <c r="F365" t="s">
        <v>77</v>
      </c>
      <c r="G365" t="s">
        <v>31</v>
      </c>
      <c r="H365" t="s">
        <v>31</v>
      </c>
      <c r="I365" t="s">
        <v>32</v>
      </c>
    </row>
    <row r="366" spans="1:9" x14ac:dyDescent="0.25">
      <c r="A366" t="s">
        <v>2734</v>
      </c>
      <c r="B366" t="s">
        <v>2728</v>
      </c>
      <c r="C366" t="s">
        <v>2729</v>
      </c>
      <c r="D366" s="2" t="s">
        <v>77</v>
      </c>
      <c r="E366" t="s">
        <v>81</v>
      </c>
      <c r="F366" t="s">
        <v>77</v>
      </c>
      <c r="G366" t="s">
        <v>31</v>
      </c>
      <c r="H366" t="s">
        <v>31</v>
      </c>
      <c r="I366" t="s">
        <v>32</v>
      </c>
    </row>
    <row r="367" spans="1:9" x14ac:dyDescent="0.25">
      <c r="A367" t="s">
        <v>2735</v>
      </c>
      <c r="B367" t="s">
        <v>2728</v>
      </c>
      <c r="C367" t="s">
        <v>2729</v>
      </c>
      <c r="D367" s="2">
        <v>0</v>
      </c>
      <c r="E367" t="s">
        <v>30</v>
      </c>
      <c r="F367" t="s">
        <v>77</v>
      </c>
      <c r="G367">
        <v>1</v>
      </c>
      <c r="H367">
        <v>100</v>
      </c>
      <c r="I367" t="s">
        <v>32</v>
      </c>
    </row>
    <row r="368" spans="1:9" x14ac:dyDescent="0.25">
      <c r="A368" t="s">
        <v>2736</v>
      </c>
      <c r="B368" t="s">
        <v>2728</v>
      </c>
      <c r="C368" t="s">
        <v>2729</v>
      </c>
      <c r="D368" s="2">
        <v>100</v>
      </c>
      <c r="E368" t="s">
        <v>30</v>
      </c>
      <c r="F368" t="s">
        <v>77</v>
      </c>
      <c r="G368">
        <v>1</v>
      </c>
      <c r="H368">
        <v>100</v>
      </c>
      <c r="I368" t="s">
        <v>32</v>
      </c>
    </row>
    <row r="369" spans="1:9" x14ac:dyDescent="0.25">
      <c r="A369" t="s">
        <v>2737</v>
      </c>
      <c r="B369" t="s">
        <v>2728</v>
      </c>
      <c r="C369" t="s">
        <v>2729</v>
      </c>
      <c r="D369" s="2" t="b">
        <v>1</v>
      </c>
      <c r="E369" t="s">
        <v>88</v>
      </c>
      <c r="F369" t="s">
        <v>77</v>
      </c>
      <c r="G369" t="s">
        <v>31</v>
      </c>
      <c r="H369" t="s">
        <v>31</v>
      </c>
      <c r="I369" t="s">
        <v>32</v>
      </c>
    </row>
    <row r="370" spans="1:9" x14ac:dyDescent="0.25">
      <c r="A370" t="s">
        <v>2738</v>
      </c>
      <c r="B370" t="s">
        <v>2739</v>
      </c>
      <c r="C370" t="s">
        <v>2740</v>
      </c>
      <c r="D370" s="3">
        <v>0.25</v>
      </c>
      <c r="E370" t="s">
        <v>30</v>
      </c>
      <c r="F370" t="s">
        <v>103</v>
      </c>
      <c r="G370">
        <v>0</v>
      </c>
      <c r="H370">
        <v>1</v>
      </c>
      <c r="I370" t="s">
        <v>2741</v>
      </c>
    </row>
    <row r="371" spans="1:9" x14ac:dyDescent="0.25">
      <c r="A371" t="s">
        <v>2742</v>
      </c>
      <c r="B371" t="s">
        <v>2739</v>
      </c>
      <c r="C371" t="s">
        <v>2740</v>
      </c>
      <c r="D371" s="2" t="s">
        <v>2236</v>
      </c>
      <c r="E371" t="s">
        <v>81</v>
      </c>
      <c r="F371" t="s">
        <v>103</v>
      </c>
      <c r="G371" t="s">
        <v>31</v>
      </c>
      <c r="H371" t="s">
        <v>31</v>
      </c>
      <c r="I371" t="s">
        <v>32</v>
      </c>
    </row>
    <row r="372" spans="1:9" x14ac:dyDescent="0.25">
      <c r="A372" t="s">
        <v>2743</v>
      </c>
      <c r="B372" t="s">
        <v>2739</v>
      </c>
      <c r="C372" t="s">
        <v>2740</v>
      </c>
      <c r="D372" s="2" t="s">
        <v>2740</v>
      </c>
      <c r="E372" t="s">
        <v>81</v>
      </c>
      <c r="F372" t="s">
        <v>103</v>
      </c>
      <c r="G372" t="s">
        <v>31</v>
      </c>
      <c r="H372" t="s">
        <v>31</v>
      </c>
      <c r="I372" t="s">
        <v>32</v>
      </c>
    </row>
    <row r="373" spans="1:9" x14ac:dyDescent="0.25">
      <c r="A373" t="s">
        <v>2744</v>
      </c>
      <c r="B373" t="s">
        <v>2739</v>
      </c>
      <c r="C373" t="s">
        <v>2740</v>
      </c>
      <c r="D373" s="2" t="s">
        <v>2741</v>
      </c>
      <c r="E373" t="s">
        <v>81</v>
      </c>
      <c r="F373" t="s">
        <v>103</v>
      </c>
      <c r="G373" t="s">
        <v>31</v>
      </c>
      <c r="H373" t="s">
        <v>31</v>
      </c>
      <c r="I373" t="s">
        <v>32</v>
      </c>
    </row>
    <row r="374" spans="1:9" x14ac:dyDescent="0.25">
      <c r="A374" t="s">
        <v>2745</v>
      </c>
      <c r="B374" t="s">
        <v>2739</v>
      </c>
      <c r="C374" t="s">
        <v>2740</v>
      </c>
      <c r="D374" s="2" t="s">
        <v>103</v>
      </c>
      <c r="E374" t="s">
        <v>81</v>
      </c>
      <c r="F374" t="s">
        <v>103</v>
      </c>
      <c r="G374" t="s">
        <v>31</v>
      </c>
      <c r="H374" t="s">
        <v>31</v>
      </c>
      <c r="I374" t="s">
        <v>32</v>
      </c>
    </row>
    <row r="375" spans="1:9" x14ac:dyDescent="0.25">
      <c r="A375" t="s">
        <v>2746</v>
      </c>
      <c r="B375" t="s">
        <v>2739</v>
      </c>
      <c r="C375" t="s">
        <v>2740</v>
      </c>
      <c r="D375" s="2">
        <v>0</v>
      </c>
      <c r="E375" t="s">
        <v>30</v>
      </c>
      <c r="F375" t="s">
        <v>103</v>
      </c>
      <c r="G375">
        <v>0</v>
      </c>
      <c r="H375">
        <v>1</v>
      </c>
      <c r="I375" t="s">
        <v>32</v>
      </c>
    </row>
    <row r="376" spans="1:9" x14ac:dyDescent="0.25">
      <c r="A376" t="s">
        <v>2747</v>
      </c>
      <c r="B376" t="s">
        <v>2739</v>
      </c>
      <c r="C376" t="s">
        <v>2740</v>
      </c>
      <c r="D376" s="2">
        <v>1</v>
      </c>
      <c r="E376" t="s">
        <v>30</v>
      </c>
      <c r="F376" t="s">
        <v>103</v>
      </c>
      <c r="G376">
        <v>0</v>
      </c>
      <c r="H376">
        <v>1</v>
      </c>
      <c r="I376" t="s">
        <v>32</v>
      </c>
    </row>
    <row r="377" spans="1:9" x14ac:dyDescent="0.25">
      <c r="A377" t="s">
        <v>2748</v>
      </c>
      <c r="B377" t="s">
        <v>2739</v>
      </c>
      <c r="C377" t="s">
        <v>2740</v>
      </c>
      <c r="D377" s="2" t="b">
        <v>0</v>
      </c>
      <c r="E377" t="s">
        <v>88</v>
      </c>
      <c r="F377" t="s">
        <v>103</v>
      </c>
      <c r="G377" t="s">
        <v>31</v>
      </c>
      <c r="H377" t="s">
        <v>31</v>
      </c>
      <c r="I377" t="s">
        <v>32</v>
      </c>
    </row>
    <row r="378" spans="1:9" x14ac:dyDescent="0.25">
      <c r="A378" t="s">
        <v>2749</v>
      </c>
      <c r="B378" t="s">
        <v>2750</v>
      </c>
      <c r="C378" t="s">
        <v>2751</v>
      </c>
      <c r="D378" s="3">
        <v>0.5</v>
      </c>
      <c r="E378" t="s">
        <v>30</v>
      </c>
      <c r="F378" t="s">
        <v>103</v>
      </c>
      <c r="G378">
        <v>0</v>
      </c>
      <c r="H378">
        <v>1</v>
      </c>
      <c r="I378" t="s">
        <v>2752</v>
      </c>
    </row>
    <row r="379" spans="1:9" x14ac:dyDescent="0.25">
      <c r="A379" t="s">
        <v>2753</v>
      </c>
      <c r="B379" t="s">
        <v>2750</v>
      </c>
      <c r="C379" t="s">
        <v>2751</v>
      </c>
      <c r="D379" s="2" t="s">
        <v>2236</v>
      </c>
      <c r="E379" t="s">
        <v>81</v>
      </c>
      <c r="F379" t="s">
        <v>103</v>
      </c>
      <c r="G379" t="s">
        <v>31</v>
      </c>
      <c r="H379" t="s">
        <v>31</v>
      </c>
      <c r="I379" t="s">
        <v>32</v>
      </c>
    </row>
    <row r="380" spans="1:9" x14ac:dyDescent="0.25">
      <c r="A380" t="s">
        <v>2754</v>
      </c>
      <c r="B380" t="s">
        <v>2750</v>
      </c>
      <c r="C380" t="s">
        <v>2751</v>
      </c>
      <c r="D380" s="2" t="s">
        <v>2751</v>
      </c>
      <c r="E380" t="s">
        <v>81</v>
      </c>
      <c r="F380" t="s">
        <v>103</v>
      </c>
      <c r="G380" t="s">
        <v>31</v>
      </c>
      <c r="H380" t="s">
        <v>31</v>
      </c>
      <c r="I380" t="s">
        <v>32</v>
      </c>
    </row>
    <row r="381" spans="1:9" x14ac:dyDescent="0.25">
      <c r="A381" t="s">
        <v>2755</v>
      </c>
      <c r="B381" t="s">
        <v>2750</v>
      </c>
      <c r="C381" t="s">
        <v>2751</v>
      </c>
      <c r="D381" s="2" t="s">
        <v>2752</v>
      </c>
      <c r="E381" t="s">
        <v>81</v>
      </c>
      <c r="F381" t="s">
        <v>103</v>
      </c>
      <c r="G381" t="s">
        <v>31</v>
      </c>
      <c r="H381" t="s">
        <v>31</v>
      </c>
      <c r="I381" t="s">
        <v>32</v>
      </c>
    </row>
    <row r="382" spans="1:9" x14ac:dyDescent="0.25">
      <c r="A382" t="s">
        <v>2756</v>
      </c>
      <c r="B382" t="s">
        <v>2750</v>
      </c>
      <c r="C382" t="s">
        <v>2751</v>
      </c>
      <c r="D382" s="2" t="s">
        <v>103</v>
      </c>
      <c r="E382" t="s">
        <v>81</v>
      </c>
      <c r="F382" t="s">
        <v>103</v>
      </c>
      <c r="G382" t="s">
        <v>31</v>
      </c>
      <c r="H382" t="s">
        <v>31</v>
      </c>
      <c r="I382" t="s">
        <v>32</v>
      </c>
    </row>
    <row r="383" spans="1:9" x14ac:dyDescent="0.25">
      <c r="A383" t="s">
        <v>2757</v>
      </c>
      <c r="B383" t="s">
        <v>2750</v>
      </c>
      <c r="C383" t="s">
        <v>2751</v>
      </c>
      <c r="D383" s="2">
        <v>0</v>
      </c>
      <c r="E383" t="s">
        <v>30</v>
      </c>
      <c r="F383" t="s">
        <v>103</v>
      </c>
      <c r="G383">
        <v>0</v>
      </c>
      <c r="H383">
        <v>1</v>
      </c>
      <c r="I383" t="s">
        <v>32</v>
      </c>
    </row>
    <row r="384" spans="1:9" x14ac:dyDescent="0.25">
      <c r="A384" t="s">
        <v>2758</v>
      </c>
      <c r="B384" t="s">
        <v>2750</v>
      </c>
      <c r="C384" t="s">
        <v>2751</v>
      </c>
      <c r="D384" s="2">
        <v>1</v>
      </c>
      <c r="E384" t="s">
        <v>30</v>
      </c>
      <c r="F384" t="s">
        <v>103</v>
      </c>
      <c r="G384">
        <v>0</v>
      </c>
      <c r="H384">
        <v>1</v>
      </c>
      <c r="I384" t="s">
        <v>32</v>
      </c>
    </row>
    <row r="385" spans="1:9" x14ac:dyDescent="0.25">
      <c r="A385" t="s">
        <v>2759</v>
      </c>
      <c r="B385" t="s">
        <v>2750</v>
      </c>
      <c r="C385" t="s">
        <v>2751</v>
      </c>
      <c r="D385" s="2" t="b">
        <v>0</v>
      </c>
      <c r="E385" t="s">
        <v>88</v>
      </c>
      <c r="F385" t="s">
        <v>103</v>
      </c>
      <c r="G385" t="s">
        <v>31</v>
      </c>
      <c r="H385" t="s">
        <v>31</v>
      </c>
      <c r="I385" t="s">
        <v>32</v>
      </c>
    </row>
    <row r="386" spans="1:9" x14ac:dyDescent="0.25">
      <c r="A386" t="s">
        <v>2760</v>
      </c>
      <c r="B386" t="s">
        <v>2761</v>
      </c>
      <c r="C386" t="s">
        <v>2762</v>
      </c>
      <c r="D386" s="3">
        <v>0.15</v>
      </c>
      <c r="E386" t="s">
        <v>30</v>
      </c>
      <c r="F386" t="s">
        <v>103</v>
      </c>
      <c r="G386">
        <v>0</v>
      </c>
      <c r="H386">
        <v>1</v>
      </c>
      <c r="I386" t="s">
        <v>2763</v>
      </c>
    </row>
    <row r="387" spans="1:9" x14ac:dyDescent="0.25">
      <c r="A387" t="s">
        <v>2764</v>
      </c>
      <c r="B387" t="s">
        <v>2761</v>
      </c>
      <c r="C387" t="s">
        <v>2762</v>
      </c>
      <c r="D387" s="2" t="s">
        <v>2236</v>
      </c>
      <c r="E387" t="s">
        <v>81</v>
      </c>
      <c r="F387" t="s">
        <v>103</v>
      </c>
      <c r="G387" t="s">
        <v>31</v>
      </c>
      <c r="H387" t="s">
        <v>31</v>
      </c>
      <c r="I387" t="s">
        <v>32</v>
      </c>
    </row>
    <row r="388" spans="1:9" x14ac:dyDescent="0.25">
      <c r="A388" t="s">
        <v>2765</v>
      </c>
      <c r="B388" t="s">
        <v>2761</v>
      </c>
      <c r="C388" t="s">
        <v>2762</v>
      </c>
      <c r="D388" s="2" t="s">
        <v>2762</v>
      </c>
      <c r="E388" t="s">
        <v>81</v>
      </c>
      <c r="F388" t="s">
        <v>103</v>
      </c>
      <c r="G388" t="s">
        <v>31</v>
      </c>
      <c r="H388" t="s">
        <v>31</v>
      </c>
      <c r="I388" t="s">
        <v>32</v>
      </c>
    </row>
    <row r="389" spans="1:9" x14ac:dyDescent="0.25">
      <c r="A389" t="s">
        <v>2766</v>
      </c>
      <c r="B389" t="s">
        <v>2761</v>
      </c>
      <c r="C389" t="s">
        <v>2762</v>
      </c>
      <c r="D389" s="2" t="s">
        <v>2763</v>
      </c>
      <c r="E389" t="s">
        <v>81</v>
      </c>
      <c r="F389" t="s">
        <v>103</v>
      </c>
      <c r="G389" t="s">
        <v>31</v>
      </c>
      <c r="H389" t="s">
        <v>31</v>
      </c>
      <c r="I389" t="s">
        <v>32</v>
      </c>
    </row>
    <row r="390" spans="1:9" x14ac:dyDescent="0.25">
      <c r="A390" t="s">
        <v>2767</v>
      </c>
      <c r="B390" t="s">
        <v>2761</v>
      </c>
      <c r="C390" t="s">
        <v>2762</v>
      </c>
      <c r="D390" s="2" t="s">
        <v>103</v>
      </c>
      <c r="E390" t="s">
        <v>81</v>
      </c>
      <c r="F390" t="s">
        <v>103</v>
      </c>
      <c r="G390" t="s">
        <v>31</v>
      </c>
      <c r="H390" t="s">
        <v>31</v>
      </c>
      <c r="I390" t="s">
        <v>32</v>
      </c>
    </row>
    <row r="391" spans="1:9" x14ac:dyDescent="0.25">
      <c r="A391" t="s">
        <v>2768</v>
      </c>
      <c r="B391" t="s">
        <v>2761</v>
      </c>
      <c r="C391" t="s">
        <v>2762</v>
      </c>
      <c r="D391" s="2">
        <v>0</v>
      </c>
      <c r="E391" t="s">
        <v>30</v>
      </c>
      <c r="F391" t="s">
        <v>103</v>
      </c>
      <c r="G391">
        <v>0</v>
      </c>
      <c r="H391">
        <v>1</v>
      </c>
      <c r="I391" t="s">
        <v>32</v>
      </c>
    </row>
    <row r="392" spans="1:9" x14ac:dyDescent="0.25">
      <c r="A392" t="s">
        <v>2769</v>
      </c>
      <c r="B392" t="s">
        <v>2761</v>
      </c>
      <c r="C392" t="s">
        <v>2762</v>
      </c>
      <c r="D392" s="2">
        <v>1</v>
      </c>
      <c r="E392" t="s">
        <v>30</v>
      </c>
      <c r="F392" t="s">
        <v>103</v>
      </c>
      <c r="G392">
        <v>0</v>
      </c>
      <c r="H392">
        <v>1</v>
      </c>
      <c r="I392" t="s">
        <v>32</v>
      </c>
    </row>
    <row r="393" spans="1:9" x14ac:dyDescent="0.25">
      <c r="A393" t="s">
        <v>2770</v>
      </c>
      <c r="B393" t="s">
        <v>2761</v>
      </c>
      <c r="C393" t="s">
        <v>2762</v>
      </c>
      <c r="D393" s="2" t="b">
        <v>0</v>
      </c>
      <c r="E393" t="s">
        <v>88</v>
      </c>
      <c r="F393" t="s">
        <v>103</v>
      </c>
      <c r="G393" t="s">
        <v>31</v>
      </c>
      <c r="H393" t="s">
        <v>31</v>
      </c>
      <c r="I393" t="s">
        <v>32</v>
      </c>
    </row>
    <row r="394" spans="1:9" x14ac:dyDescent="0.25">
      <c r="A394" t="s">
        <v>2771</v>
      </c>
      <c r="B394" t="s">
        <v>2772</v>
      </c>
      <c r="C394" t="s">
        <v>2773</v>
      </c>
      <c r="D394" s="3">
        <v>0.85</v>
      </c>
      <c r="E394" t="s">
        <v>30</v>
      </c>
      <c r="F394" t="s">
        <v>103</v>
      </c>
      <c r="G394">
        <v>0</v>
      </c>
      <c r="H394">
        <v>1</v>
      </c>
      <c r="I394" t="s">
        <v>2774</v>
      </c>
    </row>
    <row r="395" spans="1:9" x14ac:dyDescent="0.25">
      <c r="A395" t="s">
        <v>2775</v>
      </c>
      <c r="B395" t="s">
        <v>2772</v>
      </c>
      <c r="C395" t="s">
        <v>2773</v>
      </c>
      <c r="D395" s="2" t="s">
        <v>2236</v>
      </c>
      <c r="E395" t="s">
        <v>81</v>
      </c>
      <c r="F395" t="s">
        <v>103</v>
      </c>
      <c r="G395" t="s">
        <v>31</v>
      </c>
      <c r="H395" t="s">
        <v>31</v>
      </c>
      <c r="I395" t="s">
        <v>32</v>
      </c>
    </row>
    <row r="396" spans="1:9" x14ac:dyDescent="0.25">
      <c r="A396" t="s">
        <v>2776</v>
      </c>
      <c r="B396" t="s">
        <v>2772</v>
      </c>
      <c r="C396" t="s">
        <v>2773</v>
      </c>
      <c r="D396" s="2" t="s">
        <v>2773</v>
      </c>
      <c r="E396" t="s">
        <v>81</v>
      </c>
      <c r="F396" t="s">
        <v>103</v>
      </c>
      <c r="G396" t="s">
        <v>31</v>
      </c>
      <c r="H396" t="s">
        <v>31</v>
      </c>
      <c r="I396" t="s">
        <v>32</v>
      </c>
    </row>
    <row r="397" spans="1:9" x14ac:dyDescent="0.25">
      <c r="A397" t="s">
        <v>2777</v>
      </c>
      <c r="B397" t="s">
        <v>2772</v>
      </c>
      <c r="C397" t="s">
        <v>2773</v>
      </c>
      <c r="D397" s="2" t="s">
        <v>2774</v>
      </c>
      <c r="E397" t="s">
        <v>81</v>
      </c>
      <c r="F397" t="s">
        <v>103</v>
      </c>
      <c r="G397" t="s">
        <v>31</v>
      </c>
      <c r="H397" t="s">
        <v>31</v>
      </c>
      <c r="I397" t="s">
        <v>32</v>
      </c>
    </row>
    <row r="398" spans="1:9" x14ac:dyDescent="0.25">
      <c r="A398" t="s">
        <v>2778</v>
      </c>
      <c r="B398" t="s">
        <v>2772</v>
      </c>
      <c r="C398" t="s">
        <v>2773</v>
      </c>
      <c r="D398" s="2" t="s">
        <v>103</v>
      </c>
      <c r="E398" t="s">
        <v>81</v>
      </c>
      <c r="F398" t="s">
        <v>103</v>
      </c>
      <c r="G398" t="s">
        <v>31</v>
      </c>
      <c r="H398" t="s">
        <v>31</v>
      </c>
      <c r="I398" t="s">
        <v>32</v>
      </c>
    </row>
    <row r="399" spans="1:9" x14ac:dyDescent="0.25">
      <c r="A399" t="s">
        <v>2779</v>
      </c>
      <c r="B399" t="s">
        <v>2772</v>
      </c>
      <c r="C399" t="s">
        <v>2773</v>
      </c>
      <c r="D399" s="2">
        <v>0</v>
      </c>
      <c r="E399" t="s">
        <v>30</v>
      </c>
      <c r="F399" t="s">
        <v>103</v>
      </c>
      <c r="G399">
        <v>0</v>
      </c>
      <c r="H399">
        <v>1</v>
      </c>
      <c r="I399" t="s">
        <v>32</v>
      </c>
    </row>
    <row r="400" spans="1:9" x14ac:dyDescent="0.25">
      <c r="A400" t="s">
        <v>2780</v>
      </c>
      <c r="B400" t="s">
        <v>2772</v>
      </c>
      <c r="C400" t="s">
        <v>2773</v>
      </c>
      <c r="D400" s="2">
        <v>1</v>
      </c>
      <c r="E400" t="s">
        <v>30</v>
      </c>
      <c r="F400" t="s">
        <v>103</v>
      </c>
      <c r="G400">
        <v>0</v>
      </c>
      <c r="H400">
        <v>1</v>
      </c>
      <c r="I400" t="s">
        <v>32</v>
      </c>
    </row>
    <row r="401" spans="1:9" x14ac:dyDescent="0.25">
      <c r="A401" t="s">
        <v>2781</v>
      </c>
      <c r="B401" t="s">
        <v>2772</v>
      </c>
      <c r="C401" t="s">
        <v>2773</v>
      </c>
      <c r="D401" s="2" t="b">
        <v>0</v>
      </c>
      <c r="E401" t="s">
        <v>88</v>
      </c>
      <c r="F401" t="s">
        <v>103</v>
      </c>
      <c r="G401" t="s">
        <v>31</v>
      </c>
      <c r="H401" t="s">
        <v>31</v>
      </c>
      <c r="I401" t="s">
        <v>32</v>
      </c>
    </row>
    <row r="402" spans="1:9" x14ac:dyDescent="0.25">
      <c r="A402" t="s">
        <v>2782</v>
      </c>
      <c r="B402" t="s">
        <v>2783</v>
      </c>
      <c r="C402" t="s">
        <v>2784</v>
      </c>
      <c r="D402" s="3">
        <v>0.7</v>
      </c>
      <c r="E402" t="s">
        <v>30</v>
      </c>
      <c r="F402" t="s">
        <v>103</v>
      </c>
      <c r="G402">
        <v>0</v>
      </c>
      <c r="H402">
        <v>1</v>
      </c>
      <c r="I402" t="s">
        <v>2785</v>
      </c>
    </row>
    <row r="403" spans="1:9" x14ac:dyDescent="0.25">
      <c r="A403" t="s">
        <v>2786</v>
      </c>
      <c r="B403" t="s">
        <v>2783</v>
      </c>
      <c r="C403" t="s">
        <v>2784</v>
      </c>
      <c r="D403" s="2" t="s">
        <v>2236</v>
      </c>
      <c r="E403" t="s">
        <v>81</v>
      </c>
      <c r="F403" t="s">
        <v>103</v>
      </c>
      <c r="G403" t="s">
        <v>31</v>
      </c>
      <c r="H403" t="s">
        <v>31</v>
      </c>
      <c r="I403" t="s">
        <v>32</v>
      </c>
    </row>
    <row r="404" spans="1:9" x14ac:dyDescent="0.25">
      <c r="A404" t="s">
        <v>2787</v>
      </c>
      <c r="B404" t="s">
        <v>2783</v>
      </c>
      <c r="C404" t="s">
        <v>2784</v>
      </c>
      <c r="D404" s="2" t="s">
        <v>2784</v>
      </c>
      <c r="E404" t="s">
        <v>81</v>
      </c>
      <c r="F404" t="s">
        <v>103</v>
      </c>
      <c r="G404" t="s">
        <v>31</v>
      </c>
      <c r="H404" t="s">
        <v>31</v>
      </c>
      <c r="I404" t="s">
        <v>32</v>
      </c>
    </row>
    <row r="405" spans="1:9" x14ac:dyDescent="0.25">
      <c r="A405" t="s">
        <v>2788</v>
      </c>
      <c r="B405" t="s">
        <v>2783</v>
      </c>
      <c r="C405" t="s">
        <v>2784</v>
      </c>
      <c r="D405" s="2" t="s">
        <v>2785</v>
      </c>
      <c r="E405" t="s">
        <v>81</v>
      </c>
      <c r="F405" t="s">
        <v>103</v>
      </c>
      <c r="G405" t="s">
        <v>31</v>
      </c>
      <c r="H405" t="s">
        <v>31</v>
      </c>
      <c r="I405" t="s">
        <v>32</v>
      </c>
    </row>
    <row r="406" spans="1:9" x14ac:dyDescent="0.25">
      <c r="A406" t="s">
        <v>2789</v>
      </c>
      <c r="B406" t="s">
        <v>2783</v>
      </c>
      <c r="C406" t="s">
        <v>2784</v>
      </c>
      <c r="D406" s="2" t="s">
        <v>103</v>
      </c>
      <c r="E406" t="s">
        <v>81</v>
      </c>
      <c r="F406" t="s">
        <v>103</v>
      </c>
      <c r="G406" t="s">
        <v>31</v>
      </c>
      <c r="H406" t="s">
        <v>31</v>
      </c>
      <c r="I406" t="s">
        <v>32</v>
      </c>
    </row>
    <row r="407" spans="1:9" x14ac:dyDescent="0.25">
      <c r="A407" t="s">
        <v>2790</v>
      </c>
      <c r="B407" t="s">
        <v>2783</v>
      </c>
      <c r="C407" t="s">
        <v>2784</v>
      </c>
      <c r="D407" s="2">
        <v>0</v>
      </c>
      <c r="E407" t="s">
        <v>30</v>
      </c>
      <c r="F407" t="s">
        <v>103</v>
      </c>
      <c r="G407">
        <v>0</v>
      </c>
      <c r="H407">
        <v>1</v>
      </c>
      <c r="I407" t="s">
        <v>32</v>
      </c>
    </row>
    <row r="408" spans="1:9" x14ac:dyDescent="0.25">
      <c r="A408" t="s">
        <v>2791</v>
      </c>
      <c r="B408" t="s">
        <v>2783</v>
      </c>
      <c r="C408" t="s">
        <v>2784</v>
      </c>
      <c r="D408" s="2">
        <v>1</v>
      </c>
      <c r="E408" t="s">
        <v>30</v>
      </c>
      <c r="F408" t="s">
        <v>103</v>
      </c>
      <c r="G408">
        <v>0</v>
      </c>
      <c r="H408">
        <v>1</v>
      </c>
      <c r="I408" t="s">
        <v>32</v>
      </c>
    </row>
    <row r="409" spans="1:9" x14ac:dyDescent="0.25">
      <c r="A409" t="s">
        <v>2792</v>
      </c>
      <c r="B409" t="s">
        <v>2783</v>
      </c>
      <c r="C409" t="s">
        <v>2784</v>
      </c>
      <c r="D409" s="2" t="b">
        <v>0</v>
      </c>
      <c r="E409" t="s">
        <v>88</v>
      </c>
      <c r="F409" t="s">
        <v>103</v>
      </c>
      <c r="G409" t="s">
        <v>31</v>
      </c>
      <c r="H409" t="s">
        <v>31</v>
      </c>
      <c r="I409" t="s">
        <v>32</v>
      </c>
    </row>
    <row r="410" spans="1:9" x14ac:dyDescent="0.25">
      <c r="A410" t="s">
        <v>2793</v>
      </c>
      <c r="B410" t="s">
        <v>2794</v>
      </c>
      <c r="C410" t="s">
        <v>2795</v>
      </c>
      <c r="D410" s="3">
        <v>0.35</v>
      </c>
      <c r="E410" t="s">
        <v>30</v>
      </c>
      <c r="F410" t="s">
        <v>103</v>
      </c>
      <c r="G410">
        <v>0</v>
      </c>
      <c r="H410">
        <v>1</v>
      </c>
      <c r="I410" t="s">
        <v>2796</v>
      </c>
    </row>
    <row r="411" spans="1:9" x14ac:dyDescent="0.25">
      <c r="A411" t="s">
        <v>2797</v>
      </c>
      <c r="B411" t="s">
        <v>2794</v>
      </c>
      <c r="C411" t="s">
        <v>2795</v>
      </c>
      <c r="D411" s="2" t="s">
        <v>2236</v>
      </c>
      <c r="E411" t="s">
        <v>81</v>
      </c>
      <c r="F411" t="s">
        <v>103</v>
      </c>
      <c r="G411" t="s">
        <v>31</v>
      </c>
      <c r="H411" t="s">
        <v>31</v>
      </c>
      <c r="I411" t="s">
        <v>32</v>
      </c>
    </row>
    <row r="412" spans="1:9" x14ac:dyDescent="0.25">
      <c r="A412" t="s">
        <v>2798</v>
      </c>
      <c r="B412" t="s">
        <v>2794</v>
      </c>
      <c r="C412" t="s">
        <v>2795</v>
      </c>
      <c r="D412" s="2" t="s">
        <v>2795</v>
      </c>
      <c r="E412" t="s">
        <v>81</v>
      </c>
      <c r="F412" t="s">
        <v>103</v>
      </c>
      <c r="G412" t="s">
        <v>31</v>
      </c>
      <c r="H412" t="s">
        <v>31</v>
      </c>
      <c r="I412" t="s">
        <v>32</v>
      </c>
    </row>
    <row r="413" spans="1:9" x14ac:dyDescent="0.25">
      <c r="A413" t="s">
        <v>2799</v>
      </c>
      <c r="B413" t="s">
        <v>2794</v>
      </c>
      <c r="C413" t="s">
        <v>2795</v>
      </c>
      <c r="D413" s="2" t="s">
        <v>2796</v>
      </c>
      <c r="E413" t="s">
        <v>81</v>
      </c>
      <c r="F413" t="s">
        <v>103</v>
      </c>
      <c r="G413" t="s">
        <v>31</v>
      </c>
      <c r="H413" t="s">
        <v>31</v>
      </c>
      <c r="I413" t="s">
        <v>32</v>
      </c>
    </row>
    <row r="414" spans="1:9" x14ac:dyDescent="0.25">
      <c r="A414" t="s">
        <v>2800</v>
      </c>
      <c r="B414" t="s">
        <v>2794</v>
      </c>
      <c r="C414" t="s">
        <v>2795</v>
      </c>
      <c r="D414" s="2" t="s">
        <v>103</v>
      </c>
      <c r="E414" t="s">
        <v>81</v>
      </c>
      <c r="F414" t="s">
        <v>103</v>
      </c>
      <c r="G414" t="s">
        <v>31</v>
      </c>
      <c r="H414" t="s">
        <v>31</v>
      </c>
      <c r="I414" t="s">
        <v>32</v>
      </c>
    </row>
    <row r="415" spans="1:9" x14ac:dyDescent="0.25">
      <c r="A415" t="s">
        <v>2801</v>
      </c>
      <c r="B415" t="s">
        <v>2794</v>
      </c>
      <c r="C415" t="s">
        <v>2795</v>
      </c>
      <c r="D415" s="2">
        <v>0</v>
      </c>
      <c r="E415" t="s">
        <v>30</v>
      </c>
      <c r="F415" t="s">
        <v>103</v>
      </c>
      <c r="G415">
        <v>0</v>
      </c>
      <c r="H415">
        <v>1</v>
      </c>
      <c r="I415" t="s">
        <v>32</v>
      </c>
    </row>
    <row r="416" spans="1:9" x14ac:dyDescent="0.25">
      <c r="A416" t="s">
        <v>2802</v>
      </c>
      <c r="B416" t="s">
        <v>2794</v>
      </c>
      <c r="C416" t="s">
        <v>2795</v>
      </c>
      <c r="D416" s="2">
        <v>1</v>
      </c>
      <c r="E416" t="s">
        <v>30</v>
      </c>
      <c r="F416" t="s">
        <v>103</v>
      </c>
      <c r="G416">
        <v>0</v>
      </c>
      <c r="H416">
        <v>1</v>
      </c>
      <c r="I416" t="s">
        <v>32</v>
      </c>
    </row>
    <row r="417" spans="1:9" x14ac:dyDescent="0.25">
      <c r="A417" t="s">
        <v>2803</v>
      </c>
      <c r="B417" t="s">
        <v>2794</v>
      </c>
      <c r="C417" t="s">
        <v>2795</v>
      </c>
      <c r="D417" s="2" t="b">
        <v>0</v>
      </c>
      <c r="E417" t="s">
        <v>88</v>
      </c>
      <c r="F417" t="s">
        <v>103</v>
      </c>
      <c r="G417" t="s">
        <v>31</v>
      </c>
      <c r="H417" t="s">
        <v>31</v>
      </c>
      <c r="I417" t="s">
        <v>32</v>
      </c>
    </row>
    <row r="418" spans="1:9" x14ac:dyDescent="0.25">
      <c r="A418" t="s">
        <v>2804</v>
      </c>
      <c r="B418" t="s">
        <v>2805</v>
      </c>
      <c r="C418" t="s">
        <v>2806</v>
      </c>
      <c r="D418" s="3">
        <v>0.28</v>
      </c>
      <c r="E418" t="s">
        <v>30</v>
      </c>
      <c r="F418" t="s">
        <v>103</v>
      </c>
      <c r="G418">
        <v>0</v>
      </c>
      <c r="H418">
        <v>1</v>
      </c>
      <c r="I418" t="s">
        <v>2807</v>
      </c>
    </row>
    <row r="419" spans="1:9" x14ac:dyDescent="0.25">
      <c r="A419" t="s">
        <v>2808</v>
      </c>
      <c r="B419" t="s">
        <v>2805</v>
      </c>
      <c r="C419" t="s">
        <v>2806</v>
      </c>
      <c r="D419" s="2" t="s">
        <v>2236</v>
      </c>
      <c r="E419" t="s">
        <v>81</v>
      </c>
      <c r="F419" t="s">
        <v>103</v>
      </c>
      <c r="G419" t="s">
        <v>31</v>
      </c>
      <c r="H419" t="s">
        <v>31</v>
      </c>
      <c r="I419" t="s">
        <v>32</v>
      </c>
    </row>
    <row r="420" spans="1:9" x14ac:dyDescent="0.25">
      <c r="A420" t="s">
        <v>2809</v>
      </c>
      <c r="B420" t="s">
        <v>2805</v>
      </c>
      <c r="C420" t="s">
        <v>2806</v>
      </c>
      <c r="D420" s="2" t="s">
        <v>2806</v>
      </c>
      <c r="E420" t="s">
        <v>81</v>
      </c>
      <c r="F420" t="s">
        <v>103</v>
      </c>
      <c r="G420" t="s">
        <v>31</v>
      </c>
      <c r="H420" t="s">
        <v>31</v>
      </c>
      <c r="I420" t="s">
        <v>32</v>
      </c>
    </row>
    <row r="421" spans="1:9" x14ac:dyDescent="0.25">
      <c r="A421" t="s">
        <v>2810</v>
      </c>
      <c r="B421" t="s">
        <v>2805</v>
      </c>
      <c r="C421" t="s">
        <v>2806</v>
      </c>
      <c r="D421" s="2" t="s">
        <v>2807</v>
      </c>
      <c r="E421" t="s">
        <v>81</v>
      </c>
      <c r="F421" t="s">
        <v>103</v>
      </c>
      <c r="G421" t="s">
        <v>31</v>
      </c>
      <c r="H421" t="s">
        <v>31</v>
      </c>
      <c r="I421" t="s">
        <v>32</v>
      </c>
    </row>
    <row r="422" spans="1:9" x14ac:dyDescent="0.25">
      <c r="A422" t="s">
        <v>2811</v>
      </c>
      <c r="B422" t="s">
        <v>2805</v>
      </c>
      <c r="C422" t="s">
        <v>2806</v>
      </c>
      <c r="D422" s="2" t="s">
        <v>103</v>
      </c>
      <c r="E422" t="s">
        <v>81</v>
      </c>
      <c r="F422" t="s">
        <v>103</v>
      </c>
      <c r="G422" t="s">
        <v>31</v>
      </c>
      <c r="H422" t="s">
        <v>31</v>
      </c>
      <c r="I422" t="s">
        <v>32</v>
      </c>
    </row>
    <row r="423" spans="1:9" x14ac:dyDescent="0.25">
      <c r="A423" t="s">
        <v>2812</v>
      </c>
      <c r="B423" t="s">
        <v>2805</v>
      </c>
      <c r="C423" t="s">
        <v>2806</v>
      </c>
      <c r="D423" s="2">
        <v>0</v>
      </c>
      <c r="E423" t="s">
        <v>30</v>
      </c>
      <c r="F423" t="s">
        <v>103</v>
      </c>
      <c r="G423">
        <v>0</v>
      </c>
      <c r="H423">
        <v>1</v>
      </c>
      <c r="I423" t="s">
        <v>32</v>
      </c>
    </row>
    <row r="424" spans="1:9" x14ac:dyDescent="0.25">
      <c r="A424" t="s">
        <v>2813</v>
      </c>
      <c r="B424" t="s">
        <v>2805</v>
      </c>
      <c r="C424" t="s">
        <v>2806</v>
      </c>
      <c r="D424" s="2">
        <v>1</v>
      </c>
      <c r="E424" t="s">
        <v>30</v>
      </c>
      <c r="F424" t="s">
        <v>103</v>
      </c>
      <c r="G424">
        <v>0</v>
      </c>
      <c r="H424">
        <v>1</v>
      </c>
      <c r="I424" t="s">
        <v>32</v>
      </c>
    </row>
    <row r="425" spans="1:9" x14ac:dyDescent="0.25">
      <c r="A425" t="s">
        <v>2814</v>
      </c>
      <c r="B425" t="s">
        <v>2805</v>
      </c>
      <c r="C425" t="s">
        <v>2806</v>
      </c>
      <c r="D425" s="2" t="b">
        <v>0</v>
      </c>
      <c r="E425" t="s">
        <v>88</v>
      </c>
      <c r="F425" t="s">
        <v>103</v>
      </c>
      <c r="G425" t="s">
        <v>31</v>
      </c>
      <c r="H425" t="s">
        <v>31</v>
      </c>
      <c r="I425" t="s">
        <v>32</v>
      </c>
    </row>
    <row r="426" spans="1:9" x14ac:dyDescent="0.25">
      <c r="A426" t="s">
        <v>2815</v>
      </c>
      <c r="B426" t="s">
        <v>2816</v>
      </c>
      <c r="C426" t="s">
        <v>2817</v>
      </c>
      <c r="D426" s="3">
        <v>4</v>
      </c>
      <c r="E426" t="s">
        <v>30</v>
      </c>
      <c r="F426" t="s">
        <v>77</v>
      </c>
      <c r="G426">
        <v>1</v>
      </c>
      <c r="H426">
        <v>100</v>
      </c>
      <c r="I426" t="s">
        <v>2818</v>
      </c>
    </row>
    <row r="427" spans="1:9" x14ac:dyDescent="0.25">
      <c r="A427" t="s">
        <v>2819</v>
      </c>
      <c r="B427" t="s">
        <v>2816</v>
      </c>
      <c r="C427" t="s">
        <v>2817</v>
      </c>
      <c r="D427" s="2" t="s">
        <v>2236</v>
      </c>
      <c r="E427" t="s">
        <v>81</v>
      </c>
      <c r="F427" t="s">
        <v>77</v>
      </c>
      <c r="G427" t="s">
        <v>31</v>
      </c>
      <c r="H427" t="s">
        <v>31</v>
      </c>
      <c r="I427" t="s">
        <v>32</v>
      </c>
    </row>
    <row r="428" spans="1:9" x14ac:dyDescent="0.25">
      <c r="A428" t="s">
        <v>2820</v>
      </c>
      <c r="B428" t="s">
        <v>2816</v>
      </c>
      <c r="C428" t="s">
        <v>2817</v>
      </c>
      <c r="D428" s="2" t="s">
        <v>2817</v>
      </c>
      <c r="E428" t="s">
        <v>81</v>
      </c>
      <c r="F428" t="s">
        <v>77</v>
      </c>
      <c r="G428" t="s">
        <v>31</v>
      </c>
      <c r="H428" t="s">
        <v>31</v>
      </c>
      <c r="I428" t="s">
        <v>32</v>
      </c>
    </row>
    <row r="429" spans="1:9" x14ac:dyDescent="0.25">
      <c r="A429" t="s">
        <v>2821</v>
      </c>
      <c r="B429" t="s">
        <v>2816</v>
      </c>
      <c r="C429" t="s">
        <v>2817</v>
      </c>
      <c r="D429" s="2" t="s">
        <v>2818</v>
      </c>
      <c r="E429" t="s">
        <v>81</v>
      </c>
      <c r="F429" t="s">
        <v>77</v>
      </c>
      <c r="G429" t="s">
        <v>31</v>
      </c>
      <c r="H429" t="s">
        <v>31</v>
      </c>
      <c r="I429" t="s">
        <v>32</v>
      </c>
    </row>
    <row r="430" spans="1:9" x14ac:dyDescent="0.25">
      <c r="A430" t="s">
        <v>2822</v>
      </c>
      <c r="B430" t="s">
        <v>2816</v>
      </c>
      <c r="C430" t="s">
        <v>2817</v>
      </c>
      <c r="D430" s="2" t="s">
        <v>77</v>
      </c>
      <c r="E430" t="s">
        <v>81</v>
      </c>
      <c r="F430" t="s">
        <v>77</v>
      </c>
      <c r="G430" t="s">
        <v>31</v>
      </c>
      <c r="H430" t="s">
        <v>31</v>
      </c>
      <c r="I430" t="s">
        <v>32</v>
      </c>
    </row>
    <row r="431" spans="1:9" x14ac:dyDescent="0.25">
      <c r="A431" t="s">
        <v>2823</v>
      </c>
      <c r="B431" t="s">
        <v>2816</v>
      </c>
      <c r="C431" t="s">
        <v>2817</v>
      </c>
      <c r="D431" s="2">
        <v>0</v>
      </c>
      <c r="E431" t="s">
        <v>30</v>
      </c>
      <c r="F431" t="s">
        <v>77</v>
      </c>
      <c r="G431">
        <v>1</v>
      </c>
      <c r="H431">
        <v>100</v>
      </c>
      <c r="I431" t="s">
        <v>32</v>
      </c>
    </row>
    <row r="432" spans="1:9" x14ac:dyDescent="0.25">
      <c r="A432" t="s">
        <v>2824</v>
      </c>
      <c r="B432" t="s">
        <v>2816</v>
      </c>
      <c r="C432" t="s">
        <v>2817</v>
      </c>
      <c r="D432" s="2">
        <v>100</v>
      </c>
      <c r="E432" t="s">
        <v>30</v>
      </c>
      <c r="F432" t="s">
        <v>77</v>
      </c>
      <c r="G432">
        <v>1</v>
      </c>
      <c r="H432">
        <v>100</v>
      </c>
      <c r="I432" t="s">
        <v>32</v>
      </c>
    </row>
    <row r="433" spans="1:9" x14ac:dyDescent="0.25">
      <c r="A433" t="s">
        <v>2825</v>
      </c>
      <c r="B433" t="s">
        <v>2816</v>
      </c>
      <c r="C433" t="s">
        <v>2817</v>
      </c>
      <c r="D433" s="2" t="b">
        <v>1</v>
      </c>
      <c r="E433" t="s">
        <v>88</v>
      </c>
      <c r="F433" t="s">
        <v>77</v>
      </c>
      <c r="G433" t="s">
        <v>31</v>
      </c>
      <c r="H433" t="s">
        <v>31</v>
      </c>
      <c r="I433" t="s">
        <v>32</v>
      </c>
    </row>
    <row r="434" spans="1:9" x14ac:dyDescent="0.25">
      <c r="A434" t="s">
        <v>2826</v>
      </c>
      <c r="B434" t="s">
        <v>2827</v>
      </c>
      <c r="C434" t="s">
        <v>2828</v>
      </c>
      <c r="D434" s="3">
        <v>0.025</v>
      </c>
      <c r="E434" t="s">
        <v>30</v>
      </c>
      <c r="F434" t="s">
        <v>103</v>
      </c>
      <c r="G434">
        <v>0</v>
      </c>
      <c r="H434">
        <v>1</v>
      </c>
      <c r="I434" t="s">
        <v>2829</v>
      </c>
    </row>
    <row r="435" spans="1:9" x14ac:dyDescent="0.25">
      <c r="A435" t="s">
        <v>2830</v>
      </c>
      <c r="B435" t="s">
        <v>2827</v>
      </c>
      <c r="C435" t="s">
        <v>2828</v>
      </c>
      <c r="D435" s="2" t="s">
        <v>2236</v>
      </c>
      <c r="E435" t="s">
        <v>81</v>
      </c>
      <c r="F435" t="s">
        <v>103</v>
      </c>
      <c r="G435" t="s">
        <v>31</v>
      </c>
      <c r="H435" t="s">
        <v>31</v>
      </c>
      <c r="I435" t="s">
        <v>32</v>
      </c>
    </row>
    <row r="436" spans="1:9" x14ac:dyDescent="0.25">
      <c r="A436" t="s">
        <v>2831</v>
      </c>
      <c r="B436" t="s">
        <v>2827</v>
      </c>
      <c r="C436" t="s">
        <v>2828</v>
      </c>
      <c r="D436" s="2" t="s">
        <v>2828</v>
      </c>
      <c r="E436" t="s">
        <v>81</v>
      </c>
      <c r="F436" t="s">
        <v>103</v>
      </c>
      <c r="G436" t="s">
        <v>31</v>
      </c>
      <c r="H436" t="s">
        <v>31</v>
      </c>
      <c r="I436" t="s">
        <v>32</v>
      </c>
    </row>
    <row r="437" spans="1:9" x14ac:dyDescent="0.25">
      <c r="A437" t="s">
        <v>2832</v>
      </c>
      <c r="B437" t="s">
        <v>2827</v>
      </c>
      <c r="C437" t="s">
        <v>2828</v>
      </c>
      <c r="D437" s="2" t="s">
        <v>2829</v>
      </c>
      <c r="E437" t="s">
        <v>81</v>
      </c>
      <c r="F437" t="s">
        <v>103</v>
      </c>
      <c r="G437" t="s">
        <v>31</v>
      </c>
      <c r="H437" t="s">
        <v>31</v>
      </c>
      <c r="I437" t="s">
        <v>32</v>
      </c>
    </row>
    <row r="438" spans="1:9" x14ac:dyDescent="0.25">
      <c r="A438" t="s">
        <v>2833</v>
      </c>
      <c r="B438" t="s">
        <v>2827</v>
      </c>
      <c r="C438" t="s">
        <v>2828</v>
      </c>
      <c r="D438" s="2" t="s">
        <v>103</v>
      </c>
      <c r="E438" t="s">
        <v>81</v>
      </c>
      <c r="F438" t="s">
        <v>103</v>
      </c>
      <c r="G438" t="s">
        <v>31</v>
      </c>
      <c r="H438" t="s">
        <v>31</v>
      </c>
      <c r="I438" t="s">
        <v>32</v>
      </c>
    </row>
    <row r="439" spans="1:9" x14ac:dyDescent="0.25">
      <c r="A439" t="s">
        <v>2834</v>
      </c>
      <c r="B439" t="s">
        <v>2827</v>
      </c>
      <c r="C439" t="s">
        <v>2828</v>
      </c>
      <c r="D439" s="2">
        <v>0</v>
      </c>
      <c r="E439" t="s">
        <v>30</v>
      </c>
      <c r="F439" t="s">
        <v>103</v>
      </c>
      <c r="G439">
        <v>0</v>
      </c>
      <c r="H439">
        <v>1</v>
      </c>
      <c r="I439" t="s">
        <v>32</v>
      </c>
    </row>
    <row r="440" spans="1:9" x14ac:dyDescent="0.25">
      <c r="A440" t="s">
        <v>2835</v>
      </c>
      <c r="B440" t="s">
        <v>2827</v>
      </c>
      <c r="C440" t="s">
        <v>2828</v>
      </c>
      <c r="D440" s="2">
        <v>1</v>
      </c>
      <c r="E440" t="s">
        <v>30</v>
      </c>
      <c r="F440" t="s">
        <v>103</v>
      </c>
      <c r="G440">
        <v>0</v>
      </c>
      <c r="H440">
        <v>1</v>
      </c>
      <c r="I440" t="s">
        <v>32</v>
      </c>
    </row>
    <row r="441" spans="1:9" x14ac:dyDescent="0.25">
      <c r="A441" t="s">
        <v>2836</v>
      </c>
      <c r="B441" t="s">
        <v>2827</v>
      </c>
      <c r="C441" t="s">
        <v>2828</v>
      </c>
      <c r="D441" s="2" t="b">
        <v>0</v>
      </c>
      <c r="E441" t="s">
        <v>88</v>
      </c>
      <c r="F441" t="s">
        <v>103</v>
      </c>
      <c r="G441" t="s">
        <v>31</v>
      </c>
      <c r="H441" t="s">
        <v>31</v>
      </c>
      <c r="I441" t="s">
        <v>32</v>
      </c>
    </row>
    <row r="442" spans="1:9" x14ac:dyDescent="0.25">
      <c r="A442" t="s">
        <v>2837</v>
      </c>
      <c r="B442" t="s">
        <v>2838</v>
      </c>
      <c r="C442" t="s">
        <v>2839</v>
      </c>
      <c r="D442" s="3">
        <v>0.07</v>
      </c>
      <c r="E442" t="s">
        <v>30</v>
      </c>
      <c r="F442" t="s">
        <v>103</v>
      </c>
      <c r="G442">
        <v>0</v>
      </c>
      <c r="H442">
        <v>1</v>
      </c>
      <c r="I442" t="s">
        <v>2840</v>
      </c>
    </row>
    <row r="443" spans="1:9" x14ac:dyDescent="0.25">
      <c r="A443" t="s">
        <v>2841</v>
      </c>
      <c r="B443" t="s">
        <v>2838</v>
      </c>
      <c r="C443" t="s">
        <v>2839</v>
      </c>
      <c r="D443" s="2" t="s">
        <v>2236</v>
      </c>
      <c r="E443" t="s">
        <v>81</v>
      </c>
      <c r="F443" t="s">
        <v>103</v>
      </c>
      <c r="G443" t="s">
        <v>31</v>
      </c>
      <c r="H443" t="s">
        <v>31</v>
      </c>
      <c r="I443" t="s">
        <v>32</v>
      </c>
    </row>
    <row r="444" spans="1:9" x14ac:dyDescent="0.25">
      <c r="A444" t="s">
        <v>2842</v>
      </c>
      <c r="B444" t="s">
        <v>2838</v>
      </c>
      <c r="C444" t="s">
        <v>2839</v>
      </c>
      <c r="D444" s="2" t="s">
        <v>2839</v>
      </c>
      <c r="E444" t="s">
        <v>81</v>
      </c>
      <c r="F444" t="s">
        <v>103</v>
      </c>
      <c r="G444" t="s">
        <v>31</v>
      </c>
      <c r="H444" t="s">
        <v>31</v>
      </c>
      <c r="I444" t="s">
        <v>32</v>
      </c>
    </row>
    <row r="445" spans="1:9" x14ac:dyDescent="0.25">
      <c r="A445" t="s">
        <v>2843</v>
      </c>
      <c r="B445" t="s">
        <v>2838</v>
      </c>
      <c r="C445" t="s">
        <v>2839</v>
      </c>
      <c r="D445" s="2" t="s">
        <v>2840</v>
      </c>
      <c r="E445" t="s">
        <v>81</v>
      </c>
      <c r="F445" t="s">
        <v>103</v>
      </c>
      <c r="G445" t="s">
        <v>31</v>
      </c>
      <c r="H445" t="s">
        <v>31</v>
      </c>
      <c r="I445" t="s">
        <v>32</v>
      </c>
    </row>
    <row r="446" spans="1:9" x14ac:dyDescent="0.25">
      <c r="A446" t="s">
        <v>2844</v>
      </c>
      <c r="B446" t="s">
        <v>2838</v>
      </c>
      <c r="C446" t="s">
        <v>2839</v>
      </c>
      <c r="D446" s="2" t="s">
        <v>103</v>
      </c>
      <c r="E446" t="s">
        <v>81</v>
      </c>
      <c r="F446" t="s">
        <v>103</v>
      </c>
      <c r="G446" t="s">
        <v>31</v>
      </c>
      <c r="H446" t="s">
        <v>31</v>
      </c>
      <c r="I446" t="s">
        <v>32</v>
      </c>
    </row>
    <row r="447" spans="1:9" x14ac:dyDescent="0.25">
      <c r="A447" t="s">
        <v>2845</v>
      </c>
      <c r="B447" t="s">
        <v>2838</v>
      </c>
      <c r="C447" t="s">
        <v>2839</v>
      </c>
      <c r="D447" s="2">
        <v>0</v>
      </c>
      <c r="E447" t="s">
        <v>30</v>
      </c>
      <c r="F447" t="s">
        <v>103</v>
      </c>
      <c r="G447">
        <v>0</v>
      </c>
      <c r="H447">
        <v>1</v>
      </c>
      <c r="I447" t="s">
        <v>32</v>
      </c>
    </row>
    <row r="448" spans="1:9" x14ac:dyDescent="0.25">
      <c r="A448" t="s">
        <v>2846</v>
      </c>
      <c r="B448" t="s">
        <v>2838</v>
      </c>
      <c r="C448" t="s">
        <v>2839</v>
      </c>
      <c r="D448" s="2">
        <v>1</v>
      </c>
      <c r="E448" t="s">
        <v>30</v>
      </c>
      <c r="F448" t="s">
        <v>103</v>
      </c>
      <c r="G448">
        <v>0</v>
      </c>
      <c r="H448">
        <v>1</v>
      </c>
      <c r="I448" t="s">
        <v>32</v>
      </c>
    </row>
    <row r="449" spans="1:9" x14ac:dyDescent="0.25">
      <c r="A449" t="s">
        <v>2847</v>
      </c>
      <c r="B449" t="s">
        <v>2838</v>
      </c>
      <c r="C449" t="s">
        <v>2839</v>
      </c>
      <c r="D449" s="2" t="b">
        <v>0</v>
      </c>
      <c r="E449" t="s">
        <v>88</v>
      </c>
      <c r="F449" t="s">
        <v>103</v>
      </c>
      <c r="G449" t="s">
        <v>31</v>
      </c>
      <c r="H449" t="s">
        <v>31</v>
      </c>
      <c r="I449" t="s">
        <v>32</v>
      </c>
    </row>
    <row r="450" spans="1:9" x14ac:dyDescent="0.25">
      <c r="A450" t="s">
        <v>2848</v>
      </c>
      <c r="B450" t="s">
        <v>2849</v>
      </c>
      <c r="C450" t="s">
        <v>2850</v>
      </c>
      <c r="D450" s="3">
        <v>0.05</v>
      </c>
      <c r="E450" t="s">
        <v>30</v>
      </c>
      <c r="F450" t="s">
        <v>103</v>
      </c>
      <c r="G450">
        <v>0</v>
      </c>
      <c r="H450">
        <v>1</v>
      </c>
      <c r="I450" t="s">
        <v>2851</v>
      </c>
    </row>
    <row r="451" spans="1:9" x14ac:dyDescent="0.25">
      <c r="A451" t="s">
        <v>2852</v>
      </c>
      <c r="B451" t="s">
        <v>2849</v>
      </c>
      <c r="C451" t="s">
        <v>2850</v>
      </c>
      <c r="D451" s="2" t="s">
        <v>2236</v>
      </c>
      <c r="E451" t="s">
        <v>81</v>
      </c>
      <c r="F451" t="s">
        <v>103</v>
      </c>
      <c r="G451" t="s">
        <v>31</v>
      </c>
      <c r="H451" t="s">
        <v>31</v>
      </c>
      <c r="I451" t="s">
        <v>32</v>
      </c>
    </row>
    <row r="452" spans="1:9" x14ac:dyDescent="0.25">
      <c r="A452" t="s">
        <v>2853</v>
      </c>
      <c r="B452" t="s">
        <v>2849</v>
      </c>
      <c r="C452" t="s">
        <v>2850</v>
      </c>
      <c r="D452" s="2" t="s">
        <v>2850</v>
      </c>
      <c r="E452" t="s">
        <v>81</v>
      </c>
      <c r="F452" t="s">
        <v>103</v>
      </c>
      <c r="G452" t="s">
        <v>31</v>
      </c>
      <c r="H452" t="s">
        <v>31</v>
      </c>
      <c r="I452" t="s">
        <v>32</v>
      </c>
    </row>
    <row r="453" spans="1:9" x14ac:dyDescent="0.25">
      <c r="A453" t="s">
        <v>2854</v>
      </c>
      <c r="B453" t="s">
        <v>2849</v>
      </c>
      <c r="C453" t="s">
        <v>2850</v>
      </c>
      <c r="D453" s="2" t="s">
        <v>2851</v>
      </c>
      <c r="E453" t="s">
        <v>81</v>
      </c>
      <c r="F453" t="s">
        <v>103</v>
      </c>
      <c r="G453" t="s">
        <v>31</v>
      </c>
      <c r="H453" t="s">
        <v>31</v>
      </c>
      <c r="I453" t="s">
        <v>32</v>
      </c>
    </row>
    <row r="454" spans="1:9" x14ac:dyDescent="0.25">
      <c r="A454" t="s">
        <v>2855</v>
      </c>
      <c r="B454" t="s">
        <v>2849</v>
      </c>
      <c r="C454" t="s">
        <v>2850</v>
      </c>
      <c r="D454" s="2" t="s">
        <v>103</v>
      </c>
      <c r="E454" t="s">
        <v>81</v>
      </c>
      <c r="F454" t="s">
        <v>103</v>
      </c>
      <c r="G454" t="s">
        <v>31</v>
      </c>
      <c r="H454" t="s">
        <v>31</v>
      </c>
      <c r="I454" t="s">
        <v>32</v>
      </c>
    </row>
    <row r="455" spans="1:9" x14ac:dyDescent="0.25">
      <c r="A455" t="s">
        <v>2856</v>
      </c>
      <c r="B455" t="s">
        <v>2849</v>
      </c>
      <c r="C455" t="s">
        <v>2850</v>
      </c>
      <c r="D455" s="2">
        <v>0</v>
      </c>
      <c r="E455" t="s">
        <v>30</v>
      </c>
      <c r="F455" t="s">
        <v>103</v>
      </c>
      <c r="G455">
        <v>0</v>
      </c>
      <c r="H455">
        <v>1</v>
      </c>
      <c r="I455" t="s">
        <v>32</v>
      </c>
    </row>
    <row r="456" spans="1:9" x14ac:dyDescent="0.25">
      <c r="A456" t="s">
        <v>2857</v>
      </c>
      <c r="B456" t="s">
        <v>2849</v>
      </c>
      <c r="C456" t="s">
        <v>2850</v>
      </c>
      <c r="D456" s="2">
        <v>1</v>
      </c>
      <c r="E456" t="s">
        <v>30</v>
      </c>
      <c r="F456" t="s">
        <v>103</v>
      </c>
      <c r="G456">
        <v>0</v>
      </c>
      <c r="H456">
        <v>1</v>
      </c>
      <c r="I456" t="s">
        <v>32</v>
      </c>
    </row>
    <row r="457" spans="1:9" x14ac:dyDescent="0.25">
      <c r="A457" t="s">
        <v>2858</v>
      </c>
      <c r="B457" t="s">
        <v>2849</v>
      </c>
      <c r="C457" t="s">
        <v>2850</v>
      </c>
      <c r="D457" s="2" t="b">
        <v>0</v>
      </c>
      <c r="E457" t="s">
        <v>88</v>
      </c>
      <c r="F457" t="s">
        <v>103</v>
      </c>
      <c r="G457" t="s">
        <v>31</v>
      </c>
      <c r="H457" t="s">
        <v>31</v>
      </c>
      <c r="I457" t="s">
        <v>32</v>
      </c>
    </row>
    <row r="458" spans="1:9" x14ac:dyDescent="0.25">
      <c r="A458" t="s">
        <v>2859</v>
      </c>
      <c r="B458" t="s">
        <v>2860</v>
      </c>
      <c r="C458" t="s">
        <v>2861</v>
      </c>
      <c r="D458" s="3">
        <v>0.55</v>
      </c>
      <c r="E458" t="s">
        <v>30</v>
      </c>
      <c r="F458" t="s">
        <v>103</v>
      </c>
      <c r="G458">
        <v>0</v>
      </c>
      <c r="H458">
        <v>1</v>
      </c>
      <c r="I458" t="s">
        <v>2862</v>
      </c>
    </row>
    <row r="459" spans="1:9" x14ac:dyDescent="0.25">
      <c r="A459" t="s">
        <v>2863</v>
      </c>
      <c r="B459" t="s">
        <v>2860</v>
      </c>
      <c r="C459" t="s">
        <v>2861</v>
      </c>
      <c r="D459" s="2" t="s">
        <v>2236</v>
      </c>
      <c r="E459" t="s">
        <v>81</v>
      </c>
      <c r="F459" t="s">
        <v>103</v>
      </c>
      <c r="G459" t="s">
        <v>31</v>
      </c>
      <c r="H459" t="s">
        <v>31</v>
      </c>
      <c r="I459" t="s">
        <v>32</v>
      </c>
    </row>
    <row r="460" spans="1:9" x14ac:dyDescent="0.25">
      <c r="A460" t="s">
        <v>2864</v>
      </c>
      <c r="B460" t="s">
        <v>2860</v>
      </c>
      <c r="C460" t="s">
        <v>2861</v>
      </c>
      <c r="D460" s="2" t="s">
        <v>2861</v>
      </c>
      <c r="E460" t="s">
        <v>81</v>
      </c>
      <c r="F460" t="s">
        <v>103</v>
      </c>
      <c r="G460" t="s">
        <v>31</v>
      </c>
      <c r="H460" t="s">
        <v>31</v>
      </c>
      <c r="I460" t="s">
        <v>32</v>
      </c>
    </row>
    <row r="461" spans="1:9" x14ac:dyDescent="0.25">
      <c r="A461" t="s">
        <v>2865</v>
      </c>
      <c r="B461" t="s">
        <v>2860</v>
      </c>
      <c r="C461" t="s">
        <v>2861</v>
      </c>
      <c r="D461" s="2" t="s">
        <v>2862</v>
      </c>
      <c r="E461" t="s">
        <v>81</v>
      </c>
      <c r="F461" t="s">
        <v>103</v>
      </c>
      <c r="G461" t="s">
        <v>31</v>
      </c>
      <c r="H461" t="s">
        <v>31</v>
      </c>
      <c r="I461" t="s">
        <v>32</v>
      </c>
    </row>
    <row r="462" spans="1:9" x14ac:dyDescent="0.25">
      <c r="A462" t="s">
        <v>2866</v>
      </c>
      <c r="B462" t="s">
        <v>2860</v>
      </c>
      <c r="C462" t="s">
        <v>2861</v>
      </c>
      <c r="D462" s="2" t="s">
        <v>103</v>
      </c>
      <c r="E462" t="s">
        <v>81</v>
      </c>
      <c r="F462" t="s">
        <v>103</v>
      </c>
      <c r="G462" t="s">
        <v>31</v>
      </c>
      <c r="H462" t="s">
        <v>31</v>
      </c>
      <c r="I462" t="s">
        <v>32</v>
      </c>
    </row>
    <row r="463" spans="1:9" x14ac:dyDescent="0.25">
      <c r="A463" t="s">
        <v>2867</v>
      </c>
      <c r="B463" t="s">
        <v>2860</v>
      </c>
      <c r="C463" t="s">
        <v>2861</v>
      </c>
      <c r="D463" s="2">
        <v>0</v>
      </c>
      <c r="E463" t="s">
        <v>30</v>
      </c>
      <c r="F463" t="s">
        <v>103</v>
      </c>
      <c r="G463">
        <v>0</v>
      </c>
      <c r="H463">
        <v>1</v>
      </c>
      <c r="I463" t="s">
        <v>32</v>
      </c>
    </row>
    <row r="464" spans="1:9" x14ac:dyDescent="0.25">
      <c r="A464" t="s">
        <v>2868</v>
      </c>
      <c r="B464" t="s">
        <v>2860</v>
      </c>
      <c r="C464" t="s">
        <v>2861</v>
      </c>
      <c r="D464" s="2">
        <v>1</v>
      </c>
      <c r="E464" t="s">
        <v>30</v>
      </c>
      <c r="F464" t="s">
        <v>103</v>
      </c>
      <c r="G464">
        <v>0</v>
      </c>
      <c r="H464">
        <v>1</v>
      </c>
      <c r="I464" t="s">
        <v>32</v>
      </c>
    </row>
    <row r="465" spans="1:9" x14ac:dyDescent="0.25">
      <c r="A465" t="s">
        <v>2869</v>
      </c>
      <c r="B465" t="s">
        <v>2860</v>
      </c>
      <c r="C465" t="s">
        <v>2861</v>
      </c>
      <c r="D465" s="2" t="b">
        <v>0</v>
      </c>
      <c r="E465" t="s">
        <v>88</v>
      </c>
      <c r="F465" t="s">
        <v>103</v>
      </c>
      <c r="G465" t="s">
        <v>31</v>
      </c>
      <c r="H465" t="s">
        <v>31</v>
      </c>
      <c r="I465" t="s">
        <v>32</v>
      </c>
    </row>
    <row r="466" spans="1:9" x14ac:dyDescent="0.25">
      <c r="A466" t="s">
        <v>2870</v>
      </c>
      <c r="B466" t="s">
        <v>2871</v>
      </c>
      <c r="C466" t="s">
        <v>2872</v>
      </c>
      <c r="D466" s="3">
        <v>2</v>
      </c>
      <c r="E466" t="s">
        <v>30</v>
      </c>
      <c r="F466" t="s">
        <v>77</v>
      </c>
      <c r="G466">
        <v>1</v>
      </c>
      <c r="H466">
        <v>100</v>
      </c>
      <c r="I466" t="s">
        <v>2873</v>
      </c>
    </row>
    <row r="467" spans="1:9" x14ac:dyDescent="0.25">
      <c r="A467" t="s">
        <v>2874</v>
      </c>
      <c r="B467" t="s">
        <v>2871</v>
      </c>
      <c r="C467" t="s">
        <v>2872</v>
      </c>
      <c r="D467" s="2" t="s">
        <v>2236</v>
      </c>
      <c r="E467" t="s">
        <v>81</v>
      </c>
      <c r="F467" t="s">
        <v>77</v>
      </c>
      <c r="G467" t="s">
        <v>31</v>
      </c>
      <c r="H467" t="s">
        <v>31</v>
      </c>
      <c r="I467" t="s">
        <v>32</v>
      </c>
    </row>
    <row r="468" spans="1:9" x14ac:dyDescent="0.25">
      <c r="A468" t="s">
        <v>2875</v>
      </c>
      <c r="B468" t="s">
        <v>2871</v>
      </c>
      <c r="C468" t="s">
        <v>2872</v>
      </c>
      <c r="D468" s="2" t="s">
        <v>2872</v>
      </c>
      <c r="E468" t="s">
        <v>81</v>
      </c>
      <c r="F468" t="s">
        <v>77</v>
      </c>
      <c r="G468" t="s">
        <v>31</v>
      </c>
      <c r="H468" t="s">
        <v>31</v>
      </c>
      <c r="I468" t="s">
        <v>32</v>
      </c>
    </row>
    <row r="469" spans="1:9" x14ac:dyDescent="0.25">
      <c r="A469" t="s">
        <v>2876</v>
      </c>
      <c r="B469" t="s">
        <v>2871</v>
      </c>
      <c r="C469" t="s">
        <v>2872</v>
      </c>
      <c r="D469" s="2" t="s">
        <v>2873</v>
      </c>
      <c r="E469" t="s">
        <v>81</v>
      </c>
      <c r="F469" t="s">
        <v>77</v>
      </c>
      <c r="G469" t="s">
        <v>31</v>
      </c>
      <c r="H469" t="s">
        <v>31</v>
      </c>
      <c r="I469" t="s">
        <v>32</v>
      </c>
    </row>
    <row r="470" spans="1:9" x14ac:dyDescent="0.25">
      <c r="A470" t="s">
        <v>2877</v>
      </c>
      <c r="B470" t="s">
        <v>2871</v>
      </c>
      <c r="C470" t="s">
        <v>2872</v>
      </c>
      <c r="D470" s="2" t="s">
        <v>77</v>
      </c>
      <c r="E470" t="s">
        <v>81</v>
      </c>
      <c r="F470" t="s">
        <v>77</v>
      </c>
      <c r="G470" t="s">
        <v>31</v>
      </c>
      <c r="H470" t="s">
        <v>31</v>
      </c>
      <c r="I470" t="s">
        <v>32</v>
      </c>
    </row>
    <row r="471" spans="1:9" x14ac:dyDescent="0.25">
      <c r="A471" t="s">
        <v>2878</v>
      </c>
      <c r="B471" t="s">
        <v>2871</v>
      </c>
      <c r="C471" t="s">
        <v>2872</v>
      </c>
      <c r="D471" s="2">
        <v>0</v>
      </c>
      <c r="E471" t="s">
        <v>30</v>
      </c>
      <c r="F471" t="s">
        <v>77</v>
      </c>
      <c r="G471">
        <v>1</v>
      </c>
      <c r="H471">
        <v>100</v>
      </c>
      <c r="I471" t="s">
        <v>32</v>
      </c>
    </row>
    <row r="472" spans="1:9" x14ac:dyDescent="0.25">
      <c r="A472" t="s">
        <v>2879</v>
      </c>
      <c r="B472" t="s">
        <v>2871</v>
      </c>
      <c r="C472" t="s">
        <v>2872</v>
      </c>
      <c r="D472" s="2">
        <v>100</v>
      </c>
      <c r="E472" t="s">
        <v>30</v>
      </c>
      <c r="F472" t="s">
        <v>77</v>
      </c>
      <c r="G472">
        <v>1</v>
      </c>
      <c r="H472">
        <v>100</v>
      </c>
      <c r="I472" t="s">
        <v>32</v>
      </c>
    </row>
    <row r="473" spans="1:9" x14ac:dyDescent="0.25">
      <c r="A473" t="s">
        <v>2880</v>
      </c>
      <c r="B473" t="s">
        <v>2871</v>
      </c>
      <c r="C473" t="s">
        <v>2872</v>
      </c>
      <c r="D473" s="2" t="b">
        <v>1</v>
      </c>
      <c r="E473" t="s">
        <v>88</v>
      </c>
      <c r="F473" t="s">
        <v>77</v>
      </c>
      <c r="G473" t="s">
        <v>31</v>
      </c>
      <c r="H473" t="s">
        <v>31</v>
      </c>
      <c r="I473" t="s">
        <v>32</v>
      </c>
    </row>
    <row r="474" spans="1:9" x14ac:dyDescent="0.25">
      <c r="A474" t="s">
        <v>2881</v>
      </c>
      <c r="B474" t="s">
        <v>2882</v>
      </c>
      <c r="C474" t="s">
        <v>2883</v>
      </c>
      <c r="D474" s="3">
        <v>5</v>
      </c>
      <c r="E474" t="s">
        <v>30</v>
      </c>
      <c r="F474" t="s">
        <v>77</v>
      </c>
      <c r="G474">
        <v>1</v>
      </c>
      <c r="H474">
        <v>5</v>
      </c>
      <c r="I474" t="s">
        <v>2884</v>
      </c>
    </row>
    <row r="475" spans="1:9" x14ac:dyDescent="0.25">
      <c r="A475" t="s">
        <v>2885</v>
      </c>
      <c r="B475" t="s">
        <v>2882</v>
      </c>
      <c r="C475" t="s">
        <v>2883</v>
      </c>
      <c r="D475" s="2" t="s">
        <v>2236</v>
      </c>
      <c r="E475" t="s">
        <v>81</v>
      </c>
      <c r="F475" t="s">
        <v>77</v>
      </c>
      <c r="G475" t="s">
        <v>31</v>
      </c>
      <c r="H475" t="s">
        <v>31</v>
      </c>
      <c r="I475" t="s">
        <v>32</v>
      </c>
    </row>
    <row r="476" spans="1:9" x14ac:dyDescent="0.25">
      <c r="A476" t="s">
        <v>2886</v>
      </c>
      <c r="B476" t="s">
        <v>2882</v>
      </c>
      <c r="C476" t="s">
        <v>2883</v>
      </c>
      <c r="D476" s="2" t="s">
        <v>2883</v>
      </c>
      <c r="E476" t="s">
        <v>81</v>
      </c>
      <c r="F476" t="s">
        <v>77</v>
      </c>
      <c r="G476" t="s">
        <v>31</v>
      </c>
      <c r="H476" t="s">
        <v>31</v>
      </c>
      <c r="I476" t="s">
        <v>32</v>
      </c>
    </row>
    <row r="477" spans="1:9" x14ac:dyDescent="0.25">
      <c r="A477" t="s">
        <v>2887</v>
      </c>
      <c r="B477" t="s">
        <v>2882</v>
      </c>
      <c r="C477" t="s">
        <v>2883</v>
      </c>
      <c r="D477" s="2" t="s">
        <v>2884</v>
      </c>
      <c r="E477" t="s">
        <v>81</v>
      </c>
      <c r="F477" t="s">
        <v>77</v>
      </c>
      <c r="G477" t="s">
        <v>31</v>
      </c>
      <c r="H477" t="s">
        <v>31</v>
      </c>
      <c r="I477" t="s">
        <v>32</v>
      </c>
    </row>
    <row r="478" spans="1:9" x14ac:dyDescent="0.25">
      <c r="A478" t="s">
        <v>2888</v>
      </c>
      <c r="B478" t="s">
        <v>2882</v>
      </c>
      <c r="C478" t="s">
        <v>2883</v>
      </c>
      <c r="D478" s="2" t="s">
        <v>77</v>
      </c>
      <c r="E478" t="s">
        <v>81</v>
      </c>
      <c r="F478" t="s">
        <v>77</v>
      </c>
      <c r="G478" t="s">
        <v>31</v>
      </c>
      <c r="H478" t="s">
        <v>31</v>
      </c>
      <c r="I478" t="s">
        <v>32</v>
      </c>
    </row>
    <row r="479" spans="1:9" x14ac:dyDescent="0.25">
      <c r="A479" t="s">
        <v>2889</v>
      </c>
      <c r="B479" t="s">
        <v>2882</v>
      </c>
      <c r="C479" t="s">
        <v>2883</v>
      </c>
      <c r="D479" s="2">
        <v>0</v>
      </c>
      <c r="E479" t="s">
        <v>30</v>
      </c>
      <c r="F479" t="s">
        <v>77</v>
      </c>
      <c r="G479">
        <v>1</v>
      </c>
      <c r="H479">
        <v>5</v>
      </c>
      <c r="I479" t="s">
        <v>32</v>
      </c>
    </row>
    <row r="480" spans="1:9" x14ac:dyDescent="0.25">
      <c r="A480" t="s">
        <v>2890</v>
      </c>
      <c r="B480" t="s">
        <v>2882</v>
      </c>
      <c r="C480" t="s">
        <v>2883</v>
      </c>
      <c r="D480" s="2">
        <v>100</v>
      </c>
      <c r="E480" t="s">
        <v>30</v>
      </c>
      <c r="F480" t="s">
        <v>77</v>
      </c>
      <c r="G480">
        <v>1</v>
      </c>
      <c r="H480">
        <v>5</v>
      </c>
      <c r="I480" t="s">
        <v>32</v>
      </c>
    </row>
    <row r="481" spans="1:9" x14ac:dyDescent="0.25">
      <c r="A481" t="s">
        <v>2891</v>
      </c>
      <c r="B481" t="s">
        <v>2882</v>
      </c>
      <c r="C481" t="s">
        <v>2883</v>
      </c>
      <c r="D481" s="2" t="b">
        <v>1</v>
      </c>
      <c r="E481" t="s">
        <v>88</v>
      </c>
      <c r="F481" t="s">
        <v>77</v>
      </c>
      <c r="G481" t="s">
        <v>31</v>
      </c>
      <c r="H481" t="s">
        <v>31</v>
      </c>
      <c r="I481" t="s">
        <v>32</v>
      </c>
    </row>
    <row r="482" spans="1:9" x14ac:dyDescent="0.25">
      <c r="A482" t="s">
        <v>2892</v>
      </c>
      <c r="B482" t="s">
        <v>2893</v>
      </c>
      <c r="C482" t="s">
        <v>2894</v>
      </c>
      <c r="D482" s="3">
        <v>2.5</v>
      </c>
      <c r="E482" t="s">
        <v>30</v>
      </c>
      <c r="F482" t="s">
        <v>77</v>
      </c>
      <c r="G482">
        <v>0</v>
      </c>
      <c r="H482">
        <v>100</v>
      </c>
      <c r="I482" t="s">
        <v>2895</v>
      </c>
    </row>
    <row r="483" spans="1:9" x14ac:dyDescent="0.25">
      <c r="A483" t="s">
        <v>2896</v>
      </c>
      <c r="B483" t="s">
        <v>2893</v>
      </c>
      <c r="C483" t="s">
        <v>2894</v>
      </c>
      <c r="D483" s="2" t="s">
        <v>2236</v>
      </c>
      <c r="E483" t="s">
        <v>81</v>
      </c>
      <c r="F483" t="s">
        <v>77</v>
      </c>
      <c r="G483" t="s">
        <v>31</v>
      </c>
      <c r="H483" t="s">
        <v>31</v>
      </c>
      <c r="I483" t="s">
        <v>32</v>
      </c>
    </row>
    <row r="484" spans="1:9" x14ac:dyDescent="0.25">
      <c r="A484" t="s">
        <v>2897</v>
      </c>
      <c r="B484" t="s">
        <v>2893</v>
      </c>
      <c r="C484" t="s">
        <v>2894</v>
      </c>
      <c r="D484" s="2" t="s">
        <v>2894</v>
      </c>
      <c r="E484" t="s">
        <v>81</v>
      </c>
      <c r="F484" t="s">
        <v>77</v>
      </c>
      <c r="G484" t="s">
        <v>31</v>
      </c>
      <c r="H484" t="s">
        <v>31</v>
      </c>
      <c r="I484" t="s">
        <v>32</v>
      </c>
    </row>
    <row r="485" spans="1:9" x14ac:dyDescent="0.25">
      <c r="A485" t="s">
        <v>2898</v>
      </c>
      <c r="B485" t="s">
        <v>2893</v>
      </c>
      <c r="C485" t="s">
        <v>2894</v>
      </c>
      <c r="D485" s="2" t="s">
        <v>2895</v>
      </c>
      <c r="E485" t="s">
        <v>81</v>
      </c>
      <c r="F485" t="s">
        <v>77</v>
      </c>
      <c r="G485" t="s">
        <v>31</v>
      </c>
      <c r="H485" t="s">
        <v>31</v>
      </c>
      <c r="I485" t="s">
        <v>32</v>
      </c>
    </row>
    <row r="486" spans="1:9" x14ac:dyDescent="0.25">
      <c r="A486" t="s">
        <v>2899</v>
      </c>
      <c r="B486" t="s">
        <v>2893</v>
      </c>
      <c r="C486" t="s">
        <v>2894</v>
      </c>
      <c r="D486" s="2" t="s">
        <v>77</v>
      </c>
      <c r="E486" t="s">
        <v>81</v>
      </c>
      <c r="F486" t="s">
        <v>77</v>
      </c>
      <c r="G486" t="s">
        <v>31</v>
      </c>
      <c r="H486" t="s">
        <v>31</v>
      </c>
      <c r="I486" t="s">
        <v>32</v>
      </c>
    </row>
    <row r="487" spans="1:9" x14ac:dyDescent="0.25">
      <c r="A487" t="s">
        <v>2900</v>
      </c>
      <c r="B487" t="s">
        <v>2893</v>
      </c>
      <c r="C487" t="s">
        <v>2894</v>
      </c>
      <c r="D487" s="2">
        <v>0</v>
      </c>
      <c r="E487" t="s">
        <v>30</v>
      </c>
      <c r="F487" t="s">
        <v>77</v>
      </c>
      <c r="G487">
        <v>0</v>
      </c>
      <c r="H487">
        <v>100</v>
      </c>
      <c r="I487" t="s">
        <v>32</v>
      </c>
    </row>
    <row r="488" spans="1:9" x14ac:dyDescent="0.25">
      <c r="A488" t="s">
        <v>2901</v>
      </c>
      <c r="B488" t="s">
        <v>2893</v>
      </c>
      <c r="C488" t="s">
        <v>2894</v>
      </c>
      <c r="D488" s="2">
        <v>100</v>
      </c>
      <c r="E488" t="s">
        <v>30</v>
      </c>
      <c r="F488" t="s">
        <v>77</v>
      </c>
      <c r="G488">
        <v>0</v>
      </c>
      <c r="H488">
        <v>100</v>
      </c>
      <c r="I488" t="s">
        <v>32</v>
      </c>
    </row>
    <row r="489" spans="1:9" x14ac:dyDescent="0.25">
      <c r="A489" t="s">
        <v>2902</v>
      </c>
      <c r="B489" t="s">
        <v>2893</v>
      </c>
      <c r="C489" t="s">
        <v>2894</v>
      </c>
      <c r="D489" s="2" t="b">
        <v>0</v>
      </c>
      <c r="E489" t="s">
        <v>88</v>
      </c>
      <c r="F489" t="s">
        <v>77</v>
      </c>
      <c r="G489" t="s">
        <v>31</v>
      </c>
      <c r="H489" t="s">
        <v>31</v>
      </c>
      <c r="I489" t="s">
        <v>32</v>
      </c>
    </row>
    <row r="490" spans="1:9" x14ac:dyDescent="0.25">
      <c r="A490" t="s">
        <v>2903</v>
      </c>
      <c r="B490" t="s">
        <v>2904</v>
      </c>
      <c r="C490" t="s">
        <v>2905</v>
      </c>
      <c r="D490" s="3">
        <v>3</v>
      </c>
      <c r="E490" t="s">
        <v>30</v>
      </c>
      <c r="F490" t="s">
        <v>77</v>
      </c>
      <c r="G490">
        <v>1</v>
      </c>
      <c r="H490">
        <v>100</v>
      </c>
      <c r="I490" t="s">
        <v>2906</v>
      </c>
    </row>
    <row r="491" spans="1:9" x14ac:dyDescent="0.25">
      <c r="A491" t="s">
        <v>2907</v>
      </c>
      <c r="B491" t="s">
        <v>2904</v>
      </c>
      <c r="C491" t="s">
        <v>2905</v>
      </c>
      <c r="D491" s="2" t="s">
        <v>2236</v>
      </c>
      <c r="E491" t="s">
        <v>81</v>
      </c>
      <c r="F491" t="s">
        <v>77</v>
      </c>
      <c r="G491" t="s">
        <v>31</v>
      </c>
      <c r="H491" t="s">
        <v>31</v>
      </c>
      <c r="I491" t="s">
        <v>32</v>
      </c>
    </row>
    <row r="492" spans="1:9" x14ac:dyDescent="0.25">
      <c r="A492" t="s">
        <v>2908</v>
      </c>
      <c r="B492" t="s">
        <v>2904</v>
      </c>
      <c r="C492" t="s">
        <v>2905</v>
      </c>
      <c r="D492" s="2" t="s">
        <v>2905</v>
      </c>
      <c r="E492" t="s">
        <v>81</v>
      </c>
      <c r="F492" t="s">
        <v>77</v>
      </c>
      <c r="G492" t="s">
        <v>31</v>
      </c>
      <c r="H492" t="s">
        <v>31</v>
      </c>
      <c r="I492" t="s">
        <v>32</v>
      </c>
    </row>
    <row r="493" spans="1:9" x14ac:dyDescent="0.25">
      <c r="A493" t="s">
        <v>2909</v>
      </c>
      <c r="B493" t="s">
        <v>2904</v>
      </c>
      <c r="C493" t="s">
        <v>2905</v>
      </c>
      <c r="D493" s="2" t="s">
        <v>2906</v>
      </c>
      <c r="E493" t="s">
        <v>81</v>
      </c>
      <c r="F493" t="s">
        <v>77</v>
      </c>
      <c r="G493" t="s">
        <v>31</v>
      </c>
      <c r="H493" t="s">
        <v>31</v>
      </c>
      <c r="I493" t="s">
        <v>32</v>
      </c>
    </row>
    <row r="494" spans="1:9" x14ac:dyDescent="0.25">
      <c r="A494" t="s">
        <v>2910</v>
      </c>
      <c r="B494" t="s">
        <v>2904</v>
      </c>
      <c r="C494" t="s">
        <v>2905</v>
      </c>
      <c r="D494" s="2" t="s">
        <v>77</v>
      </c>
      <c r="E494" t="s">
        <v>81</v>
      </c>
      <c r="F494" t="s">
        <v>77</v>
      </c>
      <c r="G494" t="s">
        <v>31</v>
      </c>
      <c r="H494" t="s">
        <v>31</v>
      </c>
      <c r="I494" t="s">
        <v>32</v>
      </c>
    </row>
    <row r="495" spans="1:9" x14ac:dyDescent="0.25">
      <c r="A495" t="s">
        <v>2911</v>
      </c>
      <c r="B495" t="s">
        <v>2904</v>
      </c>
      <c r="C495" t="s">
        <v>2905</v>
      </c>
      <c r="D495" s="2">
        <v>0</v>
      </c>
      <c r="E495" t="s">
        <v>30</v>
      </c>
      <c r="F495" t="s">
        <v>77</v>
      </c>
      <c r="G495">
        <v>1</v>
      </c>
      <c r="H495">
        <v>100</v>
      </c>
      <c r="I495" t="s">
        <v>32</v>
      </c>
    </row>
    <row r="496" spans="1:9" x14ac:dyDescent="0.25">
      <c r="A496" t="s">
        <v>2912</v>
      </c>
      <c r="B496" t="s">
        <v>2904</v>
      </c>
      <c r="C496" t="s">
        <v>2905</v>
      </c>
      <c r="D496" s="2">
        <v>100</v>
      </c>
      <c r="E496" t="s">
        <v>30</v>
      </c>
      <c r="F496" t="s">
        <v>77</v>
      </c>
      <c r="G496">
        <v>1</v>
      </c>
      <c r="H496">
        <v>100</v>
      </c>
      <c r="I496" t="s">
        <v>32</v>
      </c>
    </row>
    <row r="497" spans="1:9" x14ac:dyDescent="0.25">
      <c r="A497" t="s">
        <v>2913</v>
      </c>
      <c r="B497" t="s">
        <v>2904</v>
      </c>
      <c r="C497" t="s">
        <v>2905</v>
      </c>
      <c r="D497" s="2" t="b">
        <v>1</v>
      </c>
      <c r="E497" t="s">
        <v>88</v>
      </c>
      <c r="F497" t="s">
        <v>77</v>
      </c>
      <c r="G497" t="s">
        <v>31</v>
      </c>
      <c r="H497" t="s">
        <v>31</v>
      </c>
      <c r="I497" t="s">
        <v>32</v>
      </c>
    </row>
    <row r="498" spans="1:9" x14ac:dyDescent="0.25">
      <c r="A498" t="s">
        <v>2914</v>
      </c>
      <c r="B498" t="s">
        <v>2915</v>
      </c>
      <c r="C498" t="s">
        <v>2916</v>
      </c>
      <c r="D498" s="3">
        <v>18</v>
      </c>
      <c r="E498" t="s">
        <v>30</v>
      </c>
      <c r="F498" t="s">
        <v>77</v>
      </c>
      <c r="G498">
        <v>1</v>
      </c>
      <c r="H498">
        <v>100</v>
      </c>
      <c r="I498" t="s">
        <v>2917</v>
      </c>
    </row>
    <row r="499" spans="1:9" x14ac:dyDescent="0.25">
      <c r="A499" t="s">
        <v>2918</v>
      </c>
      <c r="B499" t="s">
        <v>2915</v>
      </c>
      <c r="C499" t="s">
        <v>2916</v>
      </c>
      <c r="D499" s="2" t="s">
        <v>2236</v>
      </c>
      <c r="E499" t="s">
        <v>81</v>
      </c>
      <c r="F499" t="s">
        <v>77</v>
      </c>
      <c r="G499" t="s">
        <v>31</v>
      </c>
      <c r="H499" t="s">
        <v>31</v>
      </c>
      <c r="I499" t="s">
        <v>32</v>
      </c>
    </row>
    <row r="500" spans="1:9" x14ac:dyDescent="0.25">
      <c r="A500" t="s">
        <v>2919</v>
      </c>
      <c r="B500" t="s">
        <v>2915</v>
      </c>
      <c r="C500" t="s">
        <v>2916</v>
      </c>
      <c r="D500" s="2" t="s">
        <v>2916</v>
      </c>
      <c r="E500" t="s">
        <v>81</v>
      </c>
      <c r="F500" t="s">
        <v>77</v>
      </c>
      <c r="G500" t="s">
        <v>31</v>
      </c>
      <c r="H500" t="s">
        <v>31</v>
      </c>
      <c r="I500" t="s">
        <v>32</v>
      </c>
    </row>
    <row r="501" spans="1:9" x14ac:dyDescent="0.25">
      <c r="A501" t="s">
        <v>2920</v>
      </c>
      <c r="B501" t="s">
        <v>2915</v>
      </c>
      <c r="C501" t="s">
        <v>2916</v>
      </c>
      <c r="D501" s="2" t="s">
        <v>2917</v>
      </c>
      <c r="E501" t="s">
        <v>81</v>
      </c>
      <c r="F501" t="s">
        <v>77</v>
      </c>
      <c r="G501" t="s">
        <v>31</v>
      </c>
      <c r="H501" t="s">
        <v>31</v>
      </c>
      <c r="I501" t="s">
        <v>32</v>
      </c>
    </row>
    <row r="502" spans="1:9" x14ac:dyDescent="0.25">
      <c r="A502" t="s">
        <v>2921</v>
      </c>
      <c r="B502" t="s">
        <v>2915</v>
      </c>
      <c r="C502" t="s">
        <v>2916</v>
      </c>
      <c r="D502" s="2" t="s">
        <v>77</v>
      </c>
      <c r="E502" t="s">
        <v>81</v>
      </c>
      <c r="F502" t="s">
        <v>77</v>
      </c>
      <c r="G502" t="s">
        <v>31</v>
      </c>
      <c r="H502" t="s">
        <v>31</v>
      </c>
      <c r="I502" t="s">
        <v>32</v>
      </c>
    </row>
    <row r="503" spans="1:9" x14ac:dyDescent="0.25">
      <c r="A503" t="s">
        <v>2922</v>
      </c>
      <c r="B503" t="s">
        <v>2915</v>
      </c>
      <c r="C503" t="s">
        <v>2916</v>
      </c>
      <c r="D503" s="2">
        <v>0</v>
      </c>
      <c r="E503" t="s">
        <v>30</v>
      </c>
      <c r="F503" t="s">
        <v>77</v>
      </c>
      <c r="G503">
        <v>1</v>
      </c>
      <c r="H503">
        <v>100</v>
      </c>
      <c r="I503" t="s">
        <v>32</v>
      </c>
    </row>
    <row r="504" spans="1:9" x14ac:dyDescent="0.25">
      <c r="A504" t="s">
        <v>2923</v>
      </c>
      <c r="B504" t="s">
        <v>2915</v>
      </c>
      <c r="C504" t="s">
        <v>2916</v>
      </c>
      <c r="D504" s="2">
        <v>180</v>
      </c>
      <c r="E504" t="s">
        <v>30</v>
      </c>
      <c r="F504" t="s">
        <v>77</v>
      </c>
      <c r="G504">
        <v>1</v>
      </c>
      <c r="H504">
        <v>100</v>
      </c>
      <c r="I504" t="s">
        <v>32</v>
      </c>
    </row>
    <row r="505" spans="1:9" x14ac:dyDescent="0.25">
      <c r="A505" t="s">
        <v>2924</v>
      </c>
      <c r="B505" t="s">
        <v>2915</v>
      </c>
      <c r="C505" t="s">
        <v>2916</v>
      </c>
      <c r="D505" s="2" t="b">
        <v>1</v>
      </c>
      <c r="E505" t="s">
        <v>88</v>
      </c>
      <c r="F505" t="s">
        <v>77</v>
      </c>
      <c r="G505" t="s">
        <v>31</v>
      </c>
      <c r="H505" t="s">
        <v>31</v>
      </c>
      <c r="I505" t="s">
        <v>32</v>
      </c>
    </row>
    <row r="506" spans="1:9" x14ac:dyDescent="0.25">
      <c r="A506" t="s">
        <v>2925</v>
      </c>
      <c r="B506" t="s">
        <v>2926</v>
      </c>
      <c r="C506" t="s">
        <v>2927</v>
      </c>
      <c r="D506" s="3">
        <v>6</v>
      </c>
      <c r="E506" t="s">
        <v>30</v>
      </c>
      <c r="F506" t="s">
        <v>77</v>
      </c>
      <c r="G506">
        <v>1</v>
      </c>
      <c r="H506">
        <v>100</v>
      </c>
      <c r="I506" t="s">
        <v>2928</v>
      </c>
    </row>
    <row r="507" spans="1:9" x14ac:dyDescent="0.25">
      <c r="A507" t="s">
        <v>2929</v>
      </c>
      <c r="B507" t="s">
        <v>2926</v>
      </c>
      <c r="C507" t="s">
        <v>2927</v>
      </c>
      <c r="D507" s="2" t="s">
        <v>2236</v>
      </c>
      <c r="E507" t="s">
        <v>81</v>
      </c>
      <c r="F507" t="s">
        <v>77</v>
      </c>
      <c r="G507" t="s">
        <v>31</v>
      </c>
      <c r="H507" t="s">
        <v>31</v>
      </c>
      <c r="I507" t="s">
        <v>32</v>
      </c>
    </row>
    <row r="508" spans="1:9" x14ac:dyDescent="0.25">
      <c r="A508" t="s">
        <v>2930</v>
      </c>
      <c r="B508" t="s">
        <v>2926</v>
      </c>
      <c r="C508" t="s">
        <v>2927</v>
      </c>
      <c r="D508" s="2" t="s">
        <v>2927</v>
      </c>
      <c r="E508" t="s">
        <v>81</v>
      </c>
      <c r="F508" t="s">
        <v>77</v>
      </c>
      <c r="G508" t="s">
        <v>31</v>
      </c>
      <c r="H508" t="s">
        <v>31</v>
      </c>
      <c r="I508" t="s">
        <v>32</v>
      </c>
    </row>
    <row r="509" spans="1:9" x14ac:dyDescent="0.25">
      <c r="A509" t="s">
        <v>2931</v>
      </c>
      <c r="B509" t="s">
        <v>2926</v>
      </c>
      <c r="C509" t="s">
        <v>2927</v>
      </c>
      <c r="D509" s="2" t="s">
        <v>2928</v>
      </c>
      <c r="E509" t="s">
        <v>81</v>
      </c>
      <c r="F509" t="s">
        <v>77</v>
      </c>
      <c r="G509" t="s">
        <v>31</v>
      </c>
      <c r="H509" t="s">
        <v>31</v>
      </c>
      <c r="I509" t="s">
        <v>32</v>
      </c>
    </row>
    <row r="510" spans="1:9" x14ac:dyDescent="0.25">
      <c r="A510" t="s">
        <v>2932</v>
      </c>
      <c r="B510" t="s">
        <v>2926</v>
      </c>
      <c r="C510" t="s">
        <v>2927</v>
      </c>
      <c r="D510" s="2" t="s">
        <v>77</v>
      </c>
      <c r="E510" t="s">
        <v>81</v>
      </c>
      <c r="F510" t="s">
        <v>77</v>
      </c>
      <c r="G510" t="s">
        <v>31</v>
      </c>
      <c r="H510" t="s">
        <v>31</v>
      </c>
      <c r="I510" t="s">
        <v>32</v>
      </c>
    </row>
    <row r="511" spans="1:9" x14ac:dyDescent="0.25">
      <c r="A511" t="s">
        <v>2933</v>
      </c>
      <c r="B511" t="s">
        <v>2926</v>
      </c>
      <c r="C511" t="s">
        <v>2927</v>
      </c>
      <c r="D511" s="2">
        <v>0</v>
      </c>
      <c r="E511" t="s">
        <v>30</v>
      </c>
      <c r="F511" t="s">
        <v>77</v>
      </c>
      <c r="G511">
        <v>1</v>
      </c>
      <c r="H511">
        <v>100</v>
      </c>
      <c r="I511" t="s">
        <v>32</v>
      </c>
    </row>
    <row r="512" spans="1:9" x14ac:dyDescent="0.25">
      <c r="A512" t="s">
        <v>2934</v>
      </c>
      <c r="B512" t="s">
        <v>2926</v>
      </c>
      <c r="C512" t="s">
        <v>2927</v>
      </c>
      <c r="D512" s="2">
        <v>100</v>
      </c>
      <c r="E512" t="s">
        <v>30</v>
      </c>
      <c r="F512" t="s">
        <v>77</v>
      </c>
      <c r="G512">
        <v>1</v>
      </c>
      <c r="H512">
        <v>100</v>
      </c>
      <c r="I512" t="s">
        <v>32</v>
      </c>
    </row>
    <row r="513" spans="1:9" x14ac:dyDescent="0.25">
      <c r="A513" t="s">
        <v>2935</v>
      </c>
      <c r="B513" t="s">
        <v>2926</v>
      </c>
      <c r="C513" t="s">
        <v>2927</v>
      </c>
      <c r="D513" s="2" t="b">
        <v>1</v>
      </c>
      <c r="E513" t="s">
        <v>88</v>
      </c>
      <c r="F513" t="s">
        <v>77</v>
      </c>
      <c r="G513" t="s">
        <v>31</v>
      </c>
      <c r="H513" t="s">
        <v>31</v>
      </c>
      <c r="I513" t="s">
        <v>32</v>
      </c>
    </row>
    <row r="514" spans="1:9" x14ac:dyDescent="0.25">
      <c r="A514" t="s">
        <v>2936</v>
      </c>
      <c r="B514" t="s">
        <v>2937</v>
      </c>
      <c r="C514" t="s">
        <v>2938</v>
      </c>
      <c r="D514" s="3">
        <v>2</v>
      </c>
      <c r="E514" t="s">
        <v>30</v>
      </c>
      <c r="F514" t="s">
        <v>77</v>
      </c>
      <c r="G514">
        <v>1</v>
      </c>
      <c r="H514">
        <v>100</v>
      </c>
      <c r="I514" t="s">
        <v>2939</v>
      </c>
    </row>
    <row r="515" spans="1:9" x14ac:dyDescent="0.25">
      <c r="A515" t="s">
        <v>2940</v>
      </c>
      <c r="B515" t="s">
        <v>2937</v>
      </c>
      <c r="C515" t="s">
        <v>2938</v>
      </c>
      <c r="D515" s="2" t="s">
        <v>2236</v>
      </c>
      <c r="E515" t="s">
        <v>81</v>
      </c>
      <c r="F515" t="s">
        <v>77</v>
      </c>
      <c r="G515" t="s">
        <v>31</v>
      </c>
      <c r="H515" t="s">
        <v>31</v>
      </c>
      <c r="I515" t="s">
        <v>32</v>
      </c>
    </row>
    <row r="516" spans="1:9" x14ac:dyDescent="0.25">
      <c r="A516" t="s">
        <v>2941</v>
      </c>
      <c r="B516" t="s">
        <v>2937</v>
      </c>
      <c r="C516" t="s">
        <v>2938</v>
      </c>
      <c r="D516" s="2" t="s">
        <v>2938</v>
      </c>
      <c r="E516" t="s">
        <v>81</v>
      </c>
      <c r="F516" t="s">
        <v>77</v>
      </c>
      <c r="G516" t="s">
        <v>31</v>
      </c>
      <c r="H516" t="s">
        <v>31</v>
      </c>
      <c r="I516" t="s">
        <v>32</v>
      </c>
    </row>
    <row r="517" spans="1:9" x14ac:dyDescent="0.25">
      <c r="A517" t="s">
        <v>2942</v>
      </c>
      <c r="B517" t="s">
        <v>2937</v>
      </c>
      <c r="C517" t="s">
        <v>2938</v>
      </c>
      <c r="D517" s="2" t="s">
        <v>2939</v>
      </c>
      <c r="E517" t="s">
        <v>81</v>
      </c>
      <c r="F517" t="s">
        <v>77</v>
      </c>
      <c r="G517" t="s">
        <v>31</v>
      </c>
      <c r="H517" t="s">
        <v>31</v>
      </c>
      <c r="I517" t="s">
        <v>32</v>
      </c>
    </row>
    <row r="518" spans="1:9" x14ac:dyDescent="0.25">
      <c r="A518" t="s">
        <v>2943</v>
      </c>
      <c r="B518" t="s">
        <v>2937</v>
      </c>
      <c r="C518" t="s">
        <v>2938</v>
      </c>
      <c r="D518" s="2" t="s">
        <v>77</v>
      </c>
      <c r="E518" t="s">
        <v>81</v>
      </c>
      <c r="F518" t="s">
        <v>77</v>
      </c>
      <c r="G518" t="s">
        <v>31</v>
      </c>
      <c r="H518" t="s">
        <v>31</v>
      </c>
      <c r="I518" t="s">
        <v>32</v>
      </c>
    </row>
    <row r="519" spans="1:9" x14ac:dyDescent="0.25">
      <c r="A519" t="s">
        <v>2944</v>
      </c>
      <c r="B519" t="s">
        <v>2937</v>
      </c>
      <c r="C519" t="s">
        <v>2938</v>
      </c>
      <c r="D519" s="2">
        <v>0</v>
      </c>
      <c r="E519" t="s">
        <v>30</v>
      </c>
      <c r="F519" t="s">
        <v>77</v>
      </c>
      <c r="G519">
        <v>1</v>
      </c>
      <c r="H519">
        <v>100</v>
      </c>
      <c r="I519" t="s">
        <v>32</v>
      </c>
    </row>
    <row r="520" spans="1:9" x14ac:dyDescent="0.25">
      <c r="A520" t="s">
        <v>2945</v>
      </c>
      <c r="B520" t="s">
        <v>2937</v>
      </c>
      <c r="C520" t="s">
        <v>2938</v>
      </c>
      <c r="D520" s="2">
        <v>100</v>
      </c>
      <c r="E520" t="s">
        <v>30</v>
      </c>
      <c r="F520" t="s">
        <v>77</v>
      </c>
      <c r="G520">
        <v>1</v>
      </c>
      <c r="H520">
        <v>100</v>
      </c>
      <c r="I520" t="s">
        <v>32</v>
      </c>
    </row>
    <row r="521" spans="1:9" x14ac:dyDescent="0.25">
      <c r="A521" t="s">
        <v>2946</v>
      </c>
      <c r="B521" t="s">
        <v>2937</v>
      </c>
      <c r="C521" t="s">
        <v>2938</v>
      </c>
      <c r="D521" s="2" t="b">
        <v>1</v>
      </c>
      <c r="E521" t="s">
        <v>88</v>
      </c>
      <c r="F521" t="s">
        <v>77</v>
      </c>
      <c r="G521" t="s">
        <v>31</v>
      </c>
      <c r="H521" t="s">
        <v>31</v>
      </c>
      <c r="I521" t="s">
        <v>32</v>
      </c>
    </row>
    <row r="522" spans="1:9" x14ac:dyDescent="0.25">
      <c r="A522" t="s">
        <v>2947</v>
      </c>
      <c r="B522" t="s">
        <v>2948</v>
      </c>
      <c r="C522" t="s">
        <v>2949</v>
      </c>
      <c r="D522" s="3">
        <v>20</v>
      </c>
      <c r="E522" t="s">
        <v>30</v>
      </c>
      <c r="F522" t="s">
        <v>77</v>
      </c>
      <c r="G522">
        <v>1</v>
      </c>
      <c r="H522">
        <v>100</v>
      </c>
      <c r="I522" t="s">
        <v>2950</v>
      </c>
    </row>
    <row r="523" spans="1:9" x14ac:dyDescent="0.25">
      <c r="A523" t="s">
        <v>2951</v>
      </c>
      <c r="B523" t="s">
        <v>2948</v>
      </c>
      <c r="C523" t="s">
        <v>2949</v>
      </c>
      <c r="D523" s="2" t="s">
        <v>2236</v>
      </c>
      <c r="E523" t="s">
        <v>81</v>
      </c>
      <c r="F523" t="s">
        <v>77</v>
      </c>
      <c r="G523" t="s">
        <v>31</v>
      </c>
      <c r="H523" t="s">
        <v>31</v>
      </c>
      <c r="I523" t="s">
        <v>32</v>
      </c>
    </row>
    <row r="524" spans="1:9" x14ac:dyDescent="0.25">
      <c r="A524" t="s">
        <v>2952</v>
      </c>
      <c r="B524" t="s">
        <v>2948</v>
      </c>
      <c r="C524" t="s">
        <v>2949</v>
      </c>
      <c r="D524" s="2" t="s">
        <v>2949</v>
      </c>
      <c r="E524" t="s">
        <v>81</v>
      </c>
      <c r="F524" t="s">
        <v>77</v>
      </c>
      <c r="G524" t="s">
        <v>31</v>
      </c>
      <c r="H524" t="s">
        <v>31</v>
      </c>
      <c r="I524" t="s">
        <v>32</v>
      </c>
    </row>
    <row r="525" spans="1:9" x14ac:dyDescent="0.25">
      <c r="A525" t="s">
        <v>2953</v>
      </c>
      <c r="B525" t="s">
        <v>2948</v>
      </c>
      <c r="C525" t="s">
        <v>2949</v>
      </c>
      <c r="D525" s="2" t="s">
        <v>2950</v>
      </c>
      <c r="E525" t="s">
        <v>81</v>
      </c>
      <c r="F525" t="s">
        <v>77</v>
      </c>
      <c r="G525" t="s">
        <v>31</v>
      </c>
      <c r="H525" t="s">
        <v>31</v>
      </c>
      <c r="I525" t="s">
        <v>32</v>
      </c>
    </row>
    <row r="526" spans="1:9" x14ac:dyDescent="0.25">
      <c r="A526" t="s">
        <v>2954</v>
      </c>
      <c r="B526" t="s">
        <v>2948</v>
      </c>
      <c r="C526" t="s">
        <v>2949</v>
      </c>
      <c r="D526" s="2" t="s">
        <v>77</v>
      </c>
      <c r="E526" t="s">
        <v>81</v>
      </c>
      <c r="F526" t="s">
        <v>77</v>
      </c>
      <c r="G526" t="s">
        <v>31</v>
      </c>
      <c r="H526" t="s">
        <v>31</v>
      </c>
      <c r="I526" t="s">
        <v>32</v>
      </c>
    </row>
    <row r="527" spans="1:9" x14ac:dyDescent="0.25">
      <c r="A527" t="s">
        <v>2955</v>
      </c>
      <c r="B527" t="s">
        <v>2948</v>
      </c>
      <c r="C527" t="s">
        <v>2949</v>
      </c>
      <c r="D527" s="2">
        <v>0</v>
      </c>
      <c r="E527" t="s">
        <v>30</v>
      </c>
      <c r="F527" t="s">
        <v>77</v>
      </c>
      <c r="G527">
        <v>1</v>
      </c>
      <c r="H527">
        <v>100</v>
      </c>
      <c r="I527" t="s">
        <v>32</v>
      </c>
    </row>
    <row r="528" spans="1:9" x14ac:dyDescent="0.25">
      <c r="A528" t="s">
        <v>2956</v>
      </c>
      <c r="B528" t="s">
        <v>2948</v>
      </c>
      <c r="C528" t="s">
        <v>2949</v>
      </c>
      <c r="D528" s="2">
        <v>200</v>
      </c>
      <c r="E528" t="s">
        <v>30</v>
      </c>
      <c r="F528" t="s">
        <v>77</v>
      </c>
      <c r="G528">
        <v>1</v>
      </c>
      <c r="H528">
        <v>100</v>
      </c>
      <c r="I528" t="s">
        <v>32</v>
      </c>
    </row>
    <row r="529" spans="1:9" x14ac:dyDescent="0.25">
      <c r="A529" t="s">
        <v>2957</v>
      </c>
      <c r="B529" t="s">
        <v>2948</v>
      </c>
      <c r="C529" t="s">
        <v>2949</v>
      </c>
      <c r="D529" s="2" t="b">
        <v>1</v>
      </c>
      <c r="E529" t="s">
        <v>88</v>
      </c>
      <c r="F529" t="s">
        <v>77</v>
      </c>
      <c r="G529" t="s">
        <v>31</v>
      </c>
      <c r="H529" t="s">
        <v>31</v>
      </c>
      <c r="I529" t="s">
        <v>32</v>
      </c>
    </row>
    <row r="530" spans="1:9" x14ac:dyDescent="0.25">
      <c r="A530" t="s">
        <v>2958</v>
      </c>
      <c r="B530" t="s">
        <v>2959</v>
      </c>
      <c r="C530" t="s">
        <v>2960</v>
      </c>
      <c r="D530" s="3">
        <v>12</v>
      </c>
      <c r="E530" t="s">
        <v>30</v>
      </c>
      <c r="F530" t="s">
        <v>77</v>
      </c>
      <c r="G530">
        <v>1</v>
      </c>
      <c r="H530">
        <v>100</v>
      </c>
      <c r="I530" t="s">
        <v>2961</v>
      </c>
    </row>
    <row r="531" spans="1:9" x14ac:dyDescent="0.25">
      <c r="A531" t="s">
        <v>2962</v>
      </c>
      <c r="B531" t="s">
        <v>2959</v>
      </c>
      <c r="C531" t="s">
        <v>2960</v>
      </c>
      <c r="D531" s="2" t="s">
        <v>2236</v>
      </c>
      <c r="E531" t="s">
        <v>81</v>
      </c>
      <c r="F531" t="s">
        <v>77</v>
      </c>
      <c r="G531" t="s">
        <v>31</v>
      </c>
      <c r="H531" t="s">
        <v>31</v>
      </c>
      <c r="I531" t="s">
        <v>32</v>
      </c>
    </row>
    <row r="532" spans="1:9" x14ac:dyDescent="0.25">
      <c r="A532" t="s">
        <v>2963</v>
      </c>
      <c r="B532" t="s">
        <v>2959</v>
      </c>
      <c r="C532" t="s">
        <v>2960</v>
      </c>
      <c r="D532" s="2" t="s">
        <v>2960</v>
      </c>
      <c r="E532" t="s">
        <v>81</v>
      </c>
      <c r="F532" t="s">
        <v>77</v>
      </c>
      <c r="G532" t="s">
        <v>31</v>
      </c>
      <c r="H532" t="s">
        <v>31</v>
      </c>
      <c r="I532" t="s">
        <v>32</v>
      </c>
    </row>
    <row r="533" spans="1:9" x14ac:dyDescent="0.25">
      <c r="A533" t="s">
        <v>2964</v>
      </c>
      <c r="B533" t="s">
        <v>2959</v>
      </c>
      <c r="C533" t="s">
        <v>2960</v>
      </c>
      <c r="D533" s="2" t="s">
        <v>2961</v>
      </c>
      <c r="E533" t="s">
        <v>81</v>
      </c>
      <c r="F533" t="s">
        <v>77</v>
      </c>
      <c r="G533" t="s">
        <v>31</v>
      </c>
      <c r="H533" t="s">
        <v>31</v>
      </c>
      <c r="I533" t="s">
        <v>32</v>
      </c>
    </row>
    <row r="534" spans="1:9" x14ac:dyDescent="0.25">
      <c r="A534" t="s">
        <v>2965</v>
      </c>
      <c r="B534" t="s">
        <v>2959</v>
      </c>
      <c r="C534" t="s">
        <v>2960</v>
      </c>
      <c r="D534" s="2" t="s">
        <v>77</v>
      </c>
      <c r="E534" t="s">
        <v>81</v>
      </c>
      <c r="F534" t="s">
        <v>77</v>
      </c>
      <c r="G534" t="s">
        <v>31</v>
      </c>
      <c r="H534" t="s">
        <v>31</v>
      </c>
      <c r="I534" t="s">
        <v>32</v>
      </c>
    </row>
    <row r="535" spans="1:9" x14ac:dyDescent="0.25">
      <c r="A535" t="s">
        <v>2966</v>
      </c>
      <c r="B535" t="s">
        <v>2959</v>
      </c>
      <c r="C535" t="s">
        <v>2960</v>
      </c>
      <c r="D535" s="2">
        <v>0</v>
      </c>
      <c r="E535" t="s">
        <v>30</v>
      </c>
      <c r="F535" t="s">
        <v>77</v>
      </c>
      <c r="G535">
        <v>1</v>
      </c>
      <c r="H535">
        <v>100</v>
      </c>
      <c r="I535" t="s">
        <v>32</v>
      </c>
    </row>
    <row r="536" spans="1:9" x14ac:dyDescent="0.25">
      <c r="A536" t="s">
        <v>2967</v>
      </c>
      <c r="B536" t="s">
        <v>2959</v>
      </c>
      <c r="C536" t="s">
        <v>2960</v>
      </c>
      <c r="D536" s="2">
        <v>120</v>
      </c>
      <c r="E536" t="s">
        <v>30</v>
      </c>
      <c r="F536" t="s">
        <v>77</v>
      </c>
      <c r="G536">
        <v>1</v>
      </c>
      <c r="H536">
        <v>100</v>
      </c>
      <c r="I536" t="s">
        <v>32</v>
      </c>
    </row>
    <row r="537" spans="1:9" x14ac:dyDescent="0.25">
      <c r="A537" t="s">
        <v>2968</v>
      </c>
      <c r="B537" t="s">
        <v>2959</v>
      </c>
      <c r="C537" t="s">
        <v>2960</v>
      </c>
      <c r="D537" s="2" t="b">
        <v>1</v>
      </c>
      <c r="E537" t="s">
        <v>88</v>
      </c>
      <c r="F537" t="s">
        <v>77</v>
      </c>
      <c r="G537" t="s">
        <v>31</v>
      </c>
      <c r="H537" t="s">
        <v>31</v>
      </c>
      <c r="I537" t="s">
        <v>32</v>
      </c>
    </row>
    <row r="538" spans="1:9" x14ac:dyDescent="0.25">
      <c r="A538" t="s">
        <v>2969</v>
      </c>
      <c r="B538" t="s">
        <v>2970</v>
      </c>
      <c r="C538" t="s">
        <v>2971</v>
      </c>
      <c r="D538" s="3">
        <v>0.025</v>
      </c>
      <c r="E538" t="s">
        <v>30</v>
      </c>
      <c r="F538" t="s">
        <v>103</v>
      </c>
      <c r="G538">
        <v>0</v>
      </c>
      <c r="H538">
        <v>1</v>
      </c>
      <c r="I538" t="s">
        <v>2972</v>
      </c>
    </row>
    <row r="539" spans="1:9" x14ac:dyDescent="0.25">
      <c r="A539" t="s">
        <v>2973</v>
      </c>
      <c r="B539" t="s">
        <v>2970</v>
      </c>
      <c r="C539" t="s">
        <v>2971</v>
      </c>
      <c r="D539" s="2" t="s">
        <v>2236</v>
      </c>
      <c r="E539" t="s">
        <v>81</v>
      </c>
      <c r="F539" t="s">
        <v>103</v>
      </c>
      <c r="G539" t="s">
        <v>31</v>
      </c>
      <c r="H539" t="s">
        <v>31</v>
      </c>
      <c r="I539" t="s">
        <v>32</v>
      </c>
    </row>
    <row r="540" spans="1:9" x14ac:dyDescent="0.25">
      <c r="A540" t="s">
        <v>2974</v>
      </c>
      <c r="B540" t="s">
        <v>2970</v>
      </c>
      <c r="C540" t="s">
        <v>2971</v>
      </c>
      <c r="D540" s="2" t="s">
        <v>2971</v>
      </c>
      <c r="E540" t="s">
        <v>81</v>
      </c>
      <c r="F540" t="s">
        <v>103</v>
      </c>
      <c r="G540" t="s">
        <v>31</v>
      </c>
      <c r="H540" t="s">
        <v>31</v>
      </c>
      <c r="I540" t="s">
        <v>32</v>
      </c>
    </row>
    <row r="541" spans="1:9" x14ac:dyDescent="0.25">
      <c r="A541" t="s">
        <v>2975</v>
      </c>
      <c r="B541" t="s">
        <v>2970</v>
      </c>
      <c r="C541" t="s">
        <v>2971</v>
      </c>
      <c r="D541" s="2" t="s">
        <v>2972</v>
      </c>
      <c r="E541" t="s">
        <v>81</v>
      </c>
      <c r="F541" t="s">
        <v>103</v>
      </c>
      <c r="G541" t="s">
        <v>31</v>
      </c>
      <c r="H541" t="s">
        <v>31</v>
      </c>
      <c r="I541" t="s">
        <v>32</v>
      </c>
    </row>
    <row r="542" spans="1:9" x14ac:dyDescent="0.25">
      <c r="A542" t="s">
        <v>2976</v>
      </c>
      <c r="B542" t="s">
        <v>2970</v>
      </c>
      <c r="C542" t="s">
        <v>2971</v>
      </c>
      <c r="D542" s="2" t="s">
        <v>103</v>
      </c>
      <c r="E542" t="s">
        <v>81</v>
      </c>
      <c r="F542" t="s">
        <v>103</v>
      </c>
      <c r="G542" t="s">
        <v>31</v>
      </c>
      <c r="H542" t="s">
        <v>31</v>
      </c>
      <c r="I542" t="s">
        <v>32</v>
      </c>
    </row>
    <row r="543" spans="1:9" x14ac:dyDescent="0.25">
      <c r="A543" t="s">
        <v>2977</v>
      </c>
      <c r="B543" t="s">
        <v>2970</v>
      </c>
      <c r="C543" t="s">
        <v>2971</v>
      </c>
      <c r="D543" s="2">
        <v>0</v>
      </c>
      <c r="E543" t="s">
        <v>30</v>
      </c>
      <c r="F543" t="s">
        <v>103</v>
      </c>
      <c r="G543">
        <v>0</v>
      </c>
      <c r="H543">
        <v>1</v>
      </c>
      <c r="I543" t="s">
        <v>32</v>
      </c>
    </row>
    <row r="544" spans="1:9" x14ac:dyDescent="0.25">
      <c r="A544" t="s">
        <v>2978</v>
      </c>
      <c r="B544" t="s">
        <v>2970</v>
      </c>
      <c r="C544" t="s">
        <v>2971</v>
      </c>
      <c r="D544" s="2">
        <v>1</v>
      </c>
      <c r="E544" t="s">
        <v>30</v>
      </c>
      <c r="F544" t="s">
        <v>103</v>
      </c>
      <c r="G544">
        <v>0</v>
      </c>
      <c r="H544">
        <v>1</v>
      </c>
      <c r="I544" t="s">
        <v>32</v>
      </c>
    </row>
    <row r="545" spans="1:9" x14ac:dyDescent="0.25">
      <c r="A545" t="s">
        <v>2979</v>
      </c>
      <c r="B545" t="s">
        <v>2970</v>
      </c>
      <c r="C545" t="s">
        <v>2971</v>
      </c>
      <c r="D545" s="2" t="b">
        <v>0</v>
      </c>
      <c r="E545" t="s">
        <v>88</v>
      </c>
      <c r="F545" t="s">
        <v>103</v>
      </c>
      <c r="G545" t="s">
        <v>31</v>
      </c>
      <c r="H545" t="s">
        <v>31</v>
      </c>
      <c r="I545" t="s">
        <v>32</v>
      </c>
    </row>
    <row r="546" spans="1:9" x14ac:dyDescent="0.25">
      <c r="A546" t="s">
        <v>2980</v>
      </c>
      <c r="B546" t="s">
        <v>2981</v>
      </c>
      <c r="C546" t="s">
        <v>2982</v>
      </c>
      <c r="D546" s="3">
        <v>0.45</v>
      </c>
      <c r="E546" t="s">
        <v>30</v>
      </c>
      <c r="F546" t="s">
        <v>103</v>
      </c>
      <c r="G546">
        <v>0</v>
      </c>
      <c r="H546">
        <v>1</v>
      </c>
      <c r="I546" t="s">
        <v>2983</v>
      </c>
    </row>
    <row r="547" spans="1:9" x14ac:dyDescent="0.25">
      <c r="A547" t="s">
        <v>2984</v>
      </c>
      <c r="B547" t="s">
        <v>2981</v>
      </c>
      <c r="C547" t="s">
        <v>2982</v>
      </c>
      <c r="D547" s="2" t="s">
        <v>2236</v>
      </c>
      <c r="E547" t="s">
        <v>81</v>
      </c>
      <c r="F547" t="s">
        <v>103</v>
      </c>
      <c r="G547" t="s">
        <v>31</v>
      </c>
      <c r="H547" t="s">
        <v>31</v>
      </c>
      <c r="I547" t="s">
        <v>32</v>
      </c>
    </row>
    <row r="548" spans="1:9" x14ac:dyDescent="0.25">
      <c r="A548" t="s">
        <v>2985</v>
      </c>
      <c r="B548" t="s">
        <v>2981</v>
      </c>
      <c r="C548" t="s">
        <v>2982</v>
      </c>
      <c r="D548" s="2" t="s">
        <v>2982</v>
      </c>
      <c r="E548" t="s">
        <v>81</v>
      </c>
      <c r="F548" t="s">
        <v>103</v>
      </c>
      <c r="G548" t="s">
        <v>31</v>
      </c>
      <c r="H548" t="s">
        <v>31</v>
      </c>
      <c r="I548" t="s">
        <v>32</v>
      </c>
    </row>
    <row r="549" spans="1:9" x14ac:dyDescent="0.25">
      <c r="A549" t="s">
        <v>2986</v>
      </c>
      <c r="B549" t="s">
        <v>2981</v>
      </c>
      <c r="C549" t="s">
        <v>2982</v>
      </c>
      <c r="D549" s="2" t="s">
        <v>2983</v>
      </c>
      <c r="E549" t="s">
        <v>81</v>
      </c>
      <c r="F549" t="s">
        <v>103</v>
      </c>
      <c r="G549" t="s">
        <v>31</v>
      </c>
      <c r="H549" t="s">
        <v>31</v>
      </c>
      <c r="I549" t="s">
        <v>32</v>
      </c>
    </row>
    <row r="550" spans="1:9" x14ac:dyDescent="0.25">
      <c r="A550" t="s">
        <v>2987</v>
      </c>
      <c r="B550" t="s">
        <v>2981</v>
      </c>
      <c r="C550" t="s">
        <v>2982</v>
      </c>
      <c r="D550" s="2" t="s">
        <v>103</v>
      </c>
      <c r="E550" t="s">
        <v>81</v>
      </c>
      <c r="F550" t="s">
        <v>103</v>
      </c>
      <c r="G550" t="s">
        <v>31</v>
      </c>
      <c r="H550" t="s">
        <v>31</v>
      </c>
      <c r="I550" t="s">
        <v>32</v>
      </c>
    </row>
    <row r="551" spans="1:9" x14ac:dyDescent="0.25">
      <c r="A551" t="s">
        <v>2988</v>
      </c>
      <c r="B551" t="s">
        <v>2981</v>
      </c>
      <c r="C551" t="s">
        <v>2982</v>
      </c>
      <c r="D551" s="2">
        <v>0</v>
      </c>
      <c r="E551" t="s">
        <v>30</v>
      </c>
      <c r="F551" t="s">
        <v>103</v>
      </c>
      <c r="G551">
        <v>0</v>
      </c>
      <c r="H551">
        <v>1</v>
      </c>
      <c r="I551" t="s">
        <v>32</v>
      </c>
    </row>
    <row r="552" spans="1:9" x14ac:dyDescent="0.25">
      <c r="A552" t="s">
        <v>2989</v>
      </c>
      <c r="B552" t="s">
        <v>2981</v>
      </c>
      <c r="C552" t="s">
        <v>2982</v>
      </c>
      <c r="D552" s="2">
        <v>1</v>
      </c>
      <c r="E552" t="s">
        <v>30</v>
      </c>
      <c r="F552" t="s">
        <v>103</v>
      </c>
      <c r="G552">
        <v>0</v>
      </c>
      <c r="H552">
        <v>1</v>
      </c>
      <c r="I552" t="s">
        <v>32</v>
      </c>
    </row>
    <row r="553" spans="1:9" x14ac:dyDescent="0.25">
      <c r="A553" t="s">
        <v>2990</v>
      </c>
      <c r="B553" t="s">
        <v>2981</v>
      </c>
      <c r="C553" t="s">
        <v>2982</v>
      </c>
      <c r="D553" s="2" t="b">
        <v>0</v>
      </c>
      <c r="E553" t="s">
        <v>88</v>
      </c>
      <c r="F553" t="s">
        <v>103</v>
      </c>
      <c r="G553" t="s">
        <v>31</v>
      </c>
      <c r="H553" t="s">
        <v>31</v>
      </c>
      <c r="I553" t="s">
        <v>32</v>
      </c>
    </row>
    <row r="554" spans="1:9" x14ac:dyDescent="0.25">
      <c r="A554" t="s">
        <v>2991</v>
      </c>
      <c r="B554" t="s">
        <v>2992</v>
      </c>
      <c r="C554" t="s">
        <v>2993</v>
      </c>
      <c r="D554" s="3">
        <v>4</v>
      </c>
      <c r="E554" t="s">
        <v>30</v>
      </c>
      <c r="F554" t="s">
        <v>77</v>
      </c>
      <c r="G554">
        <v>1</v>
      </c>
      <c r="H554">
        <v>100</v>
      </c>
      <c r="I554" t="s">
        <v>2994</v>
      </c>
    </row>
    <row r="555" spans="1:9" x14ac:dyDescent="0.25">
      <c r="A555" t="s">
        <v>2995</v>
      </c>
      <c r="B555" t="s">
        <v>2992</v>
      </c>
      <c r="C555" t="s">
        <v>2993</v>
      </c>
      <c r="D555" s="2" t="s">
        <v>2236</v>
      </c>
      <c r="E555" t="s">
        <v>81</v>
      </c>
      <c r="F555" t="s">
        <v>77</v>
      </c>
      <c r="G555" t="s">
        <v>31</v>
      </c>
      <c r="H555" t="s">
        <v>31</v>
      </c>
      <c r="I555" t="s">
        <v>32</v>
      </c>
    </row>
    <row r="556" spans="1:9" x14ac:dyDescent="0.25">
      <c r="A556" t="s">
        <v>2996</v>
      </c>
      <c r="B556" t="s">
        <v>2992</v>
      </c>
      <c r="C556" t="s">
        <v>2993</v>
      </c>
      <c r="D556" s="2" t="s">
        <v>2993</v>
      </c>
      <c r="E556" t="s">
        <v>81</v>
      </c>
      <c r="F556" t="s">
        <v>77</v>
      </c>
      <c r="G556" t="s">
        <v>31</v>
      </c>
      <c r="H556" t="s">
        <v>31</v>
      </c>
      <c r="I556" t="s">
        <v>32</v>
      </c>
    </row>
    <row r="557" spans="1:9" x14ac:dyDescent="0.25">
      <c r="A557" t="s">
        <v>2997</v>
      </c>
      <c r="B557" t="s">
        <v>2992</v>
      </c>
      <c r="C557" t="s">
        <v>2993</v>
      </c>
      <c r="D557" s="2" t="s">
        <v>2994</v>
      </c>
      <c r="E557" t="s">
        <v>81</v>
      </c>
      <c r="F557" t="s">
        <v>77</v>
      </c>
      <c r="G557" t="s">
        <v>31</v>
      </c>
      <c r="H557" t="s">
        <v>31</v>
      </c>
      <c r="I557" t="s">
        <v>32</v>
      </c>
    </row>
    <row r="558" spans="1:9" x14ac:dyDescent="0.25">
      <c r="A558" t="s">
        <v>2998</v>
      </c>
      <c r="B558" t="s">
        <v>2992</v>
      </c>
      <c r="C558" t="s">
        <v>2993</v>
      </c>
      <c r="D558" s="2" t="s">
        <v>77</v>
      </c>
      <c r="E558" t="s">
        <v>81</v>
      </c>
      <c r="F558" t="s">
        <v>77</v>
      </c>
      <c r="G558" t="s">
        <v>31</v>
      </c>
      <c r="H558" t="s">
        <v>31</v>
      </c>
      <c r="I558" t="s">
        <v>32</v>
      </c>
    </row>
    <row r="559" spans="1:9" x14ac:dyDescent="0.25">
      <c r="A559" t="s">
        <v>2999</v>
      </c>
      <c r="B559" t="s">
        <v>2992</v>
      </c>
      <c r="C559" t="s">
        <v>2993</v>
      </c>
      <c r="D559" s="2">
        <v>0</v>
      </c>
      <c r="E559" t="s">
        <v>30</v>
      </c>
      <c r="F559" t="s">
        <v>77</v>
      </c>
      <c r="G559">
        <v>1</v>
      </c>
      <c r="H559">
        <v>100</v>
      </c>
      <c r="I559" t="s">
        <v>32</v>
      </c>
    </row>
    <row r="560" spans="1:9" x14ac:dyDescent="0.25">
      <c r="A560" t="s">
        <v>3000</v>
      </c>
      <c r="B560" t="s">
        <v>2992</v>
      </c>
      <c r="C560" t="s">
        <v>2993</v>
      </c>
      <c r="D560" s="2">
        <v>100</v>
      </c>
      <c r="E560" t="s">
        <v>30</v>
      </c>
      <c r="F560" t="s">
        <v>77</v>
      </c>
      <c r="G560">
        <v>1</v>
      </c>
      <c r="H560">
        <v>100</v>
      </c>
      <c r="I560" t="s">
        <v>32</v>
      </c>
    </row>
    <row r="561" spans="1:9" x14ac:dyDescent="0.25">
      <c r="A561" t="s">
        <v>3001</v>
      </c>
      <c r="B561" t="s">
        <v>2992</v>
      </c>
      <c r="C561" t="s">
        <v>2993</v>
      </c>
      <c r="D561" s="2" t="b">
        <v>1</v>
      </c>
      <c r="E561" t="s">
        <v>88</v>
      </c>
      <c r="F561" t="s">
        <v>77</v>
      </c>
      <c r="G561" t="s">
        <v>31</v>
      </c>
      <c r="H561" t="s">
        <v>31</v>
      </c>
      <c r="I561" t="s">
        <v>32</v>
      </c>
    </row>
    <row r="562" spans="1:9" x14ac:dyDescent="0.25">
      <c r="A562" t="s">
        <v>3002</v>
      </c>
      <c r="B562" t="s">
        <v>3003</v>
      </c>
      <c r="C562" t="s">
        <v>3004</v>
      </c>
      <c r="D562" s="3">
        <v>60000</v>
      </c>
      <c r="E562" t="s">
        <v>30</v>
      </c>
      <c r="F562" t="s">
        <v>3005</v>
      </c>
      <c r="G562">
        <v>1000</v>
      </c>
      <c r="H562">
        <v>3600000</v>
      </c>
      <c r="I562" t="s">
        <v>3006</v>
      </c>
    </row>
    <row r="563" spans="1:9" x14ac:dyDescent="0.25">
      <c r="A563" t="s">
        <v>3007</v>
      </c>
      <c r="B563" t="s">
        <v>3003</v>
      </c>
      <c r="C563" t="s">
        <v>3004</v>
      </c>
      <c r="D563" s="2" t="s">
        <v>2236</v>
      </c>
      <c r="E563" t="s">
        <v>81</v>
      </c>
      <c r="F563" t="s">
        <v>3005</v>
      </c>
      <c r="G563" t="s">
        <v>31</v>
      </c>
      <c r="H563" t="s">
        <v>31</v>
      </c>
      <c r="I563" t="s">
        <v>32</v>
      </c>
    </row>
    <row r="564" spans="1:9" x14ac:dyDescent="0.25">
      <c r="A564" t="s">
        <v>3008</v>
      </c>
      <c r="B564" t="s">
        <v>3003</v>
      </c>
      <c r="C564" t="s">
        <v>3004</v>
      </c>
      <c r="D564" s="2" t="s">
        <v>3004</v>
      </c>
      <c r="E564" t="s">
        <v>81</v>
      </c>
      <c r="F564" t="s">
        <v>3005</v>
      </c>
      <c r="G564" t="s">
        <v>31</v>
      </c>
      <c r="H564" t="s">
        <v>31</v>
      </c>
      <c r="I564" t="s">
        <v>32</v>
      </c>
    </row>
    <row r="565" spans="1:9" x14ac:dyDescent="0.25">
      <c r="A565" t="s">
        <v>3009</v>
      </c>
      <c r="B565" t="s">
        <v>3003</v>
      </c>
      <c r="C565" t="s">
        <v>3004</v>
      </c>
      <c r="D565" s="2" t="s">
        <v>3006</v>
      </c>
      <c r="E565" t="s">
        <v>81</v>
      </c>
      <c r="F565" t="s">
        <v>3005</v>
      </c>
      <c r="G565" t="s">
        <v>31</v>
      </c>
      <c r="H565" t="s">
        <v>31</v>
      </c>
      <c r="I565" t="s">
        <v>32</v>
      </c>
    </row>
    <row r="566" spans="1:9" x14ac:dyDescent="0.25">
      <c r="A566" t="s">
        <v>3010</v>
      </c>
      <c r="B566" t="s">
        <v>3003</v>
      </c>
      <c r="C566" t="s">
        <v>3004</v>
      </c>
      <c r="D566" s="2" t="s">
        <v>3005</v>
      </c>
      <c r="E566" t="s">
        <v>81</v>
      </c>
      <c r="F566" t="s">
        <v>3005</v>
      </c>
      <c r="G566" t="s">
        <v>31</v>
      </c>
      <c r="H566" t="s">
        <v>31</v>
      </c>
      <c r="I566" t="s">
        <v>32</v>
      </c>
    </row>
    <row r="567" spans="1:9" x14ac:dyDescent="0.25">
      <c r="A567" t="s">
        <v>3011</v>
      </c>
      <c r="B567" t="s">
        <v>3003</v>
      </c>
      <c r="C567" t="s">
        <v>3004</v>
      </c>
      <c r="D567" s="2">
        <v>1000</v>
      </c>
      <c r="E567" t="s">
        <v>30</v>
      </c>
      <c r="F567" t="s">
        <v>3005</v>
      </c>
      <c r="G567">
        <v>1000</v>
      </c>
      <c r="H567">
        <v>3600000</v>
      </c>
      <c r="I567" t="s">
        <v>32</v>
      </c>
    </row>
    <row r="568" spans="1:9" x14ac:dyDescent="0.25">
      <c r="A568" t="s">
        <v>3012</v>
      </c>
      <c r="B568" t="s">
        <v>3003</v>
      </c>
      <c r="C568" t="s">
        <v>3004</v>
      </c>
      <c r="D568" s="2">
        <v>3600000</v>
      </c>
      <c r="E568" t="s">
        <v>30</v>
      </c>
      <c r="F568" t="s">
        <v>3005</v>
      </c>
      <c r="G568">
        <v>1000</v>
      </c>
      <c r="H568">
        <v>3600000</v>
      </c>
      <c r="I568" t="s">
        <v>32</v>
      </c>
    </row>
    <row r="569" spans="1:9" x14ac:dyDescent="0.25">
      <c r="A569" t="s">
        <v>3013</v>
      </c>
      <c r="B569" t="s">
        <v>3003</v>
      </c>
      <c r="C569" t="s">
        <v>3004</v>
      </c>
      <c r="D569" s="2" t="b">
        <v>1</v>
      </c>
      <c r="E569" t="s">
        <v>88</v>
      </c>
      <c r="F569" t="s">
        <v>3005</v>
      </c>
      <c r="G569" t="s">
        <v>31</v>
      </c>
      <c r="H569" t="s">
        <v>31</v>
      </c>
      <c r="I569" t="s">
        <v>32</v>
      </c>
    </row>
    <row r="570" spans="1:9" x14ac:dyDescent="0.25">
      <c r="A570" t="s">
        <v>3014</v>
      </c>
      <c r="B570" t="s">
        <v>3015</v>
      </c>
      <c r="C570" t="s">
        <v>3016</v>
      </c>
      <c r="D570" s="3">
        <v>4</v>
      </c>
      <c r="E570" t="s">
        <v>30</v>
      </c>
      <c r="F570" t="s">
        <v>31</v>
      </c>
      <c r="G570">
        <v>0</v>
      </c>
      <c r="H570">
        <v>30</v>
      </c>
      <c r="I570" t="s">
        <v>31</v>
      </c>
    </row>
    <row r="571" spans="1:9" x14ac:dyDescent="0.25">
      <c r="A571" t="s">
        <v>3017</v>
      </c>
      <c r="B571" t="s">
        <v>3015</v>
      </c>
      <c r="C571" t="s">
        <v>3018</v>
      </c>
      <c r="D571" s="3">
        <v>3</v>
      </c>
      <c r="E571" t="s">
        <v>30</v>
      </c>
      <c r="F571" t="s">
        <v>31</v>
      </c>
      <c r="G571">
        <v>0</v>
      </c>
      <c r="H571">
        <v>30</v>
      </c>
      <c r="I571" t="s">
        <v>31</v>
      </c>
    </row>
    <row r="572" spans="1:9" x14ac:dyDescent="0.25">
      <c r="A572" t="s">
        <v>3019</v>
      </c>
      <c r="B572" t="s">
        <v>3015</v>
      </c>
      <c r="C572" t="s">
        <v>616</v>
      </c>
      <c r="D572" s="3">
        <v>2</v>
      </c>
      <c r="E572" t="s">
        <v>30</v>
      </c>
      <c r="F572" t="s">
        <v>31</v>
      </c>
      <c r="G572">
        <v>0</v>
      </c>
      <c r="H572">
        <v>30</v>
      </c>
      <c r="I572" t="s">
        <v>31</v>
      </c>
    </row>
    <row r="573" spans="1:9" x14ac:dyDescent="0.25">
      <c r="A573" t="s">
        <v>3020</v>
      </c>
      <c r="B573" t="s">
        <v>3015</v>
      </c>
      <c r="C573" t="s">
        <v>3021</v>
      </c>
      <c r="D573" s="3">
        <v>2</v>
      </c>
      <c r="E573" t="s">
        <v>30</v>
      </c>
      <c r="F573" t="s">
        <v>31</v>
      </c>
      <c r="G573">
        <v>0</v>
      </c>
      <c r="H573">
        <v>30</v>
      </c>
      <c r="I573" t="s">
        <v>31</v>
      </c>
    </row>
    <row r="574" spans="1:9" x14ac:dyDescent="0.25">
      <c r="A574" t="s">
        <v>3022</v>
      </c>
      <c r="B574" t="s">
        <v>3015</v>
      </c>
      <c r="C574" t="s">
        <v>3023</v>
      </c>
      <c r="D574" s="3">
        <v>1</v>
      </c>
      <c r="E574" t="s">
        <v>30</v>
      </c>
      <c r="F574" t="s">
        <v>31</v>
      </c>
      <c r="G574">
        <v>0</v>
      </c>
      <c r="H574">
        <v>30</v>
      </c>
      <c r="I574" t="s">
        <v>31</v>
      </c>
    </row>
    <row r="575" spans="1:9" x14ac:dyDescent="0.25">
      <c r="A575" t="s">
        <v>3024</v>
      </c>
      <c r="B575" t="s">
        <v>3025</v>
      </c>
      <c r="C575" t="s">
        <v>3026</v>
      </c>
      <c r="D575" s="3">
        <v>0.025</v>
      </c>
      <c r="E575" t="s">
        <v>30</v>
      </c>
      <c r="F575" t="s">
        <v>31</v>
      </c>
      <c r="G575">
        <v>0</v>
      </c>
      <c r="H575">
        <v>1</v>
      </c>
      <c r="I575" t="s">
        <v>31</v>
      </c>
    </row>
    <row r="576" spans="1:9" x14ac:dyDescent="0.25">
      <c r="A576" t="s">
        <v>3027</v>
      </c>
      <c r="B576" t="s">
        <v>3025</v>
      </c>
      <c r="C576" t="s">
        <v>3028</v>
      </c>
      <c r="D576" s="3">
        <v>2</v>
      </c>
      <c r="E576" t="s">
        <v>30</v>
      </c>
      <c r="F576" t="s">
        <v>31</v>
      </c>
      <c r="G576">
        <v>0</v>
      </c>
      <c r="H576">
        <v>10</v>
      </c>
      <c r="I576" t="s">
        <v>31</v>
      </c>
    </row>
    <row r="577" spans="1:9" x14ac:dyDescent="0.25">
      <c r="A577" t="s">
        <v>3029</v>
      </c>
      <c r="B577" t="s">
        <v>3030</v>
      </c>
      <c r="C577" t="s">
        <v>1419</v>
      </c>
      <c r="D577" s="2" t="s">
        <v>697</v>
      </c>
      <c r="E577" t="s">
        <v>81</v>
      </c>
      <c r="F577" t="s">
        <v>31</v>
      </c>
      <c r="G577" t="s">
        <v>31</v>
      </c>
      <c r="H577" t="s">
        <v>31</v>
      </c>
      <c r="I577" t="s">
        <v>32</v>
      </c>
    </row>
    <row r="578" spans="1:9" x14ac:dyDescent="0.25">
      <c r="A578" t="s">
        <v>3031</v>
      </c>
      <c r="B578" t="s">
        <v>3030</v>
      </c>
      <c r="C578" t="s">
        <v>1373</v>
      </c>
      <c r="D578" s="2" t="s">
        <v>753</v>
      </c>
      <c r="E578" t="s">
        <v>81</v>
      </c>
      <c r="F578" t="s">
        <v>31</v>
      </c>
      <c r="G578" t="s">
        <v>31</v>
      </c>
      <c r="H578" t="s">
        <v>31</v>
      </c>
      <c r="I578" t="s">
        <v>32</v>
      </c>
    </row>
    <row r="579" spans="1:9" x14ac:dyDescent="0.25">
      <c r="A579" t="s">
        <v>3032</v>
      </c>
      <c r="B579" t="s">
        <v>3030</v>
      </c>
      <c r="C579" t="s">
        <v>1393</v>
      </c>
      <c r="D579" s="2" t="s">
        <v>810</v>
      </c>
      <c r="E579" t="s">
        <v>81</v>
      </c>
      <c r="F579" t="s">
        <v>31</v>
      </c>
      <c r="G579" t="s">
        <v>31</v>
      </c>
      <c r="H579" t="s">
        <v>31</v>
      </c>
      <c r="I579" t="s">
        <v>32</v>
      </c>
    </row>
    <row r="580" spans="1:9" x14ac:dyDescent="0.25">
      <c r="A580" t="s">
        <v>3033</v>
      </c>
      <c r="B580" t="s">
        <v>3030</v>
      </c>
      <c r="C580" t="s">
        <v>1406</v>
      </c>
      <c r="D580" s="2" t="s">
        <v>866</v>
      </c>
      <c r="E580" t="s">
        <v>81</v>
      </c>
      <c r="F580" t="s">
        <v>31</v>
      </c>
      <c r="G580" t="s">
        <v>31</v>
      </c>
      <c r="H580" t="s">
        <v>31</v>
      </c>
      <c r="I580" t="s">
        <v>32</v>
      </c>
    </row>
    <row r="581" spans="1:9" x14ac:dyDescent="0.25">
      <c r="A581" t="s">
        <v>3034</v>
      </c>
      <c r="B581" t="s">
        <v>3030</v>
      </c>
      <c r="C581" t="s">
        <v>1432</v>
      </c>
      <c r="D581" s="2" t="s">
        <v>697</v>
      </c>
      <c r="E581" t="s">
        <v>81</v>
      </c>
      <c r="F581" t="s">
        <v>31</v>
      </c>
      <c r="G581" t="s">
        <v>31</v>
      </c>
      <c r="H581" t="s">
        <v>31</v>
      </c>
      <c r="I581" t="s">
        <v>32</v>
      </c>
    </row>
    <row r="582" spans="1:9" x14ac:dyDescent="0.25">
      <c r="A582" t="s">
        <v>3035</v>
      </c>
      <c r="B582" t="s">
        <v>3030</v>
      </c>
      <c r="C582" t="s">
        <v>1445</v>
      </c>
      <c r="D582" s="2" t="s">
        <v>697</v>
      </c>
      <c r="E582" t="s">
        <v>81</v>
      </c>
      <c r="F582" t="s">
        <v>31</v>
      </c>
      <c r="G582" t="s">
        <v>31</v>
      </c>
      <c r="H582" t="s">
        <v>31</v>
      </c>
      <c r="I582" t="s">
        <v>32</v>
      </c>
    </row>
    <row r="583" spans="1:9" x14ac:dyDescent="0.25">
      <c r="A583" t="s">
        <v>3036</v>
      </c>
      <c r="B583" t="s">
        <v>3030</v>
      </c>
      <c r="C583" t="s">
        <v>1458</v>
      </c>
      <c r="D583" s="2" t="s">
        <v>810</v>
      </c>
      <c r="E583" t="s">
        <v>81</v>
      </c>
      <c r="F583" t="s">
        <v>31</v>
      </c>
      <c r="G583" t="s">
        <v>31</v>
      </c>
      <c r="H583" t="s">
        <v>31</v>
      </c>
      <c r="I583" t="s">
        <v>32</v>
      </c>
    </row>
    <row r="584" spans="1:9" x14ac:dyDescent="0.25">
      <c r="A584" t="s">
        <v>3037</v>
      </c>
      <c r="B584" t="s">
        <v>3030</v>
      </c>
      <c r="C584" t="s">
        <v>1495</v>
      </c>
      <c r="D584" s="2" t="s">
        <v>866</v>
      </c>
      <c r="E584" t="s">
        <v>81</v>
      </c>
      <c r="F584" t="s">
        <v>31</v>
      </c>
      <c r="G584" t="s">
        <v>31</v>
      </c>
      <c r="H584" t="s">
        <v>31</v>
      </c>
      <c r="I584" t="s">
        <v>32</v>
      </c>
    </row>
    <row r="585" spans="1:9" x14ac:dyDescent="0.25">
      <c r="A585" t="s">
        <v>3038</v>
      </c>
      <c r="B585" t="s">
        <v>3030</v>
      </c>
      <c r="C585" t="s">
        <v>1573</v>
      </c>
      <c r="D585" s="2" t="s">
        <v>697</v>
      </c>
      <c r="E585" t="s">
        <v>81</v>
      </c>
      <c r="F585" t="s">
        <v>31</v>
      </c>
      <c r="G585" t="s">
        <v>31</v>
      </c>
      <c r="H585" t="s">
        <v>31</v>
      </c>
      <c r="I585" t="s">
        <v>32</v>
      </c>
    </row>
    <row r="586" spans="1:9" x14ac:dyDescent="0.25">
      <c r="A586" t="s">
        <v>3039</v>
      </c>
      <c r="B586" t="s">
        <v>3030</v>
      </c>
      <c r="C586" t="s">
        <v>1508</v>
      </c>
      <c r="D586" s="2" t="s">
        <v>753</v>
      </c>
      <c r="E586" t="s">
        <v>81</v>
      </c>
      <c r="F586" t="s">
        <v>31</v>
      </c>
      <c r="G586" t="s">
        <v>31</v>
      </c>
      <c r="H586" t="s">
        <v>31</v>
      </c>
      <c r="I586" t="s">
        <v>32</v>
      </c>
    </row>
    <row r="587" spans="1:9" x14ac:dyDescent="0.25">
      <c r="A587" t="s">
        <v>3040</v>
      </c>
      <c r="B587" t="s">
        <v>3030</v>
      </c>
      <c r="C587" t="s">
        <v>1521</v>
      </c>
      <c r="D587" s="2" t="s">
        <v>697</v>
      </c>
      <c r="E587" t="s">
        <v>81</v>
      </c>
      <c r="F587" t="s">
        <v>31</v>
      </c>
      <c r="G587" t="s">
        <v>31</v>
      </c>
      <c r="H587" t="s">
        <v>31</v>
      </c>
      <c r="I587" t="s">
        <v>32</v>
      </c>
    </row>
    <row r="588" spans="1:9" x14ac:dyDescent="0.25">
      <c r="A588" t="s">
        <v>3041</v>
      </c>
      <c r="B588" t="s">
        <v>3030</v>
      </c>
      <c r="C588" t="s">
        <v>1534</v>
      </c>
      <c r="D588" s="2" t="s">
        <v>753</v>
      </c>
      <c r="E588" t="s">
        <v>81</v>
      </c>
      <c r="F588" t="s">
        <v>31</v>
      </c>
      <c r="G588" t="s">
        <v>31</v>
      </c>
      <c r="H588" t="s">
        <v>31</v>
      </c>
      <c r="I588" t="s">
        <v>32</v>
      </c>
    </row>
    <row r="589" spans="1:9" x14ac:dyDescent="0.25">
      <c r="A589" t="s">
        <v>3042</v>
      </c>
      <c r="B589" t="s">
        <v>3030</v>
      </c>
      <c r="C589" t="s">
        <v>1547</v>
      </c>
      <c r="D589" s="2" t="s">
        <v>810</v>
      </c>
      <c r="E589" t="s">
        <v>81</v>
      </c>
      <c r="F589" t="s">
        <v>31</v>
      </c>
      <c r="G589" t="s">
        <v>31</v>
      </c>
      <c r="H589" t="s">
        <v>31</v>
      </c>
      <c r="I589" t="s">
        <v>32</v>
      </c>
    </row>
    <row r="590" spans="1:9" x14ac:dyDescent="0.25">
      <c r="A590" t="s">
        <v>3043</v>
      </c>
      <c r="B590" t="s">
        <v>3030</v>
      </c>
      <c r="C590" t="s">
        <v>1560</v>
      </c>
      <c r="D590" s="2" t="s">
        <v>866</v>
      </c>
      <c r="E590" t="s">
        <v>81</v>
      </c>
      <c r="F590" t="s">
        <v>31</v>
      </c>
      <c r="G590" t="s">
        <v>31</v>
      </c>
      <c r="H590" t="s">
        <v>31</v>
      </c>
      <c r="I590" t="s">
        <v>32</v>
      </c>
    </row>
    <row r="591" spans="1:9" x14ac:dyDescent="0.25">
      <c r="A591" t="s">
        <v>3044</v>
      </c>
      <c r="B591" t="s">
        <v>3030</v>
      </c>
      <c r="C591" t="s">
        <v>1586</v>
      </c>
      <c r="D591" s="2" t="s">
        <v>697</v>
      </c>
      <c r="E591" t="s">
        <v>81</v>
      </c>
      <c r="F591" t="s">
        <v>31</v>
      </c>
      <c r="G591" t="s">
        <v>31</v>
      </c>
      <c r="H591" t="s">
        <v>31</v>
      </c>
      <c r="I591" t="s">
        <v>32</v>
      </c>
    </row>
    <row r="592" spans="1:9" x14ac:dyDescent="0.25">
      <c r="A592" t="s">
        <v>3045</v>
      </c>
      <c r="B592" t="s">
        <v>3046</v>
      </c>
      <c r="C592" t="s">
        <v>3047</v>
      </c>
      <c r="D592" s="3">
        <v>0.6</v>
      </c>
      <c r="E592" t="s">
        <v>30</v>
      </c>
      <c r="F592" t="s">
        <v>31</v>
      </c>
      <c r="G592">
        <v>0</v>
      </c>
      <c r="H592">
        <v>1</v>
      </c>
      <c r="I592" t="s">
        <v>31</v>
      </c>
    </row>
    <row r="593" spans="1:9" x14ac:dyDescent="0.25">
      <c r="A593" t="s">
        <v>3048</v>
      </c>
      <c r="B593" t="s">
        <v>3046</v>
      </c>
      <c r="C593" t="s">
        <v>3049</v>
      </c>
      <c r="D593" s="3">
        <v>6</v>
      </c>
      <c r="E593" t="s">
        <v>30</v>
      </c>
      <c r="F593" t="s">
        <v>31</v>
      </c>
      <c r="G593">
        <v>0</v>
      </c>
      <c r="H593">
        <v>100000</v>
      </c>
      <c r="I593" t="s">
        <v>31</v>
      </c>
    </row>
    <row r="594" spans="1:9" x14ac:dyDescent="0.25">
      <c r="A594" t="s">
        <v>3050</v>
      </c>
      <c r="B594" t="s">
        <v>3046</v>
      </c>
      <c r="C594" t="s">
        <v>3051</v>
      </c>
      <c r="D594" s="3">
        <v>0.25</v>
      </c>
      <c r="E594" t="s">
        <v>30</v>
      </c>
      <c r="F594" t="s">
        <v>31</v>
      </c>
      <c r="G594">
        <v>0</v>
      </c>
      <c r="H594">
        <v>1</v>
      </c>
      <c r="I594" t="s">
        <v>31</v>
      </c>
    </row>
    <row r="595" spans="1:9" x14ac:dyDescent="0.25">
      <c r="A595" t="s">
        <v>3052</v>
      </c>
      <c r="B595" t="s">
        <v>3046</v>
      </c>
      <c r="C595" t="s">
        <v>3053</v>
      </c>
      <c r="D595" s="3">
        <v>0.45</v>
      </c>
      <c r="E595" t="s">
        <v>30</v>
      </c>
      <c r="F595" t="s">
        <v>31</v>
      </c>
      <c r="G595">
        <v>0</v>
      </c>
      <c r="H595">
        <v>1</v>
      </c>
      <c r="I595" t="s">
        <v>31</v>
      </c>
    </row>
    <row r="596" spans="1:9" x14ac:dyDescent="0.25">
      <c r="A596" t="s">
        <v>3054</v>
      </c>
      <c r="B596" t="s">
        <v>3055</v>
      </c>
      <c r="C596" t="s">
        <v>496</v>
      </c>
      <c r="D596" s="3">
        <v>7</v>
      </c>
      <c r="E596" t="s">
        <v>30</v>
      </c>
      <c r="F596" t="s">
        <v>31</v>
      </c>
      <c r="G596">
        <v>0</v>
      </c>
      <c r="H596">
        <v>100000</v>
      </c>
      <c r="I596" t="s">
        <v>31</v>
      </c>
    </row>
    <row r="597" spans="1:9" x14ac:dyDescent="0.25">
      <c r="A597" t="s">
        <v>3056</v>
      </c>
      <c r="B597" t="s">
        <v>3055</v>
      </c>
      <c r="C597" t="s">
        <v>555</v>
      </c>
      <c r="D597" s="3">
        <v>5</v>
      </c>
      <c r="E597" t="s">
        <v>30</v>
      </c>
      <c r="F597" t="s">
        <v>31</v>
      </c>
      <c r="G597">
        <v>0</v>
      </c>
      <c r="H597">
        <v>100000</v>
      </c>
      <c r="I597" t="s">
        <v>31</v>
      </c>
    </row>
    <row r="598" spans="1:9" x14ac:dyDescent="0.25">
      <c r="A598" t="s">
        <v>3057</v>
      </c>
      <c r="B598" t="s">
        <v>3055</v>
      </c>
      <c r="C598" t="s">
        <v>3058</v>
      </c>
      <c r="D598" s="3">
        <v>2</v>
      </c>
      <c r="E598" t="s">
        <v>30</v>
      </c>
      <c r="F598" t="s">
        <v>31</v>
      </c>
      <c r="G598">
        <v>0</v>
      </c>
      <c r="H598">
        <v>100000</v>
      </c>
      <c r="I598" t="s">
        <v>31</v>
      </c>
    </row>
    <row r="599" spans="1:9" x14ac:dyDescent="0.25">
      <c r="A599" t="s">
        <v>3059</v>
      </c>
      <c r="B599" t="s">
        <v>3046</v>
      </c>
      <c r="C599" t="s">
        <v>3060</v>
      </c>
      <c r="D599" s="3">
        <v>1</v>
      </c>
      <c r="E599" t="s">
        <v>30</v>
      </c>
      <c r="F599" t="s">
        <v>31</v>
      </c>
      <c r="G599">
        <v>0</v>
      </c>
      <c r="H599">
        <v>100000</v>
      </c>
      <c r="I599" t="s">
        <v>31</v>
      </c>
    </row>
  </sheetData>
  <sheetProtection sheet="1" algorithmName="SHA-512" hashValue="9gCHuJESYzxIZNw4HpTWFfIq7wnvQQ1TfpH8/B3OeTcF+q02i+HdoUhSacQhRBDVRW63YXU6fdEmzZ2wnqPEDA==" saltValue="p0er7KmduZr6pn107wtbQw==" spinCount="100000"/>
  <autoFilter ref="A1:I1"/>
  <dataValidations count="78">
    <dataValidation type="decimal" showErrorMessage="1" errorStyle="stop" errorTitle="Invalid balance value" error="Use a number between 0 and 1." sqref="D10">
      <formula1>0</formula1>
      <formula2>1</formula2>
    </dataValidation>
    <dataValidation type="whole" showErrorMessage="1" errorStyle="stop" errorTitle="Invalid balance value" error="Use an integer between 2 and 2." sqref="D106">
      <formula1>2</formula1>
      <formula2>2</formula2>
    </dataValidation>
    <dataValidation type="whole" showErrorMessage="1" errorStyle="stop" errorTitle="Invalid balance value" error="Use an integer between 2 and 2." sqref="D114">
      <formula1>2</formula1>
      <formula2>2</formula2>
    </dataValidation>
    <dataValidation type="decimal" showErrorMessage="1" errorStyle="stop" errorTitle="Invalid balance value" error="Use a number between 0 and 1." sqref="D122">
      <formula1>0</formula1>
      <formula2>1</formula2>
    </dataValidation>
    <dataValidation type="decimal" showErrorMessage="1" errorStyle="stop" errorTitle="Invalid balance value" error="Use a number between 0 and 1." sqref="D130">
      <formula1>0</formula1>
      <formula2>1</formula2>
    </dataValidation>
    <dataValidation type="whole" showErrorMessage="1" errorStyle="stop" errorTitle="Invalid balance value" error="Use an integer between 7 and 7." sqref="D138">
      <formula1>7</formula1>
      <formula2>7</formula2>
    </dataValidation>
    <dataValidation type="whole" showErrorMessage="1" errorStyle="stop" errorTitle="Invalid balance value" error="Use an integer between 8 and 8." sqref="D146">
      <formula1>8</formula1>
      <formula2>8</formula2>
    </dataValidation>
    <dataValidation type="whole" showErrorMessage="1" errorStyle="stop" errorTitle="Invalid balance value" error="Use an integer between 9 and 9." sqref="D154">
      <formula1>9</formula1>
      <formula2>9</formula2>
    </dataValidation>
    <dataValidation type="whole" showErrorMessage="1" errorStyle="stop" errorTitle="Invalid balance value" error="Use an integer between 9 and 9." sqref="D162">
      <formula1>9</formula1>
      <formula2>9</formula2>
    </dataValidation>
    <dataValidation type="decimal" showErrorMessage="1" errorStyle="stop" errorTitle="Invalid balance value" error="Use a number between 0 and 1." sqref="D170">
      <formula1>0</formula1>
      <formula2>1</formula2>
    </dataValidation>
    <dataValidation type="whole" showErrorMessage="1" errorStyle="stop" errorTitle="Invalid balance value" error="Use an integer between 4 and 4." sqref="D178">
      <formula1>4</formula1>
      <formula2>4</formula2>
    </dataValidation>
    <dataValidation type="decimal" showErrorMessage="1" errorStyle="stop" errorTitle="Invalid balance value" error="Use a number between 0 and 1." sqref="D18">
      <formula1>0</formula1>
      <formula2>1</formula2>
    </dataValidation>
    <dataValidation type="whole" showErrorMessage="1" errorStyle="stop" errorTitle="Invalid balance value" error="Use an integer between 3 and 3." sqref="D186">
      <formula1>3</formula1>
      <formula2>3</formula2>
    </dataValidation>
    <dataValidation type="whole" showErrorMessage="1" errorStyle="stop" errorTitle="Invalid balance value" error="Use an integer between 6 and 6." sqref="D194">
      <formula1>6</formula1>
      <formula2>6</formula2>
    </dataValidation>
    <dataValidation type="whole" showErrorMessage="1" errorStyle="stop" errorTitle="Invalid balance value" error="Use an integer between 7 and 7." sqref="D2">
      <formula1>7</formula1>
      <formula2>7</formula2>
    </dataValidation>
    <dataValidation type="whole" showErrorMessage="1" errorStyle="stop" errorTitle="Invalid balance value" error="Use an integer between 3 and 3." sqref="D202">
      <formula1>3</formula1>
      <formula2>3</formula2>
    </dataValidation>
    <dataValidation type="whole" showErrorMessage="1" errorStyle="stop" errorTitle="Invalid balance value" error="Use an integer between 7 and 7." sqref="D210">
      <formula1>7</formula1>
      <formula2>7</formula2>
    </dataValidation>
    <dataValidation type="whole" showErrorMessage="1" errorStyle="stop" errorTitle="Invalid balance value" error="Use an integer between 4 and 4." sqref="D218">
      <formula1>4</formula1>
      <formula2>4</formula2>
    </dataValidation>
    <dataValidation type="whole" showErrorMessage="1" errorStyle="stop" errorTitle="Invalid balance value" error="Use an integer between 7 and 7." sqref="D226">
      <formula1>7</formula1>
      <formula2>7</formula2>
    </dataValidation>
    <dataValidation type="decimal" showErrorMessage="1" errorStyle="stop" errorTitle="Invalid balance value" error="Use a number between 0 and 1." sqref="D234">
      <formula1>0</formula1>
      <formula2>1</formula2>
    </dataValidation>
    <dataValidation type="decimal" showErrorMessage="1" errorStyle="stop" errorTitle="Invalid balance value" error="Use a number between 0 and 1." sqref="D242">
      <formula1>0</formula1>
      <formula2>1</formula2>
    </dataValidation>
    <dataValidation type="decimal" showErrorMessage="1" errorStyle="stop" errorTitle="Invalid balance value" error="Use a number between 0 and 1." sqref="D250">
      <formula1>0</formula1>
      <formula2>1</formula2>
    </dataValidation>
    <dataValidation type="decimal" showErrorMessage="1" errorStyle="stop" errorTitle="Invalid balance value" error="Use a number between 0 and 1." sqref="D258">
      <formula1>0</formula1>
      <formula2>1</formula2>
    </dataValidation>
    <dataValidation type="whole" showErrorMessage="1" errorStyle="stop" errorTitle="Invalid balance value" error="Use an integer between 1 and 2." sqref="D26">
      <formula1>1</formula1>
      <formula2>2</formula2>
    </dataValidation>
    <dataValidation type="decimal" showErrorMessage="1" errorStyle="stop" errorTitle="Invalid balance value" error="Use a number between 0 and 1." sqref="D266">
      <formula1>0</formula1>
      <formula2>1</formula2>
    </dataValidation>
    <dataValidation type="whole" showErrorMessage="1" errorStyle="stop" errorTitle="Invalid balance value" error="Use an integer between 2 and 2." sqref="D274">
      <formula1>2</formula1>
      <formula2>2</formula2>
    </dataValidation>
    <dataValidation type="whole" showErrorMessage="1" errorStyle="stop" errorTitle="Invalid balance value" error="Use an integer between 3 and 3." sqref="D282">
      <formula1>3</formula1>
      <formula2>3</formula2>
    </dataValidation>
    <dataValidation type="whole" showErrorMessage="1" errorStyle="stop" errorTitle="Invalid balance value" error="Use an integer between 2 and 2." sqref="D290">
      <formula1>2</formula1>
      <formula2>2</formula2>
    </dataValidation>
    <dataValidation type="whole" showErrorMessage="1" errorStyle="stop" errorTitle="Invalid balance value" error="Use an integer between 2 and 2." sqref="D298">
      <formula1>2</formula1>
      <formula2>2</formula2>
    </dataValidation>
    <dataValidation type="whole" showErrorMessage="1" errorStyle="stop" errorTitle="Invalid balance value" error="Use an integer between 2 and 2." sqref="D306">
      <formula1>2</formula1>
      <formula2>2</formula2>
    </dataValidation>
    <dataValidation type="decimal" showErrorMessage="1" errorStyle="stop" errorTitle="Invalid balance value" error="Use a number between 0 and 1." sqref="D314">
      <formula1>0</formula1>
      <formula2>1</formula2>
    </dataValidation>
    <dataValidation type="whole" showErrorMessage="1" errorStyle="stop" errorTitle="Invalid balance value" error="Use an integer between 3 and 3." sqref="D322">
      <formula1>3</formula1>
      <formula2>3</formula2>
    </dataValidation>
    <dataValidation type="whole" showErrorMessage="1" errorStyle="stop" errorTitle="Invalid balance value" error="Use an integer between 2 and 2." sqref="D330">
      <formula1>2</formula1>
      <formula2>2</formula2>
    </dataValidation>
    <dataValidation type="whole" showErrorMessage="1" errorStyle="stop" errorTitle="Invalid balance value" error="Use an integer between 7 and 7." sqref="D338">
      <formula1>7</formula1>
      <formula2>7</formula2>
    </dataValidation>
    <dataValidation type="decimal" showErrorMessage="1" errorStyle="stop" errorTitle="Invalid balance value" error="Use a number between 0 and 1." sqref="D34">
      <formula1>0</formula1>
      <formula2>1</formula2>
    </dataValidation>
    <dataValidation type="decimal" showErrorMessage="1" errorStyle="stop" errorTitle="Invalid balance value" error="Use a number between 0 and 1." sqref="D346">
      <formula1>0</formula1>
      <formula2>1</formula2>
    </dataValidation>
    <dataValidation type="whole" showErrorMessage="1" errorStyle="stop" errorTitle="Invalid balance value" error="Use an integer between 1 and 100." sqref="D354">
      <formula1>1</formula1>
      <formula2>100</formula2>
    </dataValidation>
    <dataValidation type="whole" showErrorMessage="1" errorStyle="stop" errorTitle="Invalid balance value" error="Use an integer between 1 and 100." sqref="D362">
      <formula1>1</formula1>
      <formula2>100</formula2>
    </dataValidation>
    <dataValidation type="decimal" showErrorMessage="1" errorStyle="stop" errorTitle="Invalid balance value" error="Use a number between 0 and 1." sqref="D370">
      <formula1>0</formula1>
      <formula2>1</formula2>
    </dataValidation>
    <dataValidation type="decimal" showErrorMessage="1" errorStyle="stop" errorTitle="Invalid balance value" error="Use a number between 0 and 1." sqref="D378">
      <formula1>0</formula1>
      <formula2>1</formula2>
    </dataValidation>
    <dataValidation type="decimal" showErrorMessage="1" errorStyle="stop" errorTitle="Invalid balance value" error="Use a number between 0 and 1." sqref="D386">
      <formula1>0</formula1>
      <formula2>1</formula2>
    </dataValidation>
    <dataValidation type="decimal" showErrorMessage="1" errorStyle="stop" errorTitle="Invalid balance value" error="Use a number between 0 and 1." sqref="D394">
      <formula1>0</formula1>
      <formula2>1</formula2>
    </dataValidation>
    <dataValidation type="decimal" showErrorMessage="1" errorStyle="stop" errorTitle="Invalid balance value" error="Use a number between 0 and 1." sqref="D402">
      <formula1>0</formula1>
      <formula2>1</formula2>
    </dataValidation>
    <dataValidation type="decimal" showErrorMessage="1" errorStyle="stop" errorTitle="Invalid balance value" error="Use a number between 0 and 1." sqref="D410">
      <formula1>0</formula1>
      <formula2>1</formula2>
    </dataValidation>
    <dataValidation type="decimal" showErrorMessage="1" errorStyle="stop" errorTitle="Invalid balance value" error="Use a number between 0 and 1." sqref="D418">
      <formula1>0</formula1>
      <formula2>1</formula2>
    </dataValidation>
    <dataValidation type="decimal" showErrorMessage="1" errorStyle="stop" errorTitle="Invalid balance value" error="Use a number between 0 and 1." sqref="D42">
      <formula1>0</formula1>
      <formula2>1</formula2>
    </dataValidation>
    <dataValidation type="whole" showErrorMessage="1" errorStyle="stop" errorTitle="Invalid balance value" error="Use an integer between 1 and 100." sqref="D426">
      <formula1>1</formula1>
      <formula2>100</formula2>
    </dataValidation>
    <dataValidation type="decimal" showErrorMessage="1" errorStyle="stop" errorTitle="Invalid balance value" error="Use a number between 0 and 1." sqref="D434">
      <formula1>0</formula1>
      <formula2>1</formula2>
    </dataValidation>
    <dataValidation type="decimal" showErrorMessage="1" errorStyle="stop" errorTitle="Invalid balance value" error="Use a number between 0 and 1." sqref="D442">
      <formula1>0</formula1>
      <formula2>1</formula2>
    </dataValidation>
    <dataValidation type="decimal" showErrorMessage="1" errorStyle="stop" errorTitle="Invalid balance value" error="Use a number between 0 and 1." sqref="D450">
      <formula1>0</formula1>
      <formula2>1</formula2>
    </dataValidation>
    <dataValidation type="decimal" showErrorMessage="1" errorStyle="stop" errorTitle="Invalid balance value" error="Use a number between 0 and 1." sqref="D458">
      <formula1>0</formula1>
      <formula2>1</formula2>
    </dataValidation>
    <dataValidation type="whole" showErrorMessage="1" errorStyle="stop" errorTitle="Invalid balance value" error="Use an integer between 1 and 100." sqref="D466">
      <formula1>1</formula1>
      <formula2>100</formula2>
    </dataValidation>
    <dataValidation type="whole" showErrorMessage="1" errorStyle="stop" errorTitle="Invalid balance value" error="Use an integer between 1 and 5." sqref="D474">
      <formula1>1</formula1>
      <formula2>5</formula2>
    </dataValidation>
    <dataValidation type="decimal" showErrorMessage="1" errorStyle="stop" errorTitle="Invalid balance value" error="Use a number between 0 and 100." sqref="D482">
      <formula1>0</formula1>
      <formula2>100</formula2>
    </dataValidation>
    <dataValidation type="whole" showErrorMessage="1" errorStyle="stop" errorTitle="Invalid balance value" error="Use an integer between 1 and 100." sqref="D490">
      <formula1>1</formula1>
      <formula2>100</formula2>
    </dataValidation>
    <dataValidation type="whole" showErrorMessage="1" errorStyle="stop" errorTitle="Invalid balance value" error="Use an integer between 1 and 100." sqref="D498">
      <formula1>1</formula1>
      <formula2>100</formula2>
    </dataValidation>
    <dataValidation type="whole" showErrorMessage="1" errorStyle="stop" errorTitle="Invalid balance value" error="Use an integer between 2 and 2." sqref="D50">
      <formula1>2</formula1>
      <formula2>2</formula2>
    </dataValidation>
    <dataValidation type="whole" showErrorMessage="1" errorStyle="stop" errorTitle="Invalid balance value" error="Use an integer between 1 and 100." sqref="D506">
      <formula1>1</formula1>
      <formula2>100</formula2>
    </dataValidation>
    <dataValidation type="whole" showErrorMessage="1" errorStyle="stop" errorTitle="Invalid balance value" error="Use an integer between 1 and 100." sqref="D514">
      <formula1>1</formula1>
      <formula2>100</formula2>
    </dataValidation>
    <dataValidation type="whole" showErrorMessage="1" errorStyle="stop" errorTitle="Invalid balance value" error="Use an integer between 1 and 100." sqref="D522">
      <formula1>1</formula1>
      <formula2>100</formula2>
    </dataValidation>
    <dataValidation type="whole" showErrorMessage="1" errorStyle="stop" errorTitle="Invalid balance value" error="Use an integer between 1 and 100." sqref="D530">
      <formula1>1</formula1>
      <formula2>100</formula2>
    </dataValidation>
    <dataValidation type="decimal" showErrorMessage="1" errorStyle="stop" errorTitle="Invalid balance value" error="Use a number between 0 and 1." sqref="D538">
      <formula1>0</formula1>
      <formula2>1</formula2>
    </dataValidation>
    <dataValidation type="decimal" showErrorMessage="1" errorStyle="stop" errorTitle="Invalid balance value" error="Use a number between 0 and 1." sqref="D546">
      <formula1>0</formula1>
      <formula2>1</formula2>
    </dataValidation>
    <dataValidation type="whole" showErrorMessage="1" errorStyle="stop" errorTitle="Invalid balance value" error="Use an integer between 1 and 100." sqref="D554">
      <formula1>1</formula1>
      <formula2>100</formula2>
    </dataValidation>
    <dataValidation type="whole" showErrorMessage="1" errorStyle="stop" errorTitle="Invalid balance value" error="Use an integer between 1000 and 3600000." sqref="D562">
      <formula1>1000</formula1>
      <formula2>3600000</formula2>
    </dataValidation>
    <dataValidation type="whole" showErrorMessage="1" errorStyle="stop" errorTitle="Invalid balance value" error="Use an integer between 0 and 30." sqref="D570:D574">
      <formula1>0</formula1>
      <formula2>30</formula2>
    </dataValidation>
    <dataValidation type="decimal" showErrorMessage="1" errorStyle="stop" errorTitle="Invalid balance value" error="Use a number between 0 and 1." sqref="D575">
      <formula1>0</formula1>
      <formula2>1</formula2>
    </dataValidation>
    <dataValidation type="whole" showErrorMessage="1" errorStyle="stop" errorTitle="Invalid balance value" error="Use an integer between 0 and 10." sqref="D576">
      <formula1>0</formula1>
      <formula2>10</formula2>
    </dataValidation>
    <dataValidation type="whole" showErrorMessage="1" errorStyle="stop" errorTitle="Invalid balance value" error="Use an integer between 2 and 2." sqref="D58">
      <formula1>2</formula1>
      <formula2>2</formula2>
    </dataValidation>
    <dataValidation type="decimal" showErrorMessage="1" errorStyle="stop" errorTitle="Invalid balance value" error="Use a number between 0 and 1." sqref="D592">
      <formula1>0</formula1>
      <formula2>1</formula2>
    </dataValidation>
    <dataValidation type="whole" showErrorMessage="1" errorStyle="stop" errorTitle="Invalid balance value" error="Use an integer between 0 and 100000." sqref="D593">
      <formula1>0</formula1>
      <formula2>100000</formula2>
    </dataValidation>
    <dataValidation type="decimal" showErrorMessage="1" errorStyle="stop" errorTitle="Invalid balance value" error="Use a number between 0 and 1." sqref="D594:D595">
      <formula1>0</formula1>
      <formula2>1</formula2>
    </dataValidation>
    <dataValidation type="whole" showErrorMessage="1" errorStyle="stop" errorTitle="Invalid balance value" error="Use an integer between 0 and 100000." sqref="D596:D599">
      <formula1>0</formula1>
      <formula2>100000</formula2>
    </dataValidation>
    <dataValidation type="whole" showErrorMessage="1" errorStyle="stop" errorTitle="Invalid balance value" error="Use an integer between 6 and 6." sqref="D66">
      <formula1>6</formula1>
      <formula2>6</formula2>
    </dataValidation>
    <dataValidation type="whole" showErrorMessage="1" errorStyle="stop" errorTitle="Invalid balance value" error="Use an integer between 2 and 2." sqref="D74">
      <formula1>2</formula1>
      <formula2>2</formula2>
    </dataValidation>
    <dataValidation type="whole" showErrorMessage="1" errorStyle="stop" errorTitle="Invalid balance value" error="Use an integer between 2 and 2." sqref="D82">
      <formula1>2</formula1>
      <formula2>2</formula2>
    </dataValidation>
    <dataValidation type="whole" showErrorMessage="1" errorStyle="stop" errorTitle="Invalid balance value" error="Use an integer between 5 and 5." sqref="D90">
      <formula1>5</formula1>
      <formula2>5</formula2>
    </dataValidation>
    <dataValidation type="whole" showErrorMessage="1" errorStyle="stop" errorTitle="Invalid balance value" error="Use an integer between 8 and 8." sqref="D98">
      <formula1>8</formula1>
      <formula2>8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3061</v>
      </c>
      <c r="B2" t="s">
        <v>3062</v>
      </c>
      <c r="C2" t="s">
        <v>3063</v>
      </c>
      <c r="D2" s="3">
        <v>2</v>
      </c>
      <c r="E2" t="s">
        <v>30</v>
      </c>
      <c r="F2" t="s">
        <v>77</v>
      </c>
      <c r="G2">
        <v>1</v>
      </c>
      <c r="H2">
        <v>100</v>
      </c>
      <c r="I2" t="s">
        <v>3064</v>
      </c>
    </row>
    <row r="3" spans="1:9" x14ac:dyDescent="0.25">
      <c r="A3" t="s">
        <v>3065</v>
      </c>
      <c r="B3" t="s">
        <v>3062</v>
      </c>
      <c r="C3" t="s">
        <v>3063</v>
      </c>
      <c r="D3" s="2" t="s">
        <v>3066</v>
      </c>
      <c r="E3" t="s">
        <v>81</v>
      </c>
      <c r="F3" t="s">
        <v>77</v>
      </c>
      <c r="G3" t="s">
        <v>31</v>
      </c>
      <c r="H3" t="s">
        <v>31</v>
      </c>
      <c r="I3" t="s">
        <v>32</v>
      </c>
    </row>
    <row r="4" spans="1:9" x14ac:dyDescent="0.25">
      <c r="A4" t="s">
        <v>3067</v>
      </c>
      <c r="B4" t="s">
        <v>3062</v>
      </c>
      <c r="C4" t="s">
        <v>3063</v>
      </c>
      <c r="D4" s="2" t="s">
        <v>3063</v>
      </c>
      <c r="E4" t="s">
        <v>81</v>
      </c>
      <c r="F4" t="s">
        <v>77</v>
      </c>
      <c r="G4" t="s">
        <v>31</v>
      </c>
      <c r="H4" t="s">
        <v>31</v>
      </c>
      <c r="I4" t="s">
        <v>32</v>
      </c>
    </row>
    <row r="5" spans="1:9" x14ac:dyDescent="0.25">
      <c r="A5" t="s">
        <v>3068</v>
      </c>
      <c r="B5" t="s">
        <v>3062</v>
      </c>
      <c r="C5" t="s">
        <v>3063</v>
      </c>
      <c r="D5" s="2" t="s">
        <v>3064</v>
      </c>
      <c r="E5" t="s">
        <v>81</v>
      </c>
      <c r="F5" t="s">
        <v>77</v>
      </c>
      <c r="G5" t="s">
        <v>31</v>
      </c>
      <c r="H5" t="s">
        <v>31</v>
      </c>
      <c r="I5" t="s">
        <v>32</v>
      </c>
    </row>
    <row r="6" spans="1:9" x14ac:dyDescent="0.25">
      <c r="A6" t="s">
        <v>3069</v>
      </c>
      <c r="B6" t="s">
        <v>3062</v>
      </c>
      <c r="C6" t="s">
        <v>3063</v>
      </c>
      <c r="D6" s="2" t="s">
        <v>77</v>
      </c>
      <c r="E6" t="s">
        <v>81</v>
      </c>
      <c r="F6" t="s">
        <v>77</v>
      </c>
      <c r="G6" t="s">
        <v>31</v>
      </c>
      <c r="H6" t="s">
        <v>31</v>
      </c>
      <c r="I6" t="s">
        <v>32</v>
      </c>
    </row>
    <row r="7" spans="1:9" x14ac:dyDescent="0.25">
      <c r="A7" t="s">
        <v>3070</v>
      </c>
      <c r="B7" t="s">
        <v>3062</v>
      </c>
      <c r="C7" t="s">
        <v>3063</v>
      </c>
      <c r="D7" s="2">
        <v>0</v>
      </c>
      <c r="E7" t="s">
        <v>30</v>
      </c>
      <c r="F7" t="s">
        <v>77</v>
      </c>
      <c r="G7">
        <v>1</v>
      </c>
      <c r="H7">
        <v>100</v>
      </c>
      <c r="I7" t="s">
        <v>32</v>
      </c>
    </row>
    <row r="8" spans="1:9" x14ac:dyDescent="0.25">
      <c r="A8" t="s">
        <v>3071</v>
      </c>
      <c r="B8" t="s">
        <v>3062</v>
      </c>
      <c r="C8" t="s">
        <v>3063</v>
      </c>
      <c r="D8" s="2">
        <v>100</v>
      </c>
      <c r="E8" t="s">
        <v>30</v>
      </c>
      <c r="F8" t="s">
        <v>77</v>
      </c>
      <c r="G8">
        <v>1</v>
      </c>
      <c r="H8">
        <v>100</v>
      </c>
      <c r="I8" t="s">
        <v>32</v>
      </c>
    </row>
    <row r="9" spans="1:9" x14ac:dyDescent="0.25">
      <c r="A9" t="s">
        <v>3072</v>
      </c>
      <c r="B9" t="s">
        <v>3062</v>
      </c>
      <c r="C9" t="s">
        <v>3063</v>
      </c>
      <c r="D9" s="2" t="b">
        <v>1</v>
      </c>
      <c r="E9" t="s">
        <v>88</v>
      </c>
      <c r="F9" t="s">
        <v>77</v>
      </c>
      <c r="G9" t="s">
        <v>31</v>
      </c>
      <c r="H9" t="s">
        <v>31</v>
      </c>
      <c r="I9" t="s">
        <v>32</v>
      </c>
    </row>
    <row r="10" spans="1:9" x14ac:dyDescent="0.25">
      <c r="A10" t="s">
        <v>3073</v>
      </c>
      <c r="B10" t="s">
        <v>3074</v>
      </c>
      <c r="C10" t="s">
        <v>3075</v>
      </c>
      <c r="D10" s="3">
        <v>2</v>
      </c>
      <c r="E10" t="s">
        <v>30</v>
      </c>
      <c r="F10" t="s">
        <v>77</v>
      </c>
      <c r="G10">
        <v>1</v>
      </c>
      <c r="H10">
        <v>100</v>
      </c>
      <c r="I10" t="s">
        <v>3076</v>
      </c>
    </row>
    <row r="11" spans="1:9" x14ac:dyDescent="0.25">
      <c r="A11" t="s">
        <v>3077</v>
      </c>
      <c r="B11" t="s">
        <v>3074</v>
      </c>
      <c r="C11" t="s">
        <v>3075</v>
      </c>
      <c r="D11" s="2" t="s">
        <v>3066</v>
      </c>
      <c r="E11" t="s">
        <v>81</v>
      </c>
      <c r="F11" t="s">
        <v>77</v>
      </c>
      <c r="G11" t="s">
        <v>31</v>
      </c>
      <c r="H11" t="s">
        <v>31</v>
      </c>
      <c r="I11" t="s">
        <v>32</v>
      </c>
    </row>
    <row r="12" spans="1:9" x14ac:dyDescent="0.25">
      <c r="A12" t="s">
        <v>3078</v>
      </c>
      <c r="B12" t="s">
        <v>3074</v>
      </c>
      <c r="C12" t="s">
        <v>3075</v>
      </c>
      <c r="D12" s="2" t="s">
        <v>3075</v>
      </c>
      <c r="E12" t="s">
        <v>81</v>
      </c>
      <c r="F12" t="s">
        <v>77</v>
      </c>
      <c r="G12" t="s">
        <v>31</v>
      </c>
      <c r="H12" t="s">
        <v>31</v>
      </c>
      <c r="I12" t="s">
        <v>32</v>
      </c>
    </row>
    <row r="13" spans="1:9" x14ac:dyDescent="0.25">
      <c r="A13" t="s">
        <v>3079</v>
      </c>
      <c r="B13" t="s">
        <v>3074</v>
      </c>
      <c r="C13" t="s">
        <v>3075</v>
      </c>
      <c r="D13" s="2" t="s">
        <v>3076</v>
      </c>
      <c r="E13" t="s">
        <v>81</v>
      </c>
      <c r="F13" t="s">
        <v>77</v>
      </c>
      <c r="G13" t="s">
        <v>31</v>
      </c>
      <c r="H13" t="s">
        <v>31</v>
      </c>
      <c r="I13" t="s">
        <v>32</v>
      </c>
    </row>
    <row r="14" spans="1:9" x14ac:dyDescent="0.25">
      <c r="A14" t="s">
        <v>3080</v>
      </c>
      <c r="B14" t="s">
        <v>3074</v>
      </c>
      <c r="C14" t="s">
        <v>3075</v>
      </c>
      <c r="D14" s="2" t="s">
        <v>77</v>
      </c>
      <c r="E14" t="s">
        <v>81</v>
      </c>
      <c r="F14" t="s">
        <v>77</v>
      </c>
      <c r="G14" t="s">
        <v>31</v>
      </c>
      <c r="H14" t="s">
        <v>31</v>
      </c>
      <c r="I14" t="s">
        <v>32</v>
      </c>
    </row>
    <row r="15" spans="1:9" x14ac:dyDescent="0.25">
      <c r="A15" t="s">
        <v>3081</v>
      </c>
      <c r="B15" t="s">
        <v>3074</v>
      </c>
      <c r="C15" t="s">
        <v>3075</v>
      </c>
      <c r="D15" s="2">
        <v>0</v>
      </c>
      <c r="E15" t="s">
        <v>30</v>
      </c>
      <c r="F15" t="s">
        <v>77</v>
      </c>
      <c r="G15">
        <v>1</v>
      </c>
      <c r="H15">
        <v>100</v>
      </c>
      <c r="I15" t="s">
        <v>32</v>
      </c>
    </row>
    <row r="16" spans="1:9" x14ac:dyDescent="0.25">
      <c r="A16" t="s">
        <v>3082</v>
      </c>
      <c r="B16" t="s">
        <v>3074</v>
      </c>
      <c r="C16" t="s">
        <v>3075</v>
      </c>
      <c r="D16" s="2">
        <v>100</v>
      </c>
      <c r="E16" t="s">
        <v>30</v>
      </c>
      <c r="F16" t="s">
        <v>77</v>
      </c>
      <c r="G16">
        <v>1</v>
      </c>
      <c r="H16">
        <v>100</v>
      </c>
      <c r="I16" t="s">
        <v>32</v>
      </c>
    </row>
    <row r="17" spans="1:9" x14ac:dyDescent="0.25">
      <c r="A17" t="s">
        <v>3083</v>
      </c>
      <c r="B17" t="s">
        <v>3074</v>
      </c>
      <c r="C17" t="s">
        <v>3075</v>
      </c>
      <c r="D17" s="2" t="b">
        <v>1</v>
      </c>
      <c r="E17" t="s">
        <v>88</v>
      </c>
      <c r="F17" t="s">
        <v>77</v>
      </c>
      <c r="G17" t="s">
        <v>31</v>
      </c>
      <c r="H17" t="s">
        <v>31</v>
      </c>
      <c r="I17" t="s">
        <v>32</v>
      </c>
    </row>
    <row r="18" spans="1:9" x14ac:dyDescent="0.25">
      <c r="A18" t="s">
        <v>3084</v>
      </c>
      <c r="B18" t="s">
        <v>3085</v>
      </c>
      <c r="C18" t="s">
        <v>3086</v>
      </c>
      <c r="D18" s="3">
        <v>4</v>
      </c>
      <c r="E18" t="s">
        <v>30</v>
      </c>
      <c r="F18" t="s">
        <v>77</v>
      </c>
      <c r="G18">
        <v>1</v>
      </c>
      <c r="H18">
        <v>100</v>
      </c>
      <c r="I18" t="s">
        <v>3087</v>
      </c>
    </row>
    <row r="19" spans="1:9" x14ac:dyDescent="0.25">
      <c r="A19" t="s">
        <v>3088</v>
      </c>
      <c r="B19" t="s">
        <v>3085</v>
      </c>
      <c r="C19" t="s">
        <v>3086</v>
      </c>
      <c r="D19" s="2" t="s">
        <v>3066</v>
      </c>
      <c r="E19" t="s">
        <v>81</v>
      </c>
      <c r="F19" t="s">
        <v>77</v>
      </c>
      <c r="G19" t="s">
        <v>31</v>
      </c>
      <c r="H19" t="s">
        <v>31</v>
      </c>
      <c r="I19" t="s">
        <v>32</v>
      </c>
    </row>
    <row r="20" spans="1:9" x14ac:dyDescent="0.25">
      <c r="A20" t="s">
        <v>3089</v>
      </c>
      <c r="B20" t="s">
        <v>3085</v>
      </c>
      <c r="C20" t="s">
        <v>3086</v>
      </c>
      <c r="D20" s="2" t="s">
        <v>3086</v>
      </c>
      <c r="E20" t="s">
        <v>81</v>
      </c>
      <c r="F20" t="s">
        <v>77</v>
      </c>
      <c r="G20" t="s">
        <v>31</v>
      </c>
      <c r="H20" t="s">
        <v>31</v>
      </c>
      <c r="I20" t="s">
        <v>32</v>
      </c>
    </row>
    <row r="21" spans="1:9" x14ac:dyDescent="0.25">
      <c r="A21" t="s">
        <v>3090</v>
      </c>
      <c r="B21" t="s">
        <v>3085</v>
      </c>
      <c r="C21" t="s">
        <v>3086</v>
      </c>
      <c r="D21" s="2" t="s">
        <v>3087</v>
      </c>
      <c r="E21" t="s">
        <v>81</v>
      </c>
      <c r="F21" t="s">
        <v>77</v>
      </c>
      <c r="G21" t="s">
        <v>31</v>
      </c>
      <c r="H21" t="s">
        <v>31</v>
      </c>
      <c r="I21" t="s">
        <v>32</v>
      </c>
    </row>
    <row r="22" spans="1:9" x14ac:dyDescent="0.25">
      <c r="A22" t="s">
        <v>3091</v>
      </c>
      <c r="B22" t="s">
        <v>3085</v>
      </c>
      <c r="C22" t="s">
        <v>3086</v>
      </c>
      <c r="D22" s="2" t="s">
        <v>77</v>
      </c>
      <c r="E22" t="s">
        <v>81</v>
      </c>
      <c r="F22" t="s">
        <v>77</v>
      </c>
      <c r="G22" t="s">
        <v>31</v>
      </c>
      <c r="H22" t="s">
        <v>31</v>
      </c>
      <c r="I22" t="s">
        <v>32</v>
      </c>
    </row>
    <row r="23" spans="1:9" x14ac:dyDescent="0.25">
      <c r="A23" t="s">
        <v>3092</v>
      </c>
      <c r="B23" t="s">
        <v>3085</v>
      </c>
      <c r="C23" t="s">
        <v>3086</v>
      </c>
      <c r="D23" s="2">
        <v>0</v>
      </c>
      <c r="E23" t="s">
        <v>30</v>
      </c>
      <c r="F23" t="s">
        <v>77</v>
      </c>
      <c r="G23">
        <v>1</v>
      </c>
      <c r="H23">
        <v>100</v>
      </c>
      <c r="I23" t="s">
        <v>32</v>
      </c>
    </row>
    <row r="24" spans="1:9" x14ac:dyDescent="0.25">
      <c r="A24" t="s">
        <v>3093</v>
      </c>
      <c r="B24" t="s">
        <v>3085</v>
      </c>
      <c r="C24" t="s">
        <v>3086</v>
      </c>
      <c r="D24" s="2">
        <v>100</v>
      </c>
      <c r="E24" t="s">
        <v>30</v>
      </c>
      <c r="F24" t="s">
        <v>77</v>
      </c>
      <c r="G24">
        <v>1</v>
      </c>
      <c r="H24">
        <v>100</v>
      </c>
      <c r="I24" t="s">
        <v>32</v>
      </c>
    </row>
    <row r="25" spans="1:9" x14ac:dyDescent="0.25">
      <c r="A25" t="s">
        <v>3094</v>
      </c>
      <c r="B25" t="s">
        <v>3085</v>
      </c>
      <c r="C25" t="s">
        <v>3086</v>
      </c>
      <c r="D25" s="2" t="b">
        <v>1</v>
      </c>
      <c r="E25" t="s">
        <v>88</v>
      </c>
      <c r="F25" t="s">
        <v>77</v>
      </c>
      <c r="G25" t="s">
        <v>31</v>
      </c>
      <c r="H25" t="s">
        <v>31</v>
      </c>
      <c r="I25" t="s">
        <v>32</v>
      </c>
    </row>
    <row r="26" spans="1:9" x14ac:dyDescent="0.25">
      <c r="A26" t="s">
        <v>3095</v>
      </c>
      <c r="B26" t="s">
        <v>3096</v>
      </c>
      <c r="C26" t="s">
        <v>3097</v>
      </c>
      <c r="D26" s="3">
        <v>2</v>
      </c>
      <c r="E26" t="s">
        <v>30</v>
      </c>
      <c r="F26" t="s">
        <v>77</v>
      </c>
      <c r="G26">
        <v>1</v>
      </c>
      <c r="H26">
        <v>100</v>
      </c>
      <c r="I26" t="s">
        <v>3098</v>
      </c>
    </row>
    <row r="27" spans="1:9" x14ac:dyDescent="0.25">
      <c r="A27" t="s">
        <v>3099</v>
      </c>
      <c r="B27" t="s">
        <v>3096</v>
      </c>
      <c r="C27" t="s">
        <v>3097</v>
      </c>
      <c r="D27" s="2" t="s">
        <v>3066</v>
      </c>
      <c r="E27" t="s">
        <v>81</v>
      </c>
      <c r="F27" t="s">
        <v>77</v>
      </c>
      <c r="G27" t="s">
        <v>31</v>
      </c>
      <c r="H27" t="s">
        <v>31</v>
      </c>
      <c r="I27" t="s">
        <v>32</v>
      </c>
    </row>
    <row r="28" spans="1:9" x14ac:dyDescent="0.25">
      <c r="A28" t="s">
        <v>3100</v>
      </c>
      <c r="B28" t="s">
        <v>3096</v>
      </c>
      <c r="C28" t="s">
        <v>3097</v>
      </c>
      <c r="D28" s="2" t="s">
        <v>3097</v>
      </c>
      <c r="E28" t="s">
        <v>81</v>
      </c>
      <c r="F28" t="s">
        <v>77</v>
      </c>
      <c r="G28" t="s">
        <v>31</v>
      </c>
      <c r="H28" t="s">
        <v>31</v>
      </c>
      <c r="I28" t="s">
        <v>32</v>
      </c>
    </row>
    <row r="29" spans="1:9" x14ac:dyDescent="0.25">
      <c r="A29" t="s">
        <v>3101</v>
      </c>
      <c r="B29" t="s">
        <v>3096</v>
      </c>
      <c r="C29" t="s">
        <v>3097</v>
      </c>
      <c r="D29" s="2" t="s">
        <v>3098</v>
      </c>
      <c r="E29" t="s">
        <v>81</v>
      </c>
      <c r="F29" t="s">
        <v>77</v>
      </c>
      <c r="G29" t="s">
        <v>31</v>
      </c>
      <c r="H29" t="s">
        <v>31</v>
      </c>
      <c r="I29" t="s">
        <v>32</v>
      </c>
    </row>
    <row r="30" spans="1:9" x14ac:dyDescent="0.25">
      <c r="A30" t="s">
        <v>3102</v>
      </c>
      <c r="B30" t="s">
        <v>3096</v>
      </c>
      <c r="C30" t="s">
        <v>3097</v>
      </c>
      <c r="D30" s="2" t="s">
        <v>77</v>
      </c>
      <c r="E30" t="s">
        <v>81</v>
      </c>
      <c r="F30" t="s">
        <v>77</v>
      </c>
      <c r="G30" t="s">
        <v>31</v>
      </c>
      <c r="H30" t="s">
        <v>31</v>
      </c>
      <c r="I30" t="s">
        <v>32</v>
      </c>
    </row>
    <row r="31" spans="1:9" x14ac:dyDescent="0.25">
      <c r="A31" t="s">
        <v>3103</v>
      </c>
      <c r="B31" t="s">
        <v>3096</v>
      </c>
      <c r="C31" t="s">
        <v>3097</v>
      </c>
      <c r="D31" s="2">
        <v>0</v>
      </c>
      <c r="E31" t="s">
        <v>30</v>
      </c>
      <c r="F31" t="s">
        <v>77</v>
      </c>
      <c r="G31">
        <v>1</v>
      </c>
      <c r="H31">
        <v>100</v>
      </c>
      <c r="I31" t="s">
        <v>32</v>
      </c>
    </row>
    <row r="32" spans="1:9" x14ac:dyDescent="0.25">
      <c r="A32" t="s">
        <v>3104</v>
      </c>
      <c r="B32" t="s">
        <v>3096</v>
      </c>
      <c r="C32" t="s">
        <v>3097</v>
      </c>
      <c r="D32" s="2">
        <v>100</v>
      </c>
      <c r="E32" t="s">
        <v>30</v>
      </c>
      <c r="F32" t="s">
        <v>77</v>
      </c>
      <c r="G32">
        <v>1</v>
      </c>
      <c r="H32">
        <v>100</v>
      </c>
      <c r="I32" t="s">
        <v>32</v>
      </c>
    </row>
    <row r="33" spans="1:9" x14ac:dyDescent="0.25">
      <c r="A33" t="s">
        <v>3105</v>
      </c>
      <c r="B33" t="s">
        <v>3096</v>
      </c>
      <c r="C33" t="s">
        <v>3097</v>
      </c>
      <c r="D33" s="2" t="b">
        <v>1</v>
      </c>
      <c r="E33" t="s">
        <v>88</v>
      </c>
      <c r="F33" t="s">
        <v>77</v>
      </c>
      <c r="G33" t="s">
        <v>31</v>
      </c>
      <c r="H33" t="s">
        <v>31</v>
      </c>
      <c r="I33" t="s">
        <v>32</v>
      </c>
    </row>
    <row r="34" spans="1:9" x14ac:dyDescent="0.25">
      <c r="A34" t="s">
        <v>3106</v>
      </c>
      <c r="B34" t="s">
        <v>3107</v>
      </c>
      <c r="C34" t="s">
        <v>3108</v>
      </c>
      <c r="D34" s="3">
        <v>3</v>
      </c>
      <c r="E34" t="s">
        <v>30</v>
      </c>
      <c r="F34" t="s">
        <v>77</v>
      </c>
      <c r="G34">
        <v>1</v>
      </c>
      <c r="H34">
        <v>100</v>
      </c>
      <c r="I34" t="s">
        <v>3109</v>
      </c>
    </row>
    <row r="35" spans="1:9" x14ac:dyDescent="0.25">
      <c r="A35" t="s">
        <v>3110</v>
      </c>
      <c r="B35" t="s">
        <v>3107</v>
      </c>
      <c r="C35" t="s">
        <v>3108</v>
      </c>
      <c r="D35" s="2" t="s">
        <v>3066</v>
      </c>
      <c r="E35" t="s">
        <v>81</v>
      </c>
      <c r="F35" t="s">
        <v>77</v>
      </c>
      <c r="G35" t="s">
        <v>31</v>
      </c>
      <c r="H35" t="s">
        <v>31</v>
      </c>
      <c r="I35" t="s">
        <v>32</v>
      </c>
    </row>
    <row r="36" spans="1:9" x14ac:dyDescent="0.25">
      <c r="A36" t="s">
        <v>3111</v>
      </c>
      <c r="B36" t="s">
        <v>3107</v>
      </c>
      <c r="C36" t="s">
        <v>3108</v>
      </c>
      <c r="D36" s="2" t="s">
        <v>3108</v>
      </c>
      <c r="E36" t="s">
        <v>81</v>
      </c>
      <c r="F36" t="s">
        <v>77</v>
      </c>
      <c r="G36" t="s">
        <v>31</v>
      </c>
      <c r="H36" t="s">
        <v>31</v>
      </c>
      <c r="I36" t="s">
        <v>32</v>
      </c>
    </row>
    <row r="37" spans="1:9" x14ac:dyDescent="0.25">
      <c r="A37" t="s">
        <v>3112</v>
      </c>
      <c r="B37" t="s">
        <v>3107</v>
      </c>
      <c r="C37" t="s">
        <v>3108</v>
      </c>
      <c r="D37" s="2" t="s">
        <v>3109</v>
      </c>
      <c r="E37" t="s">
        <v>81</v>
      </c>
      <c r="F37" t="s">
        <v>77</v>
      </c>
      <c r="G37" t="s">
        <v>31</v>
      </c>
      <c r="H37" t="s">
        <v>31</v>
      </c>
      <c r="I37" t="s">
        <v>32</v>
      </c>
    </row>
    <row r="38" spans="1:9" x14ac:dyDescent="0.25">
      <c r="A38" t="s">
        <v>3113</v>
      </c>
      <c r="B38" t="s">
        <v>3107</v>
      </c>
      <c r="C38" t="s">
        <v>3108</v>
      </c>
      <c r="D38" s="2" t="s">
        <v>77</v>
      </c>
      <c r="E38" t="s">
        <v>81</v>
      </c>
      <c r="F38" t="s">
        <v>77</v>
      </c>
      <c r="G38" t="s">
        <v>31</v>
      </c>
      <c r="H38" t="s">
        <v>31</v>
      </c>
      <c r="I38" t="s">
        <v>32</v>
      </c>
    </row>
    <row r="39" spans="1:9" x14ac:dyDescent="0.25">
      <c r="A39" t="s">
        <v>3114</v>
      </c>
      <c r="B39" t="s">
        <v>3107</v>
      </c>
      <c r="C39" t="s">
        <v>3108</v>
      </c>
      <c r="D39" s="2">
        <v>0</v>
      </c>
      <c r="E39" t="s">
        <v>30</v>
      </c>
      <c r="F39" t="s">
        <v>77</v>
      </c>
      <c r="G39">
        <v>1</v>
      </c>
      <c r="H39">
        <v>100</v>
      </c>
      <c r="I39" t="s">
        <v>32</v>
      </c>
    </row>
    <row r="40" spans="1:9" x14ac:dyDescent="0.25">
      <c r="A40" t="s">
        <v>3115</v>
      </c>
      <c r="B40" t="s">
        <v>3107</v>
      </c>
      <c r="C40" t="s">
        <v>3108</v>
      </c>
      <c r="D40" s="2">
        <v>100</v>
      </c>
      <c r="E40" t="s">
        <v>30</v>
      </c>
      <c r="F40" t="s">
        <v>77</v>
      </c>
      <c r="G40">
        <v>1</v>
      </c>
      <c r="H40">
        <v>100</v>
      </c>
      <c r="I40" t="s">
        <v>32</v>
      </c>
    </row>
    <row r="41" spans="1:9" x14ac:dyDescent="0.25">
      <c r="A41" t="s">
        <v>3116</v>
      </c>
      <c r="B41" t="s">
        <v>3107</v>
      </c>
      <c r="C41" t="s">
        <v>3108</v>
      </c>
      <c r="D41" s="2" t="b">
        <v>1</v>
      </c>
      <c r="E41" t="s">
        <v>88</v>
      </c>
      <c r="F41" t="s">
        <v>77</v>
      </c>
      <c r="G41" t="s">
        <v>31</v>
      </c>
      <c r="H41" t="s">
        <v>31</v>
      </c>
      <c r="I41" t="s">
        <v>32</v>
      </c>
    </row>
    <row r="42" spans="1:9" x14ac:dyDescent="0.25">
      <c r="A42" t="s">
        <v>3117</v>
      </c>
      <c r="B42" t="s">
        <v>3118</v>
      </c>
      <c r="C42" t="s">
        <v>3119</v>
      </c>
      <c r="D42" s="3">
        <v>2</v>
      </c>
      <c r="E42" t="s">
        <v>30</v>
      </c>
      <c r="F42" t="s">
        <v>77</v>
      </c>
      <c r="G42">
        <v>1</v>
      </c>
      <c r="H42">
        <v>100</v>
      </c>
      <c r="I42" t="s">
        <v>3120</v>
      </c>
    </row>
    <row r="43" spans="1:9" x14ac:dyDescent="0.25">
      <c r="A43" t="s">
        <v>3121</v>
      </c>
      <c r="B43" t="s">
        <v>3118</v>
      </c>
      <c r="C43" t="s">
        <v>3119</v>
      </c>
      <c r="D43" s="2" t="s">
        <v>3066</v>
      </c>
      <c r="E43" t="s">
        <v>81</v>
      </c>
      <c r="F43" t="s">
        <v>77</v>
      </c>
      <c r="G43" t="s">
        <v>31</v>
      </c>
      <c r="H43" t="s">
        <v>31</v>
      </c>
      <c r="I43" t="s">
        <v>32</v>
      </c>
    </row>
    <row r="44" spans="1:9" x14ac:dyDescent="0.25">
      <c r="A44" t="s">
        <v>3122</v>
      </c>
      <c r="B44" t="s">
        <v>3118</v>
      </c>
      <c r="C44" t="s">
        <v>3119</v>
      </c>
      <c r="D44" s="2" t="s">
        <v>3119</v>
      </c>
      <c r="E44" t="s">
        <v>81</v>
      </c>
      <c r="F44" t="s">
        <v>77</v>
      </c>
      <c r="G44" t="s">
        <v>31</v>
      </c>
      <c r="H44" t="s">
        <v>31</v>
      </c>
      <c r="I44" t="s">
        <v>32</v>
      </c>
    </row>
    <row r="45" spans="1:9" x14ac:dyDescent="0.25">
      <c r="A45" t="s">
        <v>3123</v>
      </c>
      <c r="B45" t="s">
        <v>3118</v>
      </c>
      <c r="C45" t="s">
        <v>3119</v>
      </c>
      <c r="D45" s="2" t="s">
        <v>3120</v>
      </c>
      <c r="E45" t="s">
        <v>81</v>
      </c>
      <c r="F45" t="s">
        <v>77</v>
      </c>
      <c r="G45" t="s">
        <v>31</v>
      </c>
      <c r="H45" t="s">
        <v>31</v>
      </c>
      <c r="I45" t="s">
        <v>32</v>
      </c>
    </row>
    <row r="46" spans="1:9" x14ac:dyDescent="0.25">
      <c r="A46" t="s">
        <v>3124</v>
      </c>
      <c r="B46" t="s">
        <v>3118</v>
      </c>
      <c r="C46" t="s">
        <v>3119</v>
      </c>
      <c r="D46" s="2" t="s">
        <v>77</v>
      </c>
      <c r="E46" t="s">
        <v>81</v>
      </c>
      <c r="F46" t="s">
        <v>77</v>
      </c>
      <c r="G46" t="s">
        <v>31</v>
      </c>
      <c r="H46" t="s">
        <v>31</v>
      </c>
      <c r="I46" t="s">
        <v>32</v>
      </c>
    </row>
    <row r="47" spans="1:9" x14ac:dyDescent="0.25">
      <c r="A47" t="s">
        <v>3125</v>
      </c>
      <c r="B47" t="s">
        <v>3118</v>
      </c>
      <c r="C47" t="s">
        <v>3119</v>
      </c>
      <c r="D47" s="2">
        <v>0</v>
      </c>
      <c r="E47" t="s">
        <v>30</v>
      </c>
      <c r="F47" t="s">
        <v>77</v>
      </c>
      <c r="G47">
        <v>1</v>
      </c>
      <c r="H47">
        <v>100</v>
      </c>
      <c r="I47" t="s">
        <v>32</v>
      </c>
    </row>
    <row r="48" spans="1:9" x14ac:dyDescent="0.25">
      <c r="A48" t="s">
        <v>3126</v>
      </c>
      <c r="B48" t="s">
        <v>3118</v>
      </c>
      <c r="C48" t="s">
        <v>3119</v>
      </c>
      <c r="D48" s="2">
        <v>100</v>
      </c>
      <c r="E48" t="s">
        <v>30</v>
      </c>
      <c r="F48" t="s">
        <v>77</v>
      </c>
      <c r="G48">
        <v>1</v>
      </c>
      <c r="H48">
        <v>100</v>
      </c>
      <c r="I48" t="s">
        <v>32</v>
      </c>
    </row>
    <row r="49" spans="1:9" x14ac:dyDescent="0.25">
      <c r="A49" t="s">
        <v>3127</v>
      </c>
      <c r="B49" t="s">
        <v>3118</v>
      </c>
      <c r="C49" t="s">
        <v>3119</v>
      </c>
      <c r="D49" s="2" t="b">
        <v>1</v>
      </c>
      <c r="E49" t="s">
        <v>88</v>
      </c>
      <c r="F49" t="s">
        <v>77</v>
      </c>
      <c r="G49" t="s">
        <v>31</v>
      </c>
      <c r="H49" t="s">
        <v>31</v>
      </c>
      <c r="I49" t="s">
        <v>32</v>
      </c>
    </row>
    <row r="50" spans="1:9" x14ac:dyDescent="0.25">
      <c r="A50" t="s">
        <v>3128</v>
      </c>
      <c r="B50" t="s">
        <v>3129</v>
      </c>
      <c r="C50" t="s">
        <v>3130</v>
      </c>
      <c r="D50" s="3" t="s">
        <v>653</v>
      </c>
      <c r="E50" t="s">
        <v>81</v>
      </c>
      <c r="F50" t="s">
        <v>31</v>
      </c>
      <c r="G50" t="s">
        <v>31</v>
      </c>
      <c r="H50" t="s">
        <v>31</v>
      </c>
      <c r="I50" t="s">
        <v>31</v>
      </c>
    </row>
    <row r="51" spans="1:9" x14ac:dyDescent="0.25">
      <c r="A51" t="s">
        <v>3131</v>
      </c>
      <c r="B51" t="s">
        <v>3129</v>
      </c>
      <c r="C51" t="s">
        <v>3132</v>
      </c>
      <c r="D51" s="3">
        <v>1</v>
      </c>
      <c r="E51" t="s">
        <v>30</v>
      </c>
      <c r="F51" t="s">
        <v>237</v>
      </c>
      <c r="G51">
        <v>1</v>
      </c>
      <c r="H51">
        <v>4</v>
      </c>
      <c r="I51" t="s">
        <v>31</v>
      </c>
    </row>
    <row r="52" spans="1:9" x14ac:dyDescent="0.25">
      <c r="A52" t="s">
        <v>3133</v>
      </c>
      <c r="B52" t="s">
        <v>3129</v>
      </c>
      <c r="C52" t="s">
        <v>3134</v>
      </c>
      <c r="D52" s="3">
        <v>536</v>
      </c>
      <c r="E52" t="s">
        <v>30</v>
      </c>
      <c r="F52" t="s">
        <v>285</v>
      </c>
      <c r="G52">
        <v>0.0001</v>
      </c>
      <c r="H52">
        <v>100000</v>
      </c>
      <c r="I52" t="s">
        <v>31</v>
      </c>
    </row>
    <row r="53" spans="1:9" x14ac:dyDescent="0.25">
      <c r="A53" t="s">
        <v>3135</v>
      </c>
      <c r="B53" t="s">
        <v>3136</v>
      </c>
      <c r="C53" t="s">
        <v>3137</v>
      </c>
      <c r="D53" s="3" t="s">
        <v>653</v>
      </c>
      <c r="E53" t="s">
        <v>81</v>
      </c>
      <c r="F53" t="s">
        <v>31</v>
      </c>
      <c r="G53" t="s">
        <v>31</v>
      </c>
      <c r="H53" t="s">
        <v>31</v>
      </c>
      <c r="I53" t="s">
        <v>31</v>
      </c>
    </row>
    <row r="54" spans="1:9" x14ac:dyDescent="0.25">
      <c r="A54" t="s">
        <v>3138</v>
      </c>
      <c r="B54" t="s">
        <v>3136</v>
      </c>
      <c r="C54" t="s">
        <v>3139</v>
      </c>
      <c r="D54" s="3">
        <v>2</v>
      </c>
      <c r="E54" t="s">
        <v>30</v>
      </c>
      <c r="F54" t="s">
        <v>237</v>
      </c>
      <c r="G54">
        <v>1</v>
      </c>
      <c r="H54">
        <v>4</v>
      </c>
      <c r="I54" t="s">
        <v>31</v>
      </c>
    </row>
    <row r="55" spans="1:9" x14ac:dyDescent="0.25">
      <c r="A55" t="s">
        <v>3140</v>
      </c>
      <c r="B55" t="s">
        <v>3136</v>
      </c>
      <c r="C55" t="s">
        <v>3141</v>
      </c>
      <c r="D55" s="3">
        <v>280</v>
      </c>
      <c r="E55" t="s">
        <v>30</v>
      </c>
      <c r="F55" t="s">
        <v>285</v>
      </c>
      <c r="G55">
        <v>0.0001</v>
      </c>
      <c r="H55">
        <v>100000</v>
      </c>
      <c r="I55" t="s">
        <v>31</v>
      </c>
    </row>
    <row r="56" spans="1:9" x14ac:dyDescent="0.25">
      <c r="A56" t="s">
        <v>3142</v>
      </c>
      <c r="B56" t="s">
        <v>3143</v>
      </c>
      <c r="C56" t="s">
        <v>3144</v>
      </c>
      <c r="D56" s="3" t="s">
        <v>653</v>
      </c>
      <c r="E56" t="s">
        <v>81</v>
      </c>
      <c r="F56" t="s">
        <v>31</v>
      </c>
      <c r="G56" t="s">
        <v>31</v>
      </c>
      <c r="H56" t="s">
        <v>31</v>
      </c>
      <c r="I56" t="s">
        <v>31</v>
      </c>
    </row>
    <row r="57" spans="1:9" x14ac:dyDescent="0.25">
      <c r="A57" t="s">
        <v>3145</v>
      </c>
      <c r="B57" t="s">
        <v>3143</v>
      </c>
      <c r="C57" t="s">
        <v>3146</v>
      </c>
      <c r="D57" s="3">
        <v>3</v>
      </c>
      <c r="E57" t="s">
        <v>30</v>
      </c>
      <c r="F57" t="s">
        <v>237</v>
      </c>
      <c r="G57">
        <v>1</v>
      </c>
      <c r="H57">
        <v>4</v>
      </c>
      <c r="I57" t="s">
        <v>31</v>
      </c>
    </row>
    <row r="58" spans="1:9" x14ac:dyDescent="0.25">
      <c r="A58" t="s">
        <v>3147</v>
      </c>
      <c r="B58" t="s">
        <v>3143</v>
      </c>
      <c r="C58" t="s">
        <v>3148</v>
      </c>
      <c r="D58" s="3">
        <v>110</v>
      </c>
      <c r="E58" t="s">
        <v>30</v>
      </c>
      <c r="F58" t="s">
        <v>285</v>
      </c>
      <c r="G58">
        <v>0.0001</v>
      </c>
      <c r="H58">
        <v>100000</v>
      </c>
      <c r="I58" t="s">
        <v>31</v>
      </c>
    </row>
    <row r="59" spans="1:9" x14ac:dyDescent="0.25">
      <c r="A59" t="s">
        <v>3149</v>
      </c>
      <c r="B59" t="s">
        <v>3150</v>
      </c>
      <c r="C59" t="s">
        <v>3151</v>
      </c>
      <c r="D59" s="3">
        <v>35</v>
      </c>
      <c r="E59" t="s">
        <v>30</v>
      </c>
      <c r="F59" t="s">
        <v>31</v>
      </c>
      <c r="G59">
        <v>0.0001</v>
      </c>
      <c r="H59">
        <v>100000</v>
      </c>
      <c r="I59" t="s">
        <v>31</v>
      </c>
    </row>
    <row r="60" spans="1:9" x14ac:dyDescent="0.25">
      <c r="A60" t="s">
        <v>3152</v>
      </c>
      <c r="B60" t="s">
        <v>3150</v>
      </c>
      <c r="C60" t="s">
        <v>3153</v>
      </c>
      <c r="D60" s="3">
        <v>21</v>
      </c>
      <c r="E60" t="s">
        <v>30</v>
      </c>
      <c r="F60" t="s">
        <v>31</v>
      </c>
      <c r="G60">
        <v>0.0001</v>
      </c>
      <c r="H60">
        <v>100000</v>
      </c>
      <c r="I60" t="s">
        <v>31</v>
      </c>
    </row>
    <row r="61" spans="1:9" x14ac:dyDescent="0.25">
      <c r="A61" t="s">
        <v>3154</v>
      </c>
      <c r="B61" t="s">
        <v>3150</v>
      </c>
      <c r="C61" t="s">
        <v>3155</v>
      </c>
      <c r="D61" s="3">
        <v>18</v>
      </c>
      <c r="E61" t="s">
        <v>30</v>
      </c>
      <c r="F61" t="s">
        <v>31</v>
      </c>
      <c r="G61">
        <v>0.0001</v>
      </c>
      <c r="H61">
        <v>100000</v>
      </c>
      <c r="I61" t="s">
        <v>31</v>
      </c>
    </row>
  </sheetData>
  <sheetProtection sheet="1" algorithmName="SHA-512" hashValue="h+Iz7tBFCnCEwCvmya+gSsLhOOajXOgA5yCyQ4em0OTjmkF3TVUugMgUJ0g3zPNPOlWPFquQZ3KSz/76N8elkg==" saltValue="0GgH7n3dogPIFzT2JGKgGw==" spinCount="100000"/>
  <autoFilter ref="A1:I1"/>
  <dataValidations count="12">
    <dataValidation type="whole" showErrorMessage="1" errorStyle="stop" errorTitle="Invalid balance value" error="Use an integer between 1 and 100." sqref="D10">
      <formula1>1</formula1>
      <formula2>100</formula2>
    </dataValidation>
    <dataValidation type="whole" showErrorMessage="1" errorStyle="stop" errorTitle="Invalid balance value" error="Use an integer between 1 and 100." sqref="D18">
      <formula1>1</formula1>
      <formula2>100</formula2>
    </dataValidation>
    <dataValidation type="whole" showErrorMessage="1" errorStyle="stop" errorTitle="Invalid balance value" error="Use an integer between 1 and 100." sqref="D2">
      <formula1>1</formula1>
      <formula2>100</formula2>
    </dataValidation>
    <dataValidation type="whole" showErrorMessage="1" errorStyle="stop" errorTitle="Invalid balance value" error="Use an integer between 1 and 100." sqref="D26">
      <formula1>1</formula1>
      <formula2>100</formula2>
    </dataValidation>
    <dataValidation type="whole" showErrorMessage="1" errorStyle="stop" errorTitle="Invalid balance value" error="Use an integer between 1 and 100." sqref="D34">
      <formula1>1</formula1>
      <formula2>100</formula2>
    </dataValidation>
    <dataValidation type="whole" showErrorMessage="1" errorStyle="stop" errorTitle="Invalid balance value" error="Use an integer between 1 and 100." sqref="D42">
      <formula1>1</formula1>
      <formula2>100</formula2>
    </dataValidation>
    <dataValidation type="whole" showErrorMessage="1" errorStyle="stop" errorTitle="Invalid balance value" error="Use an integer between 1 and 4." sqref="D51">
      <formula1>1</formula1>
      <formula2>4</formula2>
    </dataValidation>
    <dataValidation type="decimal" showErrorMessage="1" errorStyle="stop" errorTitle="Invalid balance value" error="Use a number between 0.0001 and 100000." sqref="D52">
      <formula1>0.0001</formula1>
      <formula2>100000</formula2>
    </dataValidation>
    <dataValidation type="whole" showErrorMessage="1" errorStyle="stop" errorTitle="Invalid balance value" error="Use an integer between 1 and 4." sqref="D54">
      <formula1>1</formula1>
      <formula2>4</formula2>
    </dataValidation>
    <dataValidation type="decimal" showErrorMessage="1" errorStyle="stop" errorTitle="Invalid balance value" error="Use a number between 0.0001 and 100000." sqref="D55">
      <formula1>0.0001</formula1>
      <formula2>100000</formula2>
    </dataValidation>
    <dataValidation type="whole" showErrorMessage="1" errorStyle="stop" errorTitle="Invalid balance value" error="Use an integer between 1 and 4." sqref="D57">
      <formula1>1</formula1>
      <formula2>4</formula2>
    </dataValidation>
    <dataValidation type="decimal" showErrorMessage="1" errorStyle="stop" errorTitle="Invalid balance value" error="Use a number between 0.0001 and 100000." sqref="D58:D61">
      <formula1>0.0001</formula1>
      <formula2>100000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3156</v>
      </c>
      <c r="B2" t="s">
        <v>3157</v>
      </c>
      <c r="C2" t="s">
        <v>3158</v>
      </c>
      <c r="D2" s="3">
        <v>14</v>
      </c>
      <c r="E2" t="s">
        <v>30</v>
      </c>
      <c r="F2" t="s">
        <v>77</v>
      </c>
      <c r="G2">
        <v>1</v>
      </c>
      <c r="H2">
        <v>100</v>
      </c>
      <c r="I2" t="s">
        <v>3159</v>
      </c>
    </row>
    <row r="3" spans="1:9" x14ac:dyDescent="0.25">
      <c r="A3" t="s">
        <v>3160</v>
      </c>
      <c r="B3" t="s">
        <v>3157</v>
      </c>
      <c r="C3" t="s">
        <v>3158</v>
      </c>
      <c r="D3" s="2" t="s">
        <v>3161</v>
      </c>
      <c r="E3" t="s">
        <v>81</v>
      </c>
      <c r="F3" t="s">
        <v>77</v>
      </c>
      <c r="G3" t="s">
        <v>31</v>
      </c>
      <c r="H3" t="s">
        <v>31</v>
      </c>
      <c r="I3" t="s">
        <v>32</v>
      </c>
    </row>
    <row r="4" spans="1:9" x14ac:dyDescent="0.25">
      <c r="A4" t="s">
        <v>3162</v>
      </c>
      <c r="B4" t="s">
        <v>3157</v>
      </c>
      <c r="C4" t="s">
        <v>3158</v>
      </c>
      <c r="D4" s="2" t="s">
        <v>3158</v>
      </c>
      <c r="E4" t="s">
        <v>81</v>
      </c>
      <c r="F4" t="s">
        <v>77</v>
      </c>
      <c r="G4" t="s">
        <v>31</v>
      </c>
      <c r="H4" t="s">
        <v>31</v>
      </c>
      <c r="I4" t="s">
        <v>32</v>
      </c>
    </row>
    <row r="5" spans="1:9" x14ac:dyDescent="0.25">
      <c r="A5" t="s">
        <v>3163</v>
      </c>
      <c r="B5" t="s">
        <v>3157</v>
      </c>
      <c r="C5" t="s">
        <v>3158</v>
      </c>
      <c r="D5" s="2" t="s">
        <v>3159</v>
      </c>
      <c r="E5" t="s">
        <v>81</v>
      </c>
      <c r="F5" t="s">
        <v>77</v>
      </c>
      <c r="G5" t="s">
        <v>31</v>
      </c>
      <c r="H5" t="s">
        <v>31</v>
      </c>
      <c r="I5" t="s">
        <v>32</v>
      </c>
    </row>
    <row r="6" spans="1:9" x14ac:dyDescent="0.25">
      <c r="A6" t="s">
        <v>3164</v>
      </c>
      <c r="B6" t="s">
        <v>3157</v>
      </c>
      <c r="C6" t="s">
        <v>3158</v>
      </c>
      <c r="D6" s="2" t="s">
        <v>77</v>
      </c>
      <c r="E6" t="s">
        <v>81</v>
      </c>
      <c r="F6" t="s">
        <v>77</v>
      </c>
      <c r="G6" t="s">
        <v>31</v>
      </c>
      <c r="H6" t="s">
        <v>31</v>
      </c>
      <c r="I6" t="s">
        <v>32</v>
      </c>
    </row>
    <row r="7" spans="1:9" x14ac:dyDescent="0.25">
      <c r="A7" t="s">
        <v>3165</v>
      </c>
      <c r="B7" t="s">
        <v>3157</v>
      </c>
      <c r="C7" t="s">
        <v>3158</v>
      </c>
      <c r="D7" s="2">
        <v>0</v>
      </c>
      <c r="E7" t="s">
        <v>30</v>
      </c>
      <c r="F7" t="s">
        <v>77</v>
      </c>
      <c r="G7">
        <v>1</v>
      </c>
      <c r="H7">
        <v>100</v>
      </c>
      <c r="I7" t="s">
        <v>32</v>
      </c>
    </row>
    <row r="8" spans="1:9" x14ac:dyDescent="0.25">
      <c r="A8" t="s">
        <v>3166</v>
      </c>
      <c r="B8" t="s">
        <v>3157</v>
      </c>
      <c r="C8" t="s">
        <v>3158</v>
      </c>
      <c r="D8" s="2">
        <v>140</v>
      </c>
      <c r="E8" t="s">
        <v>30</v>
      </c>
      <c r="F8" t="s">
        <v>77</v>
      </c>
      <c r="G8">
        <v>1</v>
      </c>
      <c r="H8">
        <v>100</v>
      </c>
      <c r="I8" t="s">
        <v>32</v>
      </c>
    </row>
    <row r="9" spans="1:9" x14ac:dyDescent="0.25">
      <c r="A9" t="s">
        <v>3167</v>
      </c>
      <c r="B9" t="s">
        <v>3157</v>
      </c>
      <c r="C9" t="s">
        <v>3158</v>
      </c>
      <c r="D9" s="2" t="b">
        <v>1</v>
      </c>
      <c r="E9" t="s">
        <v>88</v>
      </c>
      <c r="F9" t="s">
        <v>77</v>
      </c>
      <c r="G9" t="s">
        <v>31</v>
      </c>
      <c r="H9" t="s">
        <v>31</v>
      </c>
      <c r="I9" t="s">
        <v>32</v>
      </c>
    </row>
    <row r="10" spans="1:9" x14ac:dyDescent="0.25">
      <c r="A10" t="s">
        <v>3168</v>
      </c>
      <c r="B10" t="s">
        <v>3169</v>
      </c>
      <c r="C10" t="s">
        <v>3170</v>
      </c>
      <c r="D10" s="3">
        <v>2</v>
      </c>
      <c r="E10" t="s">
        <v>30</v>
      </c>
      <c r="F10" t="s">
        <v>77</v>
      </c>
      <c r="G10">
        <v>1</v>
      </c>
      <c r="H10">
        <v>100</v>
      </c>
      <c r="I10" t="s">
        <v>3171</v>
      </c>
    </row>
    <row r="11" spans="1:9" x14ac:dyDescent="0.25">
      <c r="A11" t="s">
        <v>3172</v>
      </c>
      <c r="B11" t="s">
        <v>3169</v>
      </c>
      <c r="C11" t="s">
        <v>3170</v>
      </c>
      <c r="D11" s="2" t="s">
        <v>3161</v>
      </c>
      <c r="E11" t="s">
        <v>81</v>
      </c>
      <c r="F11" t="s">
        <v>77</v>
      </c>
      <c r="G11" t="s">
        <v>31</v>
      </c>
      <c r="H11" t="s">
        <v>31</v>
      </c>
      <c r="I11" t="s">
        <v>32</v>
      </c>
    </row>
    <row r="12" spans="1:9" x14ac:dyDescent="0.25">
      <c r="A12" t="s">
        <v>3173</v>
      </c>
      <c r="B12" t="s">
        <v>3169</v>
      </c>
      <c r="C12" t="s">
        <v>3170</v>
      </c>
      <c r="D12" s="2" t="s">
        <v>3170</v>
      </c>
      <c r="E12" t="s">
        <v>81</v>
      </c>
      <c r="F12" t="s">
        <v>77</v>
      </c>
      <c r="G12" t="s">
        <v>31</v>
      </c>
      <c r="H12" t="s">
        <v>31</v>
      </c>
      <c r="I12" t="s">
        <v>32</v>
      </c>
    </row>
    <row r="13" spans="1:9" x14ac:dyDescent="0.25">
      <c r="A13" t="s">
        <v>3174</v>
      </c>
      <c r="B13" t="s">
        <v>3169</v>
      </c>
      <c r="C13" t="s">
        <v>3170</v>
      </c>
      <c r="D13" s="2" t="s">
        <v>3171</v>
      </c>
      <c r="E13" t="s">
        <v>81</v>
      </c>
      <c r="F13" t="s">
        <v>77</v>
      </c>
      <c r="G13" t="s">
        <v>31</v>
      </c>
      <c r="H13" t="s">
        <v>31</v>
      </c>
      <c r="I13" t="s">
        <v>32</v>
      </c>
    </row>
    <row r="14" spans="1:9" x14ac:dyDescent="0.25">
      <c r="A14" t="s">
        <v>3175</v>
      </c>
      <c r="B14" t="s">
        <v>3169</v>
      </c>
      <c r="C14" t="s">
        <v>3170</v>
      </c>
      <c r="D14" s="2" t="s">
        <v>77</v>
      </c>
      <c r="E14" t="s">
        <v>81</v>
      </c>
      <c r="F14" t="s">
        <v>77</v>
      </c>
      <c r="G14" t="s">
        <v>31</v>
      </c>
      <c r="H14" t="s">
        <v>31</v>
      </c>
      <c r="I14" t="s">
        <v>32</v>
      </c>
    </row>
    <row r="15" spans="1:9" x14ac:dyDescent="0.25">
      <c r="A15" t="s">
        <v>3176</v>
      </c>
      <c r="B15" t="s">
        <v>3169</v>
      </c>
      <c r="C15" t="s">
        <v>3170</v>
      </c>
      <c r="D15" s="2">
        <v>0</v>
      </c>
      <c r="E15" t="s">
        <v>30</v>
      </c>
      <c r="F15" t="s">
        <v>77</v>
      </c>
      <c r="G15">
        <v>1</v>
      </c>
      <c r="H15">
        <v>100</v>
      </c>
      <c r="I15" t="s">
        <v>32</v>
      </c>
    </row>
    <row r="16" spans="1:9" x14ac:dyDescent="0.25">
      <c r="A16" t="s">
        <v>3177</v>
      </c>
      <c r="B16" t="s">
        <v>3169</v>
      </c>
      <c r="C16" t="s">
        <v>3170</v>
      </c>
      <c r="D16" s="2">
        <v>100</v>
      </c>
      <c r="E16" t="s">
        <v>30</v>
      </c>
      <c r="F16" t="s">
        <v>77</v>
      </c>
      <c r="G16">
        <v>1</v>
      </c>
      <c r="H16">
        <v>100</v>
      </c>
      <c r="I16" t="s">
        <v>32</v>
      </c>
    </row>
    <row r="17" spans="1:9" x14ac:dyDescent="0.25">
      <c r="A17" t="s">
        <v>3178</v>
      </c>
      <c r="B17" t="s">
        <v>3169</v>
      </c>
      <c r="C17" t="s">
        <v>3170</v>
      </c>
      <c r="D17" s="2" t="b">
        <v>1</v>
      </c>
      <c r="E17" t="s">
        <v>88</v>
      </c>
      <c r="F17" t="s">
        <v>77</v>
      </c>
      <c r="G17" t="s">
        <v>31</v>
      </c>
      <c r="H17" t="s">
        <v>31</v>
      </c>
      <c r="I17" t="s">
        <v>32</v>
      </c>
    </row>
    <row r="18" spans="1:9" x14ac:dyDescent="0.25">
      <c r="A18" t="s">
        <v>3179</v>
      </c>
      <c r="B18" t="s">
        <v>3180</v>
      </c>
      <c r="C18" t="s">
        <v>3181</v>
      </c>
      <c r="D18" s="3">
        <v>14</v>
      </c>
      <c r="E18" t="s">
        <v>30</v>
      </c>
      <c r="F18" t="s">
        <v>77</v>
      </c>
      <c r="G18">
        <v>1</v>
      </c>
      <c r="H18">
        <v>100</v>
      </c>
      <c r="I18" t="s">
        <v>3182</v>
      </c>
    </row>
    <row r="19" spans="1:9" x14ac:dyDescent="0.25">
      <c r="A19" t="s">
        <v>3183</v>
      </c>
      <c r="B19" t="s">
        <v>3180</v>
      </c>
      <c r="C19" t="s">
        <v>3181</v>
      </c>
      <c r="D19" s="2" t="s">
        <v>3161</v>
      </c>
      <c r="E19" t="s">
        <v>81</v>
      </c>
      <c r="F19" t="s">
        <v>77</v>
      </c>
      <c r="G19" t="s">
        <v>31</v>
      </c>
      <c r="H19" t="s">
        <v>31</v>
      </c>
      <c r="I19" t="s">
        <v>32</v>
      </c>
    </row>
    <row r="20" spans="1:9" x14ac:dyDescent="0.25">
      <c r="A20" t="s">
        <v>3184</v>
      </c>
      <c r="B20" t="s">
        <v>3180</v>
      </c>
      <c r="C20" t="s">
        <v>3181</v>
      </c>
      <c r="D20" s="2" t="s">
        <v>3181</v>
      </c>
      <c r="E20" t="s">
        <v>81</v>
      </c>
      <c r="F20" t="s">
        <v>77</v>
      </c>
      <c r="G20" t="s">
        <v>31</v>
      </c>
      <c r="H20" t="s">
        <v>31</v>
      </c>
      <c r="I20" t="s">
        <v>32</v>
      </c>
    </row>
    <row r="21" spans="1:9" x14ac:dyDescent="0.25">
      <c r="A21" t="s">
        <v>3185</v>
      </c>
      <c r="B21" t="s">
        <v>3180</v>
      </c>
      <c r="C21" t="s">
        <v>3181</v>
      </c>
      <c r="D21" s="2" t="s">
        <v>3182</v>
      </c>
      <c r="E21" t="s">
        <v>81</v>
      </c>
      <c r="F21" t="s">
        <v>77</v>
      </c>
      <c r="G21" t="s">
        <v>31</v>
      </c>
      <c r="H21" t="s">
        <v>31</v>
      </c>
      <c r="I21" t="s">
        <v>32</v>
      </c>
    </row>
    <row r="22" spans="1:9" x14ac:dyDescent="0.25">
      <c r="A22" t="s">
        <v>3186</v>
      </c>
      <c r="B22" t="s">
        <v>3180</v>
      </c>
      <c r="C22" t="s">
        <v>3181</v>
      </c>
      <c r="D22" s="2" t="s">
        <v>77</v>
      </c>
      <c r="E22" t="s">
        <v>81</v>
      </c>
      <c r="F22" t="s">
        <v>77</v>
      </c>
      <c r="G22" t="s">
        <v>31</v>
      </c>
      <c r="H22" t="s">
        <v>31</v>
      </c>
      <c r="I22" t="s">
        <v>32</v>
      </c>
    </row>
    <row r="23" spans="1:9" x14ac:dyDescent="0.25">
      <c r="A23" t="s">
        <v>3187</v>
      </c>
      <c r="B23" t="s">
        <v>3180</v>
      </c>
      <c r="C23" t="s">
        <v>3181</v>
      </c>
      <c r="D23" s="2">
        <v>0</v>
      </c>
      <c r="E23" t="s">
        <v>30</v>
      </c>
      <c r="F23" t="s">
        <v>77</v>
      </c>
      <c r="G23">
        <v>1</v>
      </c>
      <c r="H23">
        <v>100</v>
      </c>
      <c r="I23" t="s">
        <v>32</v>
      </c>
    </row>
    <row r="24" spans="1:9" x14ac:dyDescent="0.25">
      <c r="A24" t="s">
        <v>3188</v>
      </c>
      <c r="B24" t="s">
        <v>3180</v>
      </c>
      <c r="C24" t="s">
        <v>3181</v>
      </c>
      <c r="D24" s="2">
        <v>140</v>
      </c>
      <c r="E24" t="s">
        <v>30</v>
      </c>
      <c r="F24" t="s">
        <v>77</v>
      </c>
      <c r="G24">
        <v>1</v>
      </c>
      <c r="H24">
        <v>100</v>
      </c>
      <c r="I24" t="s">
        <v>32</v>
      </c>
    </row>
    <row r="25" spans="1:9" x14ac:dyDescent="0.25">
      <c r="A25" t="s">
        <v>3189</v>
      </c>
      <c r="B25" t="s">
        <v>3180</v>
      </c>
      <c r="C25" t="s">
        <v>3181</v>
      </c>
      <c r="D25" s="2" t="b">
        <v>1</v>
      </c>
      <c r="E25" t="s">
        <v>88</v>
      </c>
      <c r="F25" t="s">
        <v>77</v>
      </c>
      <c r="G25" t="s">
        <v>31</v>
      </c>
      <c r="H25" t="s">
        <v>31</v>
      </c>
      <c r="I25" t="s">
        <v>32</v>
      </c>
    </row>
    <row r="26" spans="1:9" x14ac:dyDescent="0.25">
      <c r="A26" t="s">
        <v>3190</v>
      </c>
      <c r="B26" t="s">
        <v>3191</v>
      </c>
      <c r="C26" t="s">
        <v>3192</v>
      </c>
      <c r="D26" s="3">
        <v>2</v>
      </c>
      <c r="E26" t="s">
        <v>30</v>
      </c>
      <c r="F26" t="s">
        <v>77</v>
      </c>
      <c r="G26">
        <v>1</v>
      </c>
      <c r="H26">
        <v>100</v>
      </c>
      <c r="I26" t="s">
        <v>3193</v>
      </c>
    </row>
    <row r="27" spans="1:9" x14ac:dyDescent="0.25">
      <c r="A27" t="s">
        <v>3194</v>
      </c>
      <c r="B27" t="s">
        <v>3191</v>
      </c>
      <c r="C27" t="s">
        <v>3192</v>
      </c>
      <c r="D27" s="2" t="s">
        <v>3161</v>
      </c>
      <c r="E27" t="s">
        <v>81</v>
      </c>
      <c r="F27" t="s">
        <v>77</v>
      </c>
      <c r="G27" t="s">
        <v>31</v>
      </c>
      <c r="H27" t="s">
        <v>31</v>
      </c>
      <c r="I27" t="s">
        <v>32</v>
      </c>
    </row>
    <row r="28" spans="1:9" x14ac:dyDescent="0.25">
      <c r="A28" t="s">
        <v>3195</v>
      </c>
      <c r="B28" t="s">
        <v>3191</v>
      </c>
      <c r="C28" t="s">
        <v>3192</v>
      </c>
      <c r="D28" s="2" t="s">
        <v>3192</v>
      </c>
      <c r="E28" t="s">
        <v>81</v>
      </c>
      <c r="F28" t="s">
        <v>77</v>
      </c>
      <c r="G28" t="s">
        <v>31</v>
      </c>
      <c r="H28" t="s">
        <v>31</v>
      </c>
      <c r="I28" t="s">
        <v>32</v>
      </c>
    </row>
    <row r="29" spans="1:9" x14ac:dyDescent="0.25">
      <c r="A29" t="s">
        <v>3196</v>
      </c>
      <c r="B29" t="s">
        <v>3191</v>
      </c>
      <c r="C29" t="s">
        <v>3192</v>
      </c>
      <c r="D29" s="2" t="s">
        <v>3193</v>
      </c>
      <c r="E29" t="s">
        <v>81</v>
      </c>
      <c r="F29" t="s">
        <v>77</v>
      </c>
      <c r="G29" t="s">
        <v>31</v>
      </c>
      <c r="H29" t="s">
        <v>31</v>
      </c>
      <c r="I29" t="s">
        <v>32</v>
      </c>
    </row>
    <row r="30" spans="1:9" x14ac:dyDescent="0.25">
      <c r="A30" t="s">
        <v>3197</v>
      </c>
      <c r="B30" t="s">
        <v>3191</v>
      </c>
      <c r="C30" t="s">
        <v>3192</v>
      </c>
      <c r="D30" s="2" t="s">
        <v>77</v>
      </c>
      <c r="E30" t="s">
        <v>81</v>
      </c>
      <c r="F30" t="s">
        <v>77</v>
      </c>
      <c r="G30" t="s">
        <v>31</v>
      </c>
      <c r="H30" t="s">
        <v>31</v>
      </c>
      <c r="I30" t="s">
        <v>32</v>
      </c>
    </row>
    <row r="31" spans="1:9" x14ac:dyDescent="0.25">
      <c r="A31" t="s">
        <v>3198</v>
      </c>
      <c r="B31" t="s">
        <v>3191</v>
      </c>
      <c r="C31" t="s">
        <v>3192</v>
      </c>
      <c r="D31" s="2">
        <v>0</v>
      </c>
      <c r="E31" t="s">
        <v>30</v>
      </c>
      <c r="F31" t="s">
        <v>77</v>
      </c>
      <c r="G31">
        <v>1</v>
      </c>
      <c r="H31">
        <v>100</v>
      </c>
      <c r="I31" t="s">
        <v>32</v>
      </c>
    </row>
    <row r="32" spans="1:9" x14ac:dyDescent="0.25">
      <c r="A32" t="s">
        <v>3199</v>
      </c>
      <c r="B32" t="s">
        <v>3191</v>
      </c>
      <c r="C32" t="s">
        <v>3192</v>
      </c>
      <c r="D32" s="2">
        <v>100</v>
      </c>
      <c r="E32" t="s">
        <v>30</v>
      </c>
      <c r="F32" t="s">
        <v>77</v>
      </c>
      <c r="G32">
        <v>1</v>
      </c>
      <c r="H32">
        <v>100</v>
      </c>
      <c r="I32" t="s">
        <v>32</v>
      </c>
    </row>
    <row r="33" spans="1:9" x14ac:dyDescent="0.25">
      <c r="A33" t="s">
        <v>3200</v>
      </c>
      <c r="B33" t="s">
        <v>3191</v>
      </c>
      <c r="C33" t="s">
        <v>3192</v>
      </c>
      <c r="D33" s="2" t="b">
        <v>1</v>
      </c>
      <c r="E33" t="s">
        <v>88</v>
      </c>
      <c r="F33" t="s">
        <v>77</v>
      </c>
      <c r="G33" t="s">
        <v>31</v>
      </c>
      <c r="H33" t="s">
        <v>31</v>
      </c>
      <c r="I33" t="s">
        <v>32</v>
      </c>
    </row>
    <row r="34" spans="1:9" x14ac:dyDescent="0.25">
      <c r="A34" t="s">
        <v>3201</v>
      </c>
      <c r="B34" t="s">
        <v>3202</v>
      </c>
      <c r="C34" t="s">
        <v>3203</v>
      </c>
      <c r="D34" s="3">
        <v>18</v>
      </c>
      <c r="E34" t="s">
        <v>30</v>
      </c>
      <c r="F34" t="s">
        <v>77</v>
      </c>
      <c r="G34">
        <v>1</v>
      </c>
      <c r="H34">
        <v>100</v>
      </c>
      <c r="I34" t="s">
        <v>3204</v>
      </c>
    </row>
    <row r="35" spans="1:9" x14ac:dyDescent="0.25">
      <c r="A35" t="s">
        <v>3205</v>
      </c>
      <c r="B35" t="s">
        <v>3202</v>
      </c>
      <c r="C35" t="s">
        <v>3203</v>
      </c>
      <c r="D35" s="2" t="s">
        <v>3161</v>
      </c>
      <c r="E35" t="s">
        <v>81</v>
      </c>
      <c r="F35" t="s">
        <v>77</v>
      </c>
      <c r="G35" t="s">
        <v>31</v>
      </c>
      <c r="H35" t="s">
        <v>31</v>
      </c>
      <c r="I35" t="s">
        <v>32</v>
      </c>
    </row>
    <row r="36" spans="1:9" x14ac:dyDescent="0.25">
      <c r="A36" t="s">
        <v>3206</v>
      </c>
      <c r="B36" t="s">
        <v>3202</v>
      </c>
      <c r="C36" t="s">
        <v>3203</v>
      </c>
      <c r="D36" s="2" t="s">
        <v>3203</v>
      </c>
      <c r="E36" t="s">
        <v>81</v>
      </c>
      <c r="F36" t="s">
        <v>77</v>
      </c>
      <c r="G36" t="s">
        <v>31</v>
      </c>
      <c r="H36" t="s">
        <v>31</v>
      </c>
      <c r="I36" t="s">
        <v>32</v>
      </c>
    </row>
    <row r="37" spans="1:9" x14ac:dyDescent="0.25">
      <c r="A37" t="s">
        <v>3207</v>
      </c>
      <c r="B37" t="s">
        <v>3202</v>
      </c>
      <c r="C37" t="s">
        <v>3203</v>
      </c>
      <c r="D37" s="2" t="s">
        <v>3204</v>
      </c>
      <c r="E37" t="s">
        <v>81</v>
      </c>
      <c r="F37" t="s">
        <v>77</v>
      </c>
      <c r="G37" t="s">
        <v>31</v>
      </c>
      <c r="H37" t="s">
        <v>31</v>
      </c>
      <c r="I37" t="s">
        <v>32</v>
      </c>
    </row>
    <row r="38" spans="1:9" x14ac:dyDescent="0.25">
      <c r="A38" t="s">
        <v>3208</v>
      </c>
      <c r="B38" t="s">
        <v>3202</v>
      </c>
      <c r="C38" t="s">
        <v>3203</v>
      </c>
      <c r="D38" s="2" t="s">
        <v>77</v>
      </c>
      <c r="E38" t="s">
        <v>81</v>
      </c>
      <c r="F38" t="s">
        <v>77</v>
      </c>
      <c r="G38" t="s">
        <v>31</v>
      </c>
      <c r="H38" t="s">
        <v>31</v>
      </c>
      <c r="I38" t="s">
        <v>32</v>
      </c>
    </row>
    <row r="39" spans="1:9" x14ac:dyDescent="0.25">
      <c r="A39" t="s">
        <v>3209</v>
      </c>
      <c r="B39" t="s">
        <v>3202</v>
      </c>
      <c r="C39" t="s">
        <v>3203</v>
      </c>
      <c r="D39" s="2">
        <v>0</v>
      </c>
      <c r="E39" t="s">
        <v>30</v>
      </c>
      <c r="F39" t="s">
        <v>77</v>
      </c>
      <c r="G39">
        <v>1</v>
      </c>
      <c r="H39">
        <v>100</v>
      </c>
      <c r="I39" t="s">
        <v>32</v>
      </c>
    </row>
    <row r="40" spans="1:9" x14ac:dyDescent="0.25">
      <c r="A40" t="s">
        <v>3210</v>
      </c>
      <c r="B40" t="s">
        <v>3202</v>
      </c>
      <c r="C40" t="s">
        <v>3203</v>
      </c>
      <c r="D40" s="2">
        <v>180</v>
      </c>
      <c r="E40" t="s">
        <v>30</v>
      </c>
      <c r="F40" t="s">
        <v>77</v>
      </c>
      <c r="G40">
        <v>1</v>
      </c>
      <c r="H40">
        <v>100</v>
      </c>
      <c r="I40" t="s">
        <v>32</v>
      </c>
    </row>
    <row r="41" spans="1:9" x14ac:dyDescent="0.25">
      <c r="A41" t="s">
        <v>3211</v>
      </c>
      <c r="B41" t="s">
        <v>3202</v>
      </c>
      <c r="C41" t="s">
        <v>3203</v>
      </c>
      <c r="D41" s="2" t="b">
        <v>1</v>
      </c>
      <c r="E41" t="s">
        <v>88</v>
      </c>
      <c r="F41" t="s">
        <v>77</v>
      </c>
      <c r="G41" t="s">
        <v>31</v>
      </c>
      <c r="H41" t="s">
        <v>31</v>
      </c>
      <c r="I41" t="s">
        <v>32</v>
      </c>
    </row>
    <row r="42" spans="1:9" x14ac:dyDescent="0.25">
      <c r="A42" t="s">
        <v>3212</v>
      </c>
      <c r="B42" t="s">
        <v>3213</v>
      </c>
      <c r="C42" t="s">
        <v>3214</v>
      </c>
      <c r="D42" s="3">
        <v>2</v>
      </c>
      <c r="E42" t="s">
        <v>30</v>
      </c>
      <c r="F42" t="s">
        <v>77</v>
      </c>
      <c r="G42">
        <v>1</v>
      </c>
      <c r="H42">
        <v>100</v>
      </c>
      <c r="I42" t="s">
        <v>3215</v>
      </c>
    </row>
    <row r="43" spans="1:9" x14ac:dyDescent="0.25">
      <c r="A43" t="s">
        <v>3216</v>
      </c>
      <c r="B43" t="s">
        <v>3213</v>
      </c>
      <c r="C43" t="s">
        <v>3214</v>
      </c>
      <c r="D43" s="2" t="s">
        <v>3161</v>
      </c>
      <c r="E43" t="s">
        <v>81</v>
      </c>
      <c r="F43" t="s">
        <v>77</v>
      </c>
      <c r="G43" t="s">
        <v>31</v>
      </c>
      <c r="H43" t="s">
        <v>31</v>
      </c>
      <c r="I43" t="s">
        <v>32</v>
      </c>
    </row>
    <row r="44" spans="1:9" x14ac:dyDescent="0.25">
      <c r="A44" t="s">
        <v>3217</v>
      </c>
      <c r="B44" t="s">
        <v>3213</v>
      </c>
      <c r="C44" t="s">
        <v>3214</v>
      </c>
      <c r="D44" s="2" t="s">
        <v>3214</v>
      </c>
      <c r="E44" t="s">
        <v>81</v>
      </c>
      <c r="F44" t="s">
        <v>77</v>
      </c>
      <c r="G44" t="s">
        <v>31</v>
      </c>
      <c r="H44" t="s">
        <v>31</v>
      </c>
      <c r="I44" t="s">
        <v>32</v>
      </c>
    </row>
    <row r="45" spans="1:9" x14ac:dyDescent="0.25">
      <c r="A45" t="s">
        <v>3218</v>
      </c>
      <c r="B45" t="s">
        <v>3213</v>
      </c>
      <c r="C45" t="s">
        <v>3214</v>
      </c>
      <c r="D45" s="2" t="s">
        <v>3215</v>
      </c>
      <c r="E45" t="s">
        <v>81</v>
      </c>
      <c r="F45" t="s">
        <v>77</v>
      </c>
      <c r="G45" t="s">
        <v>31</v>
      </c>
      <c r="H45" t="s">
        <v>31</v>
      </c>
      <c r="I45" t="s">
        <v>32</v>
      </c>
    </row>
    <row r="46" spans="1:9" x14ac:dyDescent="0.25">
      <c r="A46" t="s">
        <v>3219</v>
      </c>
      <c r="B46" t="s">
        <v>3213</v>
      </c>
      <c r="C46" t="s">
        <v>3214</v>
      </c>
      <c r="D46" s="2" t="s">
        <v>77</v>
      </c>
      <c r="E46" t="s">
        <v>81</v>
      </c>
      <c r="F46" t="s">
        <v>77</v>
      </c>
      <c r="G46" t="s">
        <v>31</v>
      </c>
      <c r="H46" t="s">
        <v>31</v>
      </c>
      <c r="I46" t="s">
        <v>32</v>
      </c>
    </row>
    <row r="47" spans="1:9" x14ac:dyDescent="0.25">
      <c r="A47" t="s">
        <v>3220</v>
      </c>
      <c r="B47" t="s">
        <v>3213</v>
      </c>
      <c r="C47" t="s">
        <v>3214</v>
      </c>
      <c r="D47" s="2">
        <v>0</v>
      </c>
      <c r="E47" t="s">
        <v>30</v>
      </c>
      <c r="F47" t="s">
        <v>77</v>
      </c>
      <c r="G47">
        <v>1</v>
      </c>
      <c r="H47">
        <v>100</v>
      </c>
      <c r="I47" t="s">
        <v>32</v>
      </c>
    </row>
    <row r="48" spans="1:9" x14ac:dyDescent="0.25">
      <c r="A48" t="s">
        <v>3221</v>
      </c>
      <c r="B48" t="s">
        <v>3213</v>
      </c>
      <c r="C48" t="s">
        <v>3214</v>
      </c>
      <c r="D48" s="2">
        <v>100</v>
      </c>
      <c r="E48" t="s">
        <v>30</v>
      </c>
      <c r="F48" t="s">
        <v>77</v>
      </c>
      <c r="G48">
        <v>1</v>
      </c>
      <c r="H48">
        <v>100</v>
      </c>
      <c r="I48" t="s">
        <v>32</v>
      </c>
    </row>
    <row r="49" spans="1:9" x14ac:dyDescent="0.25">
      <c r="A49" t="s">
        <v>3222</v>
      </c>
      <c r="B49" t="s">
        <v>3213</v>
      </c>
      <c r="C49" t="s">
        <v>3214</v>
      </c>
      <c r="D49" s="2" t="b">
        <v>1</v>
      </c>
      <c r="E49" t="s">
        <v>88</v>
      </c>
      <c r="F49" t="s">
        <v>77</v>
      </c>
      <c r="G49" t="s">
        <v>31</v>
      </c>
      <c r="H49" t="s">
        <v>31</v>
      </c>
      <c r="I49" t="s">
        <v>32</v>
      </c>
    </row>
    <row r="50" spans="1:9" x14ac:dyDescent="0.25">
      <c r="A50" t="s">
        <v>3223</v>
      </c>
      <c r="B50" t="s">
        <v>3224</v>
      </c>
      <c r="C50" t="s">
        <v>3225</v>
      </c>
      <c r="D50" s="3">
        <v>12</v>
      </c>
      <c r="E50" t="s">
        <v>30</v>
      </c>
      <c r="F50" t="s">
        <v>77</v>
      </c>
      <c r="G50">
        <v>1</v>
      </c>
      <c r="H50">
        <v>100</v>
      </c>
      <c r="I50" t="s">
        <v>3226</v>
      </c>
    </row>
    <row r="51" spans="1:9" x14ac:dyDescent="0.25">
      <c r="A51" t="s">
        <v>3227</v>
      </c>
      <c r="B51" t="s">
        <v>3224</v>
      </c>
      <c r="C51" t="s">
        <v>3225</v>
      </c>
      <c r="D51" s="2" t="s">
        <v>3161</v>
      </c>
      <c r="E51" t="s">
        <v>81</v>
      </c>
      <c r="F51" t="s">
        <v>77</v>
      </c>
      <c r="G51" t="s">
        <v>31</v>
      </c>
      <c r="H51" t="s">
        <v>31</v>
      </c>
      <c r="I51" t="s">
        <v>32</v>
      </c>
    </row>
    <row r="52" spans="1:9" x14ac:dyDescent="0.25">
      <c r="A52" t="s">
        <v>3228</v>
      </c>
      <c r="B52" t="s">
        <v>3224</v>
      </c>
      <c r="C52" t="s">
        <v>3225</v>
      </c>
      <c r="D52" s="2" t="s">
        <v>3225</v>
      </c>
      <c r="E52" t="s">
        <v>81</v>
      </c>
      <c r="F52" t="s">
        <v>77</v>
      </c>
      <c r="G52" t="s">
        <v>31</v>
      </c>
      <c r="H52" t="s">
        <v>31</v>
      </c>
      <c r="I52" t="s">
        <v>32</v>
      </c>
    </row>
    <row r="53" spans="1:9" x14ac:dyDescent="0.25">
      <c r="A53" t="s">
        <v>3229</v>
      </c>
      <c r="B53" t="s">
        <v>3224</v>
      </c>
      <c r="C53" t="s">
        <v>3225</v>
      </c>
      <c r="D53" s="2" t="s">
        <v>3226</v>
      </c>
      <c r="E53" t="s">
        <v>81</v>
      </c>
      <c r="F53" t="s">
        <v>77</v>
      </c>
      <c r="G53" t="s">
        <v>31</v>
      </c>
      <c r="H53" t="s">
        <v>31</v>
      </c>
      <c r="I53" t="s">
        <v>32</v>
      </c>
    </row>
    <row r="54" spans="1:9" x14ac:dyDescent="0.25">
      <c r="A54" t="s">
        <v>3230</v>
      </c>
      <c r="B54" t="s">
        <v>3224</v>
      </c>
      <c r="C54" t="s">
        <v>3225</v>
      </c>
      <c r="D54" s="2" t="s">
        <v>77</v>
      </c>
      <c r="E54" t="s">
        <v>81</v>
      </c>
      <c r="F54" t="s">
        <v>77</v>
      </c>
      <c r="G54" t="s">
        <v>31</v>
      </c>
      <c r="H54" t="s">
        <v>31</v>
      </c>
      <c r="I54" t="s">
        <v>32</v>
      </c>
    </row>
    <row r="55" spans="1:9" x14ac:dyDescent="0.25">
      <c r="A55" t="s">
        <v>3231</v>
      </c>
      <c r="B55" t="s">
        <v>3224</v>
      </c>
      <c r="C55" t="s">
        <v>3225</v>
      </c>
      <c r="D55" s="2">
        <v>0</v>
      </c>
      <c r="E55" t="s">
        <v>30</v>
      </c>
      <c r="F55" t="s">
        <v>77</v>
      </c>
      <c r="G55">
        <v>1</v>
      </c>
      <c r="H55">
        <v>100</v>
      </c>
      <c r="I55" t="s">
        <v>32</v>
      </c>
    </row>
    <row r="56" spans="1:9" x14ac:dyDescent="0.25">
      <c r="A56" t="s">
        <v>3232</v>
      </c>
      <c r="B56" t="s">
        <v>3224</v>
      </c>
      <c r="C56" t="s">
        <v>3225</v>
      </c>
      <c r="D56" s="2">
        <v>120</v>
      </c>
      <c r="E56" t="s">
        <v>30</v>
      </c>
      <c r="F56" t="s">
        <v>77</v>
      </c>
      <c r="G56">
        <v>1</v>
      </c>
      <c r="H56">
        <v>100</v>
      </c>
      <c r="I56" t="s">
        <v>32</v>
      </c>
    </row>
    <row r="57" spans="1:9" x14ac:dyDescent="0.25">
      <c r="A57" t="s">
        <v>3233</v>
      </c>
      <c r="B57" t="s">
        <v>3224</v>
      </c>
      <c r="C57" t="s">
        <v>3225</v>
      </c>
      <c r="D57" s="2" t="b">
        <v>1</v>
      </c>
      <c r="E57" t="s">
        <v>88</v>
      </c>
      <c r="F57" t="s">
        <v>77</v>
      </c>
      <c r="G57" t="s">
        <v>31</v>
      </c>
      <c r="H57" t="s">
        <v>31</v>
      </c>
      <c r="I57" t="s">
        <v>32</v>
      </c>
    </row>
    <row r="58" spans="1:9" x14ac:dyDescent="0.25">
      <c r="A58" t="s">
        <v>3234</v>
      </c>
      <c r="B58" t="s">
        <v>3235</v>
      </c>
      <c r="C58" t="s">
        <v>3236</v>
      </c>
      <c r="D58" s="3">
        <v>2</v>
      </c>
      <c r="E58" t="s">
        <v>30</v>
      </c>
      <c r="F58" t="s">
        <v>77</v>
      </c>
      <c r="G58">
        <v>1</v>
      </c>
      <c r="H58">
        <v>100</v>
      </c>
      <c r="I58" t="s">
        <v>3237</v>
      </c>
    </row>
    <row r="59" spans="1:9" x14ac:dyDescent="0.25">
      <c r="A59" t="s">
        <v>3238</v>
      </c>
      <c r="B59" t="s">
        <v>3235</v>
      </c>
      <c r="C59" t="s">
        <v>3236</v>
      </c>
      <c r="D59" s="2" t="s">
        <v>3161</v>
      </c>
      <c r="E59" t="s">
        <v>81</v>
      </c>
      <c r="F59" t="s">
        <v>77</v>
      </c>
      <c r="G59" t="s">
        <v>31</v>
      </c>
      <c r="H59" t="s">
        <v>31</v>
      </c>
      <c r="I59" t="s">
        <v>32</v>
      </c>
    </row>
    <row r="60" spans="1:9" x14ac:dyDescent="0.25">
      <c r="A60" t="s">
        <v>3239</v>
      </c>
      <c r="B60" t="s">
        <v>3235</v>
      </c>
      <c r="C60" t="s">
        <v>3236</v>
      </c>
      <c r="D60" s="2" t="s">
        <v>3236</v>
      </c>
      <c r="E60" t="s">
        <v>81</v>
      </c>
      <c r="F60" t="s">
        <v>77</v>
      </c>
      <c r="G60" t="s">
        <v>31</v>
      </c>
      <c r="H60" t="s">
        <v>31</v>
      </c>
      <c r="I60" t="s">
        <v>32</v>
      </c>
    </row>
    <row r="61" spans="1:9" x14ac:dyDescent="0.25">
      <c r="A61" t="s">
        <v>3240</v>
      </c>
      <c r="B61" t="s">
        <v>3235</v>
      </c>
      <c r="C61" t="s">
        <v>3236</v>
      </c>
      <c r="D61" s="2" t="s">
        <v>3237</v>
      </c>
      <c r="E61" t="s">
        <v>81</v>
      </c>
      <c r="F61" t="s">
        <v>77</v>
      </c>
      <c r="G61" t="s">
        <v>31</v>
      </c>
      <c r="H61" t="s">
        <v>31</v>
      </c>
      <c r="I61" t="s">
        <v>32</v>
      </c>
    </row>
    <row r="62" spans="1:9" x14ac:dyDescent="0.25">
      <c r="A62" t="s">
        <v>3241</v>
      </c>
      <c r="B62" t="s">
        <v>3235</v>
      </c>
      <c r="C62" t="s">
        <v>3236</v>
      </c>
      <c r="D62" s="2" t="s">
        <v>77</v>
      </c>
      <c r="E62" t="s">
        <v>81</v>
      </c>
      <c r="F62" t="s">
        <v>77</v>
      </c>
      <c r="G62" t="s">
        <v>31</v>
      </c>
      <c r="H62" t="s">
        <v>31</v>
      </c>
      <c r="I62" t="s">
        <v>32</v>
      </c>
    </row>
    <row r="63" spans="1:9" x14ac:dyDescent="0.25">
      <c r="A63" t="s">
        <v>3242</v>
      </c>
      <c r="B63" t="s">
        <v>3235</v>
      </c>
      <c r="C63" t="s">
        <v>3236</v>
      </c>
      <c r="D63" s="2">
        <v>0</v>
      </c>
      <c r="E63" t="s">
        <v>30</v>
      </c>
      <c r="F63" t="s">
        <v>77</v>
      </c>
      <c r="G63">
        <v>1</v>
      </c>
      <c r="H63">
        <v>100</v>
      </c>
      <c r="I63" t="s">
        <v>32</v>
      </c>
    </row>
    <row r="64" spans="1:9" x14ac:dyDescent="0.25">
      <c r="A64" t="s">
        <v>3243</v>
      </c>
      <c r="B64" t="s">
        <v>3235</v>
      </c>
      <c r="C64" t="s">
        <v>3236</v>
      </c>
      <c r="D64" s="2">
        <v>100</v>
      </c>
      <c r="E64" t="s">
        <v>30</v>
      </c>
      <c r="F64" t="s">
        <v>77</v>
      </c>
      <c r="G64">
        <v>1</v>
      </c>
      <c r="H64">
        <v>100</v>
      </c>
      <c r="I64" t="s">
        <v>32</v>
      </c>
    </row>
    <row r="65" spans="1:9" x14ac:dyDescent="0.25">
      <c r="A65" t="s">
        <v>3244</v>
      </c>
      <c r="B65" t="s">
        <v>3235</v>
      </c>
      <c r="C65" t="s">
        <v>3236</v>
      </c>
      <c r="D65" s="2" t="b">
        <v>1</v>
      </c>
      <c r="E65" t="s">
        <v>88</v>
      </c>
      <c r="F65" t="s">
        <v>77</v>
      </c>
      <c r="G65" t="s">
        <v>31</v>
      </c>
      <c r="H65" t="s">
        <v>31</v>
      </c>
      <c r="I65" t="s">
        <v>32</v>
      </c>
    </row>
    <row r="66" spans="1:9" x14ac:dyDescent="0.25">
      <c r="A66" t="s">
        <v>3245</v>
      </c>
      <c r="B66" t="s">
        <v>3246</v>
      </c>
      <c r="C66" t="s">
        <v>3247</v>
      </c>
      <c r="D66" s="3">
        <v>22</v>
      </c>
      <c r="E66" t="s">
        <v>30</v>
      </c>
      <c r="F66" t="s">
        <v>77</v>
      </c>
      <c r="G66">
        <v>1</v>
      </c>
      <c r="H66">
        <v>100</v>
      </c>
      <c r="I66" t="s">
        <v>3248</v>
      </c>
    </row>
    <row r="67" spans="1:9" x14ac:dyDescent="0.25">
      <c r="A67" t="s">
        <v>3249</v>
      </c>
      <c r="B67" t="s">
        <v>3246</v>
      </c>
      <c r="C67" t="s">
        <v>3247</v>
      </c>
      <c r="D67" s="2" t="s">
        <v>3161</v>
      </c>
      <c r="E67" t="s">
        <v>81</v>
      </c>
      <c r="F67" t="s">
        <v>77</v>
      </c>
      <c r="G67" t="s">
        <v>31</v>
      </c>
      <c r="H67" t="s">
        <v>31</v>
      </c>
      <c r="I67" t="s">
        <v>32</v>
      </c>
    </row>
    <row r="68" spans="1:9" x14ac:dyDescent="0.25">
      <c r="A68" t="s">
        <v>3250</v>
      </c>
      <c r="B68" t="s">
        <v>3246</v>
      </c>
      <c r="C68" t="s">
        <v>3247</v>
      </c>
      <c r="D68" s="2" t="s">
        <v>3247</v>
      </c>
      <c r="E68" t="s">
        <v>81</v>
      </c>
      <c r="F68" t="s">
        <v>77</v>
      </c>
      <c r="G68" t="s">
        <v>31</v>
      </c>
      <c r="H68" t="s">
        <v>31</v>
      </c>
      <c r="I68" t="s">
        <v>32</v>
      </c>
    </row>
    <row r="69" spans="1:9" x14ac:dyDescent="0.25">
      <c r="A69" t="s">
        <v>3251</v>
      </c>
      <c r="B69" t="s">
        <v>3246</v>
      </c>
      <c r="C69" t="s">
        <v>3247</v>
      </c>
      <c r="D69" s="2" t="s">
        <v>3248</v>
      </c>
      <c r="E69" t="s">
        <v>81</v>
      </c>
      <c r="F69" t="s">
        <v>77</v>
      </c>
      <c r="G69" t="s">
        <v>31</v>
      </c>
      <c r="H69" t="s">
        <v>31</v>
      </c>
      <c r="I69" t="s">
        <v>32</v>
      </c>
    </row>
    <row r="70" spans="1:9" x14ac:dyDescent="0.25">
      <c r="A70" t="s">
        <v>3252</v>
      </c>
      <c r="B70" t="s">
        <v>3246</v>
      </c>
      <c r="C70" t="s">
        <v>3247</v>
      </c>
      <c r="D70" s="2" t="s">
        <v>77</v>
      </c>
      <c r="E70" t="s">
        <v>81</v>
      </c>
      <c r="F70" t="s">
        <v>77</v>
      </c>
      <c r="G70" t="s">
        <v>31</v>
      </c>
      <c r="H70" t="s">
        <v>31</v>
      </c>
      <c r="I70" t="s">
        <v>32</v>
      </c>
    </row>
    <row r="71" spans="1:9" x14ac:dyDescent="0.25">
      <c r="A71" t="s">
        <v>3253</v>
      </c>
      <c r="B71" t="s">
        <v>3246</v>
      </c>
      <c r="C71" t="s">
        <v>3247</v>
      </c>
      <c r="D71" s="2">
        <v>0</v>
      </c>
      <c r="E71" t="s">
        <v>30</v>
      </c>
      <c r="F71" t="s">
        <v>77</v>
      </c>
      <c r="G71">
        <v>1</v>
      </c>
      <c r="H71">
        <v>100</v>
      </c>
      <c r="I71" t="s">
        <v>32</v>
      </c>
    </row>
    <row r="72" spans="1:9" x14ac:dyDescent="0.25">
      <c r="A72" t="s">
        <v>3254</v>
      </c>
      <c r="B72" t="s">
        <v>3246</v>
      </c>
      <c r="C72" t="s">
        <v>3247</v>
      </c>
      <c r="D72" s="2">
        <v>220</v>
      </c>
      <c r="E72" t="s">
        <v>30</v>
      </c>
      <c r="F72" t="s">
        <v>77</v>
      </c>
      <c r="G72">
        <v>1</v>
      </c>
      <c r="H72">
        <v>100</v>
      </c>
      <c r="I72" t="s">
        <v>32</v>
      </c>
    </row>
    <row r="73" spans="1:9" x14ac:dyDescent="0.25">
      <c r="A73" t="s">
        <v>3255</v>
      </c>
      <c r="B73" t="s">
        <v>3246</v>
      </c>
      <c r="C73" t="s">
        <v>3247</v>
      </c>
      <c r="D73" s="2" t="b">
        <v>1</v>
      </c>
      <c r="E73" t="s">
        <v>88</v>
      </c>
      <c r="F73" t="s">
        <v>77</v>
      </c>
      <c r="G73" t="s">
        <v>31</v>
      </c>
      <c r="H73" t="s">
        <v>31</v>
      </c>
      <c r="I73" t="s">
        <v>32</v>
      </c>
    </row>
    <row r="74" spans="1:9" x14ac:dyDescent="0.25">
      <c r="A74" t="s">
        <v>3256</v>
      </c>
      <c r="B74" t="s">
        <v>3257</v>
      </c>
      <c r="C74" t="s">
        <v>3258</v>
      </c>
      <c r="D74" s="3">
        <v>5</v>
      </c>
      <c r="E74" t="s">
        <v>30</v>
      </c>
      <c r="F74" t="s">
        <v>77</v>
      </c>
      <c r="G74">
        <v>1</v>
      </c>
      <c r="H74">
        <v>100</v>
      </c>
      <c r="I74" t="s">
        <v>3259</v>
      </c>
    </row>
    <row r="75" spans="1:9" x14ac:dyDescent="0.25">
      <c r="A75" t="s">
        <v>3260</v>
      </c>
      <c r="B75" t="s">
        <v>3257</v>
      </c>
      <c r="C75" t="s">
        <v>3258</v>
      </c>
      <c r="D75" s="2" t="s">
        <v>3161</v>
      </c>
      <c r="E75" t="s">
        <v>81</v>
      </c>
      <c r="F75" t="s">
        <v>77</v>
      </c>
      <c r="G75" t="s">
        <v>31</v>
      </c>
      <c r="H75" t="s">
        <v>31</v>
      </c>
      <c r="I75" t="s">
        <v>32</v>
      </c>
    </row>
    <row r="76" spans="1:9" x14ac:dyDescent="0.25">
      <c r="A76" t="s">
        <v>3261</v>
      </c>
      <c r="B76" t="s">
        <v>3257</v>
      </c>
      <c r="C76" t="s">
        <v>3258</v>
      </c>
      <c r="D76" s="2" t="s">
        <v>3258</v>
      </c>
      <c r="E76" t="s">
        <v>81</v>
      </c>
      <c r="F76" t="s">
        <v>77</v>
      </c>
      <c r="G76" t="s">
        <v>31</v>
      </c>
      <c r="H76" t="s">
        <v>31</v>
      </c>
      <c r="I76" t="s">
        <v>32</v>
      </c>
    </row>
    <row r="77" spans="1:9" x14ac:dyDescent="0.25">
      <c r="A77" t="s">
        <v>3262</v>
      </c>
      <c r="B77" t="s">
        <v>3257</v>
      </c>
      <c r="C77" t="s">
        <v>3258</v>
      </c>
      <c r="D77" s="2" t="s">
        <v>3259</v>
      </c>
      <c r="E77" t="s">
        <v>81</v>
      </c>
      <c r="F77" t="s">
        <v>77</v>
      </c>
      <c r="G77" t="s">
        <v>31</v>
      </c>
      <c r="H77" t="s">
        <v>31</v>
      </c>
      <c r="I77" t="s">
        <v>32</v>
      </c>
    </row>
    <row r="78" spans="1:9" x14ac:dyDescent="0.25">
      <c r="A78" t="s">
        <v>3263</v>
      </c>
      <c r="B78" t="s">
        <v>3257</v>
      </c>
      <c r="C78" t="s">
        <v>3258</v>
      </c>
      <c r="D78" s="2" t="s">
        <v>77</v>
      </c>
      <c r="E78" t="s">
        <v>81</v>
      </c>
      <c r="F78" t="s">
        <v>77</v>
      </c>
      <c r="G78" t="s">
        <v>31</v>
      </c>
      <c r="H78" t="s">
        <v>31</v>
      </c>
      <c r="I78" t="s">
        <v>32</v>
      </c>
    </row>
    <row r="79" spans="1:9" x14ac:dyDescent="0.25">
      <c r="A79" t="s">
        <v>3264</v>
      </c>
      <c r="B79" t="s">
        <v>3257</v>
      </c>
      <c r="C79" t="s">
        <v>3258</v>
      </c>
      <c r="D79" s="2">
        <v>0</v>
      </c>
      <c r="E79" t="s">
        <v>30</v>
      </c>
      <c r="F79" t="s">
        <v>77</v>
      </c>
      <c r="G79">
        <v>1</v>
      </c>
      <c r="H79">
        <v>100</v>
      </c>
      <c r="I79" t="s">
        <v>32</v>
      </c>
    </row>
    <row r="80" spans="1:9" x14ac:dyDescent="0.25">
      <c r="A80" t="s">
        <v>3265</v>
      </c>
      <c r="B80" t="s">
        <v>3257</v>
      </c>
      <c r="C80" t="s">
        <v>3258</v>
      </c>
      <c r="D80" s="2">
        <v>100</v>
      </c>
      <c r="E80" t="s">
        <v>30</v>
      </c>
      <c r="F80" t="s">
        <v>77</v>
      </c>
      <c r="G80">
        <v>1</v>
      </c>
      <c r="H80">
        <v>100</v>
      </c>
      <c r="I80" t="s">
        <v>32</v>
      </c>
    </row>
    <row r="81" spans="1:9" x14ac:dyDescent="0.25">
      <c r="A81" t="s">
        <v>3266</v>
      </c>
      <c r="B81" t="s">
        <v>3257</v>
      </c>
      <c r="C81" t="s">
        <v>3258</v>
      </c>
      <c r="D81" s="2" t="b">
        <v>1</v>
      </c>
      <c r="E81" t="s">
        <v>88</v>
      </c>
      <c r="F81" t="s">
        <v>77</v>
      </c>
      <c r="G81" t="s">
        <v>31</v>
      </c>
      <c r="H81" t="s">
        <v>31</v>
      </c>
      <c r="I81" t="s">
        <v>32</v>
      </c>
    </row>
    <row r="82" spans="1:9" x14ac:dyDescent="0.25">
      <c r="A82" t="s">
        <v>3267</v>
      </c>
      <c r="B82" t="s">
        <v>3268</v>
      </c>
      <c r="C82" t="s">
        <v>3269</v>
      </c>
      <c r="D82" s="3">
        <v>18</v>
      </c>
      <c r="E82" t="s">
        <v>30</v>
      </c>
      <c r="F82" t="s">
        <v>77</v>
      </c>
      <c r="G82">
        <v>1</v>
      </c>
      <c r="H82">
        <v>100</v>
      </c>
      <c r="I82" t="s">
        <v>3270</v>
      </c>
    </row>
    <row r="83" spans="1:9" x14ac:dyDescent="0.25">
      <c r="A83" t="s">
        <v>3271</v>
      </c>
      <c r="B83" t="s">
        <v>3268</v>
      </c>
      <c r="C83" t="s">
        <v>3269</v>
      </c>
      <c r="D83" s="2" t="s">
        <v>3161</v>
      </c>
      <c r="E83" t="s">
        <v>81</v>
      </c>
      <c r="F83" t="s">
        <v>77</v>
      </c>
      <c r="G83" t="s">
        <v>31</v>
      </c>
      <c r="H83" t="s">
        <v>31</v>
      </c>
      <c r="I83" t="s">
        <v>32</v>
      </c>
    </row>
    <row r="84" spans="1:9" x14ac:dyDescent="0.25">
      <c r="A84" t="s">
        <v>3272</v>
      </c>
      <c r="B84" t="s">
        <v>3268</v>
      </c>
      <c r="C84" t="s">
        <v>3269</v>
      </c>
      <c r="D84" s="2" t="s">
        <v>3269</v>
      </c>
      <c r="E84" t="s">
        <v>81</v>
      </c>
      <c r="F84" t="s">
        <v>77</v>
      </c>
      <c r="G84" t="s">
        <v>31</v>
      </c>
      <c r="H84" t="s">
        <v>31</v>
      </c>
      <c r="I84" t="s">
        <v>32</v>
      </c>
    </row>
    <row r="85" spans="1:9" x14ac:dyDescent="0.25">
      <c r="A85" t="s">
        <v>3273</v>
      </c>
      <c r="B85" t="s">
        <v>3268</v>
      </c>
      <c r="C85" t="s">
        <v>3269</v>
      </c>
      <c r="D85" s="2" t="s">
        <v>3270</v>
      </c>
      <c r="E85" t="s">
        <v>81</v>
      </c>
      <c r="F85" t="s">
        <v>77</v>
      </c>
      <c r="G85" t="s">
        <v>31</v>
      </c>
      <c r="H85" t="s">
        <v>31</v>
      </c>
      <c r="I85" t="s">
        <v>32</v>
      </c>
    </row>
    <row r="86" spans="1:9" x14ac:dyDescent="0.25">
      <c r="A86" t="s">
        <v>3274</v>
      </c>
      <c r="B86" t="s">
        <v>3268</v>
      </c>
      <c r="C86" t="s">
        <v>3269</v>
      </c>
      <c r="D86" s="2" t="s">
        <v>77</v>
      </c>
      <c r="E86" t="s">
        <v>81</v>
      </c>
      <c r="F86" t="s">
        <v>77</v>
      </c>
      <c r="G86" t="s">
        <v>31</v>
      </c>
      <c r="H86" t="s">
        <v>31</v>
      </c>
      <c r="I86" t="s">
        <v>32</v>
      </c>
    </row>
    <row r="87" spans="1:9" x14ac:dyDescent="0.25">
      <c r="A87" t="s">
        <v>3275</v>
      </c>
      <c r="B87" t="s">
        <v>3268</v>
      </c>
      <c r="C87" t="s">
        <v>3269</v>
      </c>
      <c r="D87" s="2">
        <v>0</v>
      </c>
      <c r="E87" t="s">
        <v>30</v>
      </c>
      <c r="F87" t="s">
        <v>77</v>
      </c>
      <c r="G87">
        <v>1</v>
      </c>
      <c r="H87">
        <v>100</v>
      </c>
      <c r="I87" t="s">
        <v>32</v>
      </c>
    </row>
    <row r="88" spans="1:9" x14ac:dyDescent="0.25">
      <c r="A88" t="s">
        <v>3276</v>
      </c>
      <c r="B88" t="s">
        <v>3268</v>
      </c>
      <c r="C88" t="s">
        <v>3269</v>
      </c>
      <c r="D88" s="2">
        <v>180</v>
      </c>
      <c r="E88" t="s">
        <v>30</v>
      </c>
      <c r="F88" t="s">
        <v>77</v>
      </c>
      <c r="G88">
        <v>1</v>
      </c>
      <c r="H88">
        <v>100</v>
      </c>
      <c r="I88" t="s">
        <v>32</v>
      </c>
    </row>
    <row r="89" spans="1:9" x14ac:dyDescent="0.25">
      <c r="A89" t="s">
        <v>3277</v>
      </c>
      <c r="B89" t="s">
        <v>3268</v>
      </c>
      <c r="C89" t="s">
        <v>3269</v>
      </c>
      <c r="D89" s="2" t="b">
        <v>1</v>
      </c>
      <c r="E89" t="s">
        <v>88</v>
      </c>
      <c r="F89" t="s">
        <v>77</v>
      </c>
      <c r="G89" t="s">
        <v>31</v>
      </c>
      <c r="H89" t="s">
        <v>31</v>
      </c>
      <c r="I89" t="s">
        <v>32</v>
      </c>
    </row>
    <row r="90" spans="1:9" x14ac:dyDescent="0.25">
      <c r="A90" t="s">
        <v>3278</v>
      </c>
      <c r="B90" t="s">
        <v>3279</v>
      </c>
      <c r="C90" t="s">
        <v>3280</v>
      </c>
      <c r="D90" s="3">
        <v>3</v>
      </c>
      <c r="E90" t="s">
        <v>30</v>
      </c>
      <c r="F90" t="s">
        <v>77</v>
      </c>
      <c r="G90">
        <v>1</v>
      </c>
      <c r="H90">
        <v>100</v>
      </c>
      <c r="I90" t="s">
        <v>3281</v>
      </c>
    </row>
    <row r="91" spans="1:9" x14ac:dyDescent="0.25">
      <c r="A91" t="s">
        <v>3282</v>
      </c>
      <c r="B91" t="s">
        <v>3279</v>
      </c>
      <c r="C91" t="s">
        <v>3280</v>
      </c>
      <c r="D91" s="2" t="s">
        <v>3161</v>
      </c>
      <c r="E91" t="s">
        <v>81</v>
      </c>
      <c r="F91" t="s">
        <v>77</v>
      </c>
      <c r="G91" t="s">
        <v>31</v>
      </c>
      <c r="H91" t="s">
        <v>31</v>
      </c>
      <c r="I91" t="s">
        <v>32</v>
      </c>
    </row>
    <row r="92" spans="1:9" x14ac:dyDescent="0.25">
      <c r="A92" t="s">
        <v>3283</v>
      </c>
      <c r="B92" t="s">
        <v>3279</v>
      </c>
      <c r="C92" t="s">
        <v>3280</v>
      </c>
      <c r="D92" s="2" t="s">
        <v>3280</v>
      </c>
      <c r="E92" t="s">
        <v>81</v>
      </c>
      <c r="F92" t="s">
        <v>77</v>
      </c>
      <c r="G92" t="s">
        <v>31</v>
      </c>
      <c r="H92" t="s">
        <v>31</v>
      </c>
      <c r="I92" t="s">
        <v>32</v>
      </c>
    </row>
    <row r="93" spans="1:9" x14ac:dyDescent="0.25">
      <c r="A93" t="s">
        <v>3284</v>
      </c>
      <c r="B93" t="s">
        <v>3279</v>
      </c>
      <c r="C93" t="s">
        <v>3280</v>
      </c>
      <c r="D93" s="2" t="s">
        <v>3281</v>
      </c>
      <c r="E93" t="s">
        <v>81</v>
      </c>
      <c r="F93" t="s">
        <v>77</v>
      </c>
      <c r="G93" t="s">
        <v>31</v>
      </c>
      <c r="H93" t="s">
        <v>31</v>
      </c>
      <c r="I93" t="s">
        <v>32</v>
      </c>
    </row>
    <row r="94" spans="1:9" x14ac:dyDescent="0.25">
      <c r="A94" t="s">
        <v>3285</v>
      </c>
      <c r="B94" t="s">
        <v>3279</v>
      </c>
      <c r="C94" t="s">
        <v>3280</v>
      </c>
      <c r="D94" s="2" t="s">
        <v>77</v>
      </c>
      <c r="E94" t="s">
        <v>81</v>
      </c>
      <c r="F94" t="s">
        <v>77</v>
      </c>
      <c r="G94" t="s">
        <v>31</v>
      </c>
      <c r="H94" t="s">
        <v>31</v>
      </c>
      <c r="I94" t="s">
        <v>32</v>
      </c>
    </row>
    <row r="95" spans="1:9" x14ac:dyDescent="0.25">
      <c r="A95" t="s">
        <v>3286</v>
      </c>
      <c r="B95" t="s">
        <v>3279</v>
      </c>
      <c r="C95" t="s">
        <v>3280</v>
      </c>
      <c r="D95" s="2">
        <v>0</v>
      </c>
      <c r="E95" t="s">
        <v>30</v>
      </c>
      <c r="F95" t="s">
        <v>77</v>
      </c>
      <c r="G95">
        <v>1</v>
      </c>
      <c r="H95">
        <v>100</v>
      </c>
      <c r="I95" t="s">
        <v>32</v>
      </c>
    </row>
    <row r="96" spans="1:9" x14ac:dyDescent="0.25">
      <c r="A96" t="s">
        <v>3287</v>
      </c>
      <c r="B96" t="s">
        <v>3279</v>
      </c>
      <c r="C96" t="s">
        <v>3280</v>
      </c>
      <c r="D96" s="2">
        <v>100</v>
      </c>
      <c r="E96" t="s">
        <v>30</v>
      </c>
      <c r="F96" t="s">
        <v>77</v>
      </c>
      <c r="G96">
        <v>1</v>
      </c>
      <c r="H96">
        <v>100</v>
      </c>
      <c r="I96" t="s">
        <v>32</v>
      </c>
    </row>
    <row r="97" spans="1:9" x14ac:dyDescent="0.25">
      <c r="A97" t="s">
        <v>3288</v>
      </c>
      <c r="B97" t="s">
        <v>3279</v>
      </c>
      <c r="C97" t="s">
        <v>3280</v>
      </c>
      <c r="D97" s="2" t="b">
        <v>1</v>
      </c>
      <c r="E97" t="s">
        <v>88</v>
      </c>
      <c r="F97" t="s">
        <v>77</v>
      </c>
      <c r="G97" t="s">
        <v>31</v>
      </c>
      <c r="H97" t="s">
        <v>31</v>
      </c>
      <c r="I97" t="s">
        <v>32</v>
      </c>
    </row>
  </sheetData>
  <sheetProtection sheet="1" algorithmName="SHA-512" hashValue="/MPw1N6nfVPKlqnpIVWxB7RJB2b8dRdgddi8xgp++nEm7rvEgzWYsAjeB+2sV5pdF9Z67PTTx4bkpPM3bdjwOA==" saltValue="lkI9pMr+ekYT6Qw9J9T3hw==" spinCount="100000"/>
  <autoFilter ref="A1:I1"/>
  <dataValidations count="12">
    <dataValidation type="whole" showErrorMessage="1" errorStyle="stop" errorTitle="Invalid balance value" error="Use an integer between 1 and 100." sqref="D10">
      <formula1>1</formula1>
      <formula2>100</formula2>
    </dataValidation>
    <dataValidation type="whole" showErrorMessage="1" errorStyle="stop" errorTitle="Invalid balance value" error="Use an integer between 1 and 100." sqref="D18">
      <formula1>1</formula1>
      <formula2>100</formula2>
    </dataValidation>
    <dataValidation type="whole" showErrorMessage="1" errorStyle="stop" errorTitle="Invalid balance value" error="Use an integer between 1 and 100." sqref="D2">
      <formula1>1</formula1>
      <formula2>100</formula2>
    </dataValidation>
    <dataValidation type="whole" showErrorMessage="1" errorStyle="stop" errorTitle="Invalid balance value" error="Use an integer between 1 and 100." sqref="D26">
      <formula1>1</formula1>
      <formula2>100</formula2>
    </dataValidation>
    <dataValidation type="whole" showErrorMessage="1" errorStyle="stop" errorTitle="Invalid balance value" error="Use an integer between 1 and 100." sqref="D34">
      <formula1>1</formula1>
      <formula2>100</formula2>
    </dataValidation>
    <dataValidation type="whole" showErrorMessage="1" errorStyle="stop" errorTitle="Invalid balance value" error="Use an integer between 1 and 100." sqref="D42">
      <formula1>1</formula1>
      <formula2>100</formula2>
    </dataValidation>
    <dataValidation type="whole" showErrorMessage="1" errorStyle="stop" errorTitle="Invalid balance value" error="Use an integer between 1 and 100." sqref="D50">
      <formula1>1</formula1>
      <formula2>100</formula2>
    </dataValidation>
    <dataValidation type="whole" showErrorMessage="1" errorStyle="stop" errorTitle="Invalid balance value" error="Use an integer between 1 and 100." sqref="D58">
      <formula1>1</formula1>
      <formula2>100</formula2>
    </dataValidation>
    <dataValidation type="whole" showErrorMessage="1" errorStyle="stop" errorTitle="Invalid balance value" error="Use an integer between 1 and 100." sqref="D66">
      <formula1>1</formula1>
      <formula2>100</formula2>
    </dataValidation>
    <dataValidation type="whole" showErrorMessage="1" errorStyle="stop" errorTitle="Invalid balance value" error="Use an integer between 1 and 100." sqref="D74">
      <formula1>1</formula1>
      <formula2>100</formula2>
    </dataValidation>
    <dataValidation type="whole" showErrorMessage="1" errorStyle="stop" errorTitle="Invalid balance value" error="Use an integer between 1 and 100." sqref="D82">
      <formula1>1</formula1>
      <formula2>100</formula2>
    </dataValidation>
    <dataValidation type="whole" showErrorMessage="1" errorStyle="stop" errorTitle="Invalid balance value" error="Use an integer between 1 and 100." sqref="D90">
      <formula1>1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7" customWidth="1"/>
    <col min="2" max="2" width="30" customWidth="1"/>
    <col min="3" max="4" width="40" customWidth="1"/>
    <col min="5" max="5" width="12" customWidth="1"/>
    <col min="6" max="6" width="24" customWidth="1"/>
    <col min="7" max="8" width="12" customWidth="1"/>
    <col min="9" max="9" width="94" customWidth="1"/>
  </cols>
  <sheetData>
    <row r="1" spans="1:9" s="1" customForma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x14ac:dyDescent="0.25">
      <c r="A2" t="s">
        <v>3289</v>
      </c>
      <c r="B2" t="s">
        <v>3290</v>
      </c>
      <c r="C2" t="s">
        <v>226</v>
      </c>
      <c r="D2" s="2" t="s">
        <v>3290</v>
      </c>
      <c r="E2" t="s">
        <v>81</v>
      </c>
      <c r="F2" t="s">
        <v>31</v>
      </c>
      <c r="G2" t="s">
        <v>31</v>
      </c>
      <c r="H2" t="s">
        <v>31</v>
      </c>
      <c r="I2" t="s">
        <v>32</v>
      </c>
    </row>
    <row r="3" spans="1:9" x14ac:dyDescent="0.25">
      <c r="A3" t="s">
        <v>3291</v>
      </c>
      <c r="B3" t="s">
        <v>3290</v>
      </c>
      <c r="C3" t="s">
        <v>228</v>
      </c>
      <c r="D3" s="3" t="s">
        <v>3292</v>
      </c>
      <c r="E3" t="s">
        <v>81</v>
      </c>
      <c r="F3" t="s">
        <v>31</v>
      </c>
      <c r="G3" t="s">
        <v>31</v>
      </c>
      <c r="H3" t="s">
        <v>31</v>
      </c>
      <c r="I3" t="s">
        <v>31</v>
      </c>
    </row>
    <row r="4" spans="1:9" x14ac:dyDescent="0.25">
      <c r="A4" t="s">
        <v>3293</v>
      </c>
      <c r="B4" t="s">
        <v>3290</v>
      </c>
      <c r="C4" t="s">
        <v>1043</v>
      </c>
      <c r="D4" s="3" t="s">
        <v>3294</v>
      </c>
      <c r="E4" t="s">
        <v>81</v>
      </c>
      <c r="F4" t="s">
        <v>31</v>
      </c>
      <c r="G4" t="s">
        <v>31</v>
      </c>
      <c r="H4" t="s">
        <v>31</v>
      </c>
      <c r="I4" t="s">
        <v>31</v>
      </c>
    </row>
    <row r="5" spans="1:9" x14ac:dyDescent="0.25">
      <c r="A5" t="s">
        <v>3295</v>
      </c>
      <c r="B5" t="s">
        <v>3290</v>
      </c>
      <c r="C5" t="s">
        <v>3296</v>
      </c>
      <c r="D5" s="3">
        <v>4</v>
      </c>
      <c r="E5" t="s">
        <v>30</v>
      </c>
      <c r="F5" t="s">
        <v>31</v>
      </c>
      <c r="G5">
        <v>0</v>
      </c>
      <c r="H5">
        <v>100000</v>
      </c>
      <c r="I5" t="s">
        <v>31</v>
      </c>
    </row>
    <row r="6" spans="1:9" x14ac:dyDescent="0.25">
      <c r="A6" t="s">
        <v>3297</v>
      </c>
      <c r="B6" t="s">
        <v>3290</v>
      </c>
      <c r="C6" t="s">
        <v>3298</v>
      </c>
      <c r="D6" s="3">
        <v>3</v>
      </c>
      <c r="E6" t="s">
        <v>30</v>
      </c>
      <c r="F6" t="s">
        <v>31</v>
      </c>
      <c r="G6">
        <v>1</v>
      </c>
      <c r="H6">
        <v>10000</v>
      </c>
      <c r="I6" t="s">
        <v>31</v>
      </c>
    </row>
    <row r="7" spans="1:9" x14ac:dyDescent="0.25">
      <c r="A7" t="s">
        <v>3299</v>
      </c>
      <c r="B7" t="s">
        <v>3300</v>
      </c>
      <c r="C7" t="s">
        <v>226</v>
      </c>
      <c r="D7" s="2" t="s">
        <v>3300</v>
      </c>
      <c r="E7" t="s">
        <v>81</v>
      </c>
      <c r="F7" t="s">
        <v>31</v>
      </c>
      <c r="G7" t="s">
        <v>31</v>
      </c>
      <c r="H7" t="s">
        <v>31</v>
      </c>
      <c r="I7" t="s">
        <v>32</v>
      </c>
    </row>
    <row r="8" spans="1:9" x14ac:dyDescent="0.25">
      <c r="A8" t="s">
        <v>3301</v>
      </c>
      <c r="B8" t="s">
        <v>3300</v>
      </c>
      <c r="C8" t="s">
        <v>228</v>
      </c>
      <c r="D8" s="3" t="s">
        <v>3302</v>
      </c>
      <c r="E8" t="s">
        <v>81</v>
      </c>
      <c r="F8" t="s">
        <v>31</v>
      </c>
      <c r="G8" t="s">
        <v>31</v>
      </c>
      <c r="H8" t="s">
        <v>31</v>
      </c>
      <c r="I8" t="s">
        <v>31</v>
      </c>
    </row>
    <row r="9" spans="1:9" x14ac:dyDescent="0.25">
      <c r="A9" t="s">
        <v>3303</v>
      </c>
      <c r="B9" t="s">
        <v>3300</v>
      </c>
      <c r="C9" t="s">
        <v>1043</v>
      </c>
      <c r="D9" s="3" t="s">
        <v>3304</v>
      </c>
      <c r="E9" t="s">
        <v>81</v>
      </c>
      <c r="F9" t="s">
        <v>31</v>
      </c>
      <c r="G9" t="s">
        <v>31</v>
      </c>
      <c r="H9" t="s">
        <v>31</v>
      </c>
      <c r="I9" t="s">
        <v>31</v>
      </c>
    </row>
    <row r="10" spans="1:9" x14ac:dyDescent="0.25">
      <c r="A10" t="s">
        <v>3305</v>
      </c>
      <c r="B10" t="s">
        <v>3300</v>
      </c>
      <c r="C10" t="s">
        <v>3306</v>
      </c>
      <c r="D10" s="3">
        <v>3</v>
      </c>
      <c r="E10" t="s">
        <v>30</v>
      </c>
      <c r="F10" t="s">
        <v>31</v>
      </c>
      <c r="G10">
        <v>0</v>
      </c>
      <c r="H10">
        <v>100000</v>
      </c>
      <c r="I10" t="s">
        <v>31</v>
      </c>
    </row>
    <row r="11" spans="1:9" x14ac:dyDescent="0.25">
      <c r="A11" t="s">
        <v>3307</v>
      </c>
      <c r="B11" t="s">
        <v>3300</v>
      </c>
      <c r="C11" t="s">
        <v>3308</v>
      </c>
      <c r="D11" s="3">
        <v>2</v>
      </c>
      <c r="E11" t="s">
        <v>30</v>
      </c>
      <c r="F11" t="s">
        <v>31</v>
      </c>
      <c r="G11">
        <v>1</v>
      </c>
      <c r="H11">
        <v>10000</v>
      </c>
      <c r="I11" t="s">
        <v>31</v>
      </c>
    </row>
    <row r="12" spans="1:9" x14ac:dyDescent="0.25">
      <c r="A12" t="s">
        <v>3309</v>
      </c>
      <c r="B12" t="s">
        <v>3300</v>
      </c>
      <c r="C12" t="s">
        <v>1769</v>
      </c>
      <c r="D12" s="3">
        <v>4</v>
      </c>
      <c r="E12" t="s">
        <v>30</v>
      </c>
      <c r="F12" t="s">
        <v>31</v>
      </c>
      <c r="G12">
        <v>0</v>
      </c>
      <c r="H12">
        <v>100000</v>
      </c>
      <c r="I12" t="s">
        <v>31</v>
      </c>
    </row>
    <row r="13" spans="1:9" x14ac:dyDescent="0.25">
      <c r="A13" t="s">
        <v>3310</v>
      </c>
      <c r="B13" t="s">
        <v>3300</v>
      </c>
      <c r="C13" t="s">
        <v>3311</v>
      </c>
      <c r="D13" s="3">
        <v>3</v>
      </c>
      <c r="E13" t="s">
        <v>30</v>
      </c>
      <c r="F13" t="s">
        <v>31</v>
      </c>
      <c r="G13">
        <v>1</v>
      </c>
      <c r="H13">
        <v>10000</v>
      </c>
      <c r="I13" t="s">
        <v>31</v>
      </c>
    </row>
    <row r="14" spans="1:9" x14ac:dyDescent="0.25">
      <c r="A14" t="s">
        <v>3312</v>
      </c>
      <c r="B14" t="s">
        <v>575</v>
      </c>
      <c r="C14" t="s">
        <v>226</v>
      </c>
      <c r="D14" s="2" t="s">
        <v>575</v>
      </c>
      <c r="E14" t="s">
        <v>81</v>
      </c>
      <c r="F14" t="s">
        <v>31</v>
      </c>
      <c r="G14" t="s">
        <v>31</v>
      </c>
      <c r="H14" t="s">
        <v>31</v>
      </c>
      <c r="I14" t="s">
        <v>32</v>
      </c>
    </row>
    <row r="15" spans="1:9" x14ac:dyDescent="0.25">
      <c r="A15" t="s">
        <v>3313</v>
      </c>
      <c r="B15" t="s">
        <v>575</v>
      </c>
      <c r="C15" t="s">
        <v>228</v>
      </c>
      <c r="D15" s="3" t="s">
        <v>3314</v>
      </c>
      <c r="E15" t="s">
        <v>81</v>
      </c>
      <c r="F15" t="s">
        <v>31</v>
      </c>
      <c r="G15" t="s">
        <v>31</v>
      </c>
      <c r="H15" t="s">
        <v>31</v>
      </c>
      <c r="I15" t="s">
        <v>31</v>
      </c>
    </row>
    <row r="16" spans="1:9" x14ac:dyDescent="0.25">
      <c r="A16" t="s">
        <v>3315</v>
      </c>
      <c r="B16" t="s">
        <v>575</v>
      </c>
      <c r="C16" t="s">
        <v>1043</v>
      </c>
      <c r="D16" s="3" t="s">
        <v>3316</v>
      </c>
      <c r="E16" t="s">
        <v>81</v>
      </c>
      <c r="F16" t="s">
        <v>31</v>
      </c>
      <c r="G16" t="s">
        <v>31</v>
      </c>
      <c r="H16" t="s">
        <v>31</v>
      </c>
      <c r="I16" t="s">
        <v>31</v>
      </c>
    </row>
    <row r="17" spans="1:9" x14ac:dyDescent="0.25">
      <c r="A17" t="s">
        <v>3317</v>
      </c>
      <c r="B17" t="s">
        <v>3318</v>
      </c>
      <c r="C17" t="s">
        <v>226</v>
      </c>
      <c r="D17" s="2" t="s">
        <v>3318</v>
      </c>
      <c r="E17" t="s">
        <v>81</v>
      </c>
      <c r="F17" t="s">
        <v>31</v>
      </c>
      <c r="G17" t="s">
        <v>31</v>
      </c>
      <c r="H17" t="s">
        <v>31</v>
      </c>
      <c r="I17" t="s">
        <v>32</v>
      </c>
    </row>
    <row r="18" spans="1:9" x14ac:dyDescent="0.25">
      <c r="A18" t="s">
        <v>3319</v>
      </c>
      <c r="B18" t="s">
        <v>3318</v>
      </c>
      <c r="C18" t="s">
        <v>228</v>
      </c>
      <c r="D18" s="3" t="s">
        <v>3320</v>
      </c>
      <c r="E18" t="s">
        <v>81</v>
      </c>
      <c r="F18" t="s">
        <v>31</v>
      </c>
      <c r="G18" t="s">
        <v>31</v>
      </c>
      <c r="H18" t="s">
        <v>31</v>
      </c>
      <c r="I18" t="s">
        <v>31</v>
      </c>
    </row>
    <row r="19" spans="1:9" x14ac:dyDescent="0.25">
      <c r="A19" t="s">
        <v>3321</v>
      </c>
      <c r="B19" t="s">
        <v>3318</v>
      </c>
      <c r="C19" t="s">
        <v>1043</v>
      </c>
      <c r="D19" s="3" t="s">
        <v>3322</v>
      </c>
      <c r="E19" t="s">
        <v>81</v>
      </c>
      <c r="F19" t="s">
        <v>31</v>
      </c>
      <c r="G19" t="s">
        <v>31</v>
      </c>
      <c r="H19" t="s">
        <v>31</v>
      </c>
      <c r="I19" t="s">
        <v>31</v>
      </c>
    </row>
    <row r="20" spans="1:9" x14ac:dyDescent="0.25">
      <c r="A20" t="s">
        <v>3323</v>
      </c>
      <c r="B20" t="s">
        <v>3318</v>
      </c>
      <c r="C20" t="s">
        <v>1147</v>
      </c>
      <c r="D20" s="3">
        <v>4</v>
      </c>
      <c r="E20" t="s">
        <v>30</v>
      </c>
      <c r="F20" t="s">
        <v>31</v>
      </c>
      <c r="G20">
        <v>0</v>
      </c>
      <c r="H20">
        <v>100000</v>
      </c>
      <c r="I20" t="s">
        <v>31</v>
      </c>
    </row>
    <row r="21" spans="1:9" x14ac:dyDescent="0.25">
      <c r="A21" t="s">
        <v>3324</v>
      </c>
      <c r="B21" t="s">
        <v>3318</v>
      </c>
      <c r="C21" t="s">
        <v>3325</v>
      </c>
      <c r="D21" s="3">
        <v>2</v>
      </c>
      <c r="E21" t="s">
        <v>30</v>
      </c>
      <c r="F21" t="s">
        <v>31</v>
      </c>
      <c r="G21">
        <v>1</v>
      </c>
      <c r="H21">
        <v>10000</v>
      </c>
      <c r="I21" t="s">
        <v>31</v>
      </c>
    </row>
    <row r="22" spans="1:9" x14ac:dyDescent="0.25">
      <c r="A22" t="s">
        <v>3326</v>
      </c>
      <c r="B22" t="s">
        <v>3327</v>
      </c>
      <c r="C22" t="s">
        <v>226</v>
      </c>
      <c r="D22" s="2" t="s">
        <v>3327</v>
      </c>
      <c r="E22" t="s">
        <v>81</v>
      </c>
      <c r="F22" t="s">
        <v>31</v>
      </c>
      <c r="G22" t="s">
        <v>31</v>
      </c>
      <c r="H22" t="s">
        <v>31</v>
      </c>
      <c r="I22" t="s">
        <v>32</v>
      </c>
    </row>
    <row r="23" spans="1:9" x14ac:dyDescent="0.25">
      <c r="A23" t="s">
        <v>3328</v>
      </c>
      <c r="B23" t="s">
        <v>3327</v>
      </c>
      <c r="C23" t="s">
        <v>228</v>
      </c>
      <c r="D23" s="3" t="s">
        <v>3329</v>
      </c>
      <c r="E23" t="s">
        <v>81</v>
      </c>
      <c r="F23" t="s">
        <v>31</v>
      </c>
      <c r="G23" t="s">
        <v>31</v>
      </c>
      <c r="H23" t="s">
        <v>31</v>
      </c>
      <c r="I23" t="s">
        <v>31</v>
      </c>
    </row>
    <row r="24" spans="1:9" x14ac:dyDescent="0.25">
      <c r="A24" t="s">
        <v>3330</v>
      </c>
      <c r="B24" t="s">
        <v>3327</v>
      </c>
      <c r="C24" t="s">
        <v>1043</v>
      </c>
      <c r="D24" s="3" t="s">
        <v>3331</v>
      </c>
      <c r="E24" t="s">
        <v>81</v>
      </c>
      <c r="F24" t="s">
        <v>31</v>
      </c>
      <c r="G24" t="s">
        <v>31</v>
      </c>
      <c r="H24" t="s">
        <v>31</v>
      </c>
      <c r="I24" t="s">
        <v>31</v>
      </c>
    </row>
    <row r="25" spans="1:9" x14ac:dyDescent="0.25">
      <c r="A25" t="s">
        <v>3332</v>
      </c>
      <c r="B25" t="s">
        <v>3327</v>
      </c>
      <c r="C25" t="s">
        <v>3333</v>
      </c>
      <c r="D25" s="3">
        <v>1</v>
      </c>
      <c r="E25" t="s">
        <v>30</v>
      </c>
      <c r="F25" t="s">
        <v>31</v>
      </c>
      <c r="G25">
        <v>0</v>
      </c>
      <c r="H25">
        <v>100000</v>
      </c>
      <c r="I25" t="s">
        <v>31</v>
      </c>
    </row>
    <row r="26" spans="1:9" x14ac:dyDescent="0.25">
      <c r="A26" t="s">
        <v>3334</v>
      </c>
      <c r="B26" t="s">
        <v>3327</v>
      </c>
      <c r="C26" t="s">
        <v>3335</v>
      </c>
      <c r="D26" s="3">
        <v>8</v>
      </c>
      <c r="E26" t="s">
        <v>30</v>
      </c>
      <c r="F26" t="s">
        <v>31</v>
      </c>
      <c r="G26">
        <v>0</v>
      </c>
      <c r="H26">
        <v>100000</v>
      </c>
      <c r="I26" t="s">
        <v>31</v>
      </c>
    </row>
    <row r="27" spans="1:9" x14ac:dyDescent="0.25">
      <c r="A27" t="s">
        <v>3336</v>
      </c>
      <c r="B27" t="s">
        <v>3327</v>
      </c>
      <c r="C27" t="s">
        <v>3337</v>
      </c>
      <c r="D27" s="3">
        <v>1</v>
      </c>
      <c r="E27" t="s">
        <v>30</v>
      </c>
      <c r="F27" t="s">
        <v>31</v>
      </c>
      <c r="G27">
        <v>0</v>
      </c>
      <c r="H27">
        <v>100000</v>
      </c>
      <c r="I27" t="s">
        <v>31</v>
      </c>
    </row>
    <row r="28" spans="1:9" x14ac:dyDescent="0.25">
      <c r="A28" t="s">
        <v>3338</v>
      </c>
      <c r="B28" t="s">
        <v>3339</v>
      </c>
      <c r="C28" t="s">
        <v>226</v>
      </c>
      <c r="D28" s="2" t="s">
        <v>3339</v>
      </c>
      <c r="E28" t="s">
        <v>81</v>
      </c>
      <c r="F28" t="s">
        <v>31</v>
      </c>
      <c r="G28" t="s">
        <v>31</v>
      </c>
      <c r="H28" t="s">
        <v>31</v>
      </c>
      <c r="I28" t="s">
        <v>32</v>
      </c>
    </row>
    <row r="29" spans="1:9" x14ac:dyDescent="0.25">
      <c r="A29" t="s">
        <v>3340</v>
      </c>
      <c r="B29" t="s">
        <v>3339</v>
      </c>
      <c r="C29" t="s">
        <v>228</v>
      </c>
      <c r="D29" s="3" t="s">
        <v>3341</v>
      </c>
      <c r="E29" t="s">
        <v>81</v>
      </c>
      <c r="F29" t="s">
        <v>31</v>
      </c>
      <c r="G29" t="s">
        <v>31</v>
      </c>
      <c r="H29" t="s">
        <v>31</v>
      </c>
      <c r="I29" t="s">
        <v>31</v>
      </c>
    </row>
    <row r="30" spans="1:9" x14ac:dyDescent="0.25">
      <c r="A30" t="s">
        <v>3342</v>
      </c>
      <c r="B30" t="s">
        <v>3339</v>
      </c>
      <c r="C30" t="s">
        <v>1043</v>
      </c>
      <c r="D30" s="3" t="s">
        <v>3343</v>
      </c>
      <c r="E30" t="s">
        <v>81</v>
      </c>
      <c r="F30" t="s">
        <v>31</v>
      </c>
      <c r="G30" t="s">
        <v>31</v>
      </c>
      <c r="H30" t="s">
        <v>31</v>
      </c>
      <c r="I30" t="s">
        <v>31</v>
      </c>
    </row>
    <row r="31" spans="1:9" x14ac:dyDescent="0.25">
      <c r="A31" t="s">
        <v>3344</v>
      </c>
      <c r="B31" t="s">
        <v>3339</v>
      </c>
      <c r="C31" t="s">
        <v>3345</v>
      </c>
      <c r="D31" s="3">
        <v>1</v>
      </c>
      <c r="E31" t="s">
        <v>30</v>
      </c>
      <c r="F31" t="s">
        <v>31</v>
      </c>
      <c r="G31">
        <v>0</v>
      </c>
      <c r="H31">
        <v>100000</v>
      </c>
      <c r="I31" t="s">
        <v>31</v>
      </c>
    </row>
    <row r="32" spans="1:9" x14ac:dyDescent="0.25">
      <c r="A32" t="s">
        <v>3346</v>
      </c>
      <c r="B32" t="s">
        <v>3339</v>
      </c>
      <c r="C32" t="s">
        <v>3347</v>
      </c>
      <c r="D32" s="3">
        <v>3</v>
      </c>
      <c r="E32" t="s">
        <v>30</v>
      </c>
      <c r="F32" t="s">
        <v>31</v>
      </c>
      <c r="G32">
        <v>1</v>
      </c>
      <c r="H32">
        <v>10000</v>
      </c>
      <c r="I32" t="s">
        <v>31</v>
      </c>
    </row>
    <row r="33" spans="1:9" x14ac:dyDescent="0.25">
      <c r="A33" t="s">
        <v>3348</v>
      </c>
      <c r="B33" t="s">
        <v>3339</v>
      </c>
      <c r="C33" t="s">
        <v>3349</v>
      </c>
      <c r="D33" s="3">
        <v>1</v>
      </c>
      <c r="E33" t="s">
        <v>30</v>
      </c>
      <c r="F33" t="s">
        <v>31</v>
      </c>
      <c r="G33">
        <v>0</v>
      </c>
      <c r="H33">
        <v>100000</v>
      </c>
      <c r="I33" t="s">
        <v>31</v>
      </c>
    </row>
    <row r="34" spans="1:9" x14ac:dyDescent="0.25">
      <c r="A34" t="s">
        <v>3350</v>
      </c>
      <c r="B34" t="s">
        <v>3339</v>
      </c>
      <c r="C34" t="s">
        <v>3351</v>
      </c>
      <c r="D34" s="3">
        <v>5</v>
      </c>
      <c r="E34" t="s">
        <v>30</v>
      </c>
      <c r="F34" t="s">
        <v>31</v>
      </c>
      <c r="G34">
        <v>1</v>
      </c>
      <c r="H34">
        <v>10000</v>
      </c>
      <c r="I34" t="s">
        <v>31</v>
      </c>
    </row>
    <row r="35" spans="1:9" x14ac:dyDescent="0.25">
      <c r="A35" t="s">
        <v>3352</v>
      </c>
      <c r="B35" t="s">
        <v>3339</v>
      </c>
      <c r="C35" t="s">
        <v>3353</v>
      </c>
      <c r="D35" s="3">
        <v>6</v>
      </c>
      <c r="E35" t="s">
        <v>30</v>
      </c>
      <c r="F35" t="s">
        <v>31</v>
      </c>
      <c r="G35">
        <v>0</v>
      </c>
      <c r="H35">
        <v>100000</v>
      </c>
      <c r="I35" t="s">
        <v>31</v>
      </c>
    </row>
    <row r="36" spans="1:9" x14ac:dyDescent="0.25">
      <c r="A36" t="s">
        <v>3354</v>
      </c>
      <c r="B36" t="s">
        <v>3339</v>
      </c>
      <c r="C36" t="s">
        <v>3333</v>
      </c>
      <c r="D36" s="3">
        <v>3</v>
      </c>
      <c r="E36" t="s">
        <v>30</v>
      </c>
      <c r="F36" t="s">
        <v>31</v>
      </c>
      <c r="G36">
        <v>0</v>
      </c>
      <c r="H36">
        <v>100000</v>
      </c>
      <c r="I36" t="s">
        <v>31</v>
      </c>
    </row>
    <row r="37" spans="1:9" x14ac:dyDescent="0.25">
      <c r="A37" t="s">
        <v>3355</v>
      </c>
      <c r="B37" t="s">
        <v>3339</v>
      </c>
      <c r="C37" t="s">
        <v>3356</v>
      </c>
      <c r="D37" s="3">
        <v>3</v>
      </c>
      <c r="E37" t="s">
        <v>30</v>
      </c>
      <c r="F37" t="s">
        <v>31</v>
      </c>
      <c r="G37">
        <v>0</v>
      </c>
      <c r="H37">
        <v>100000</v>
      </c>
      <c r="I37" t="s">
        <v>31</v>
      </c>
    </row>
  </sheetData>
  <sheetProtection sheet="1" algorithmName="SHA-512" hashValue="cOZV1WV3z0SxdGzg4ksFFctXaeMtn4dA+r6JzlFaHVtexj+Nze5FXA1dGFKUWdU3/CMCFO9IhCb1SFPuZh3XWw==" saltValue="UVYAGiYiTtAYYoFp1mCbYg==" spinCount="100000"/>
  <autoFilter ref="A1:I1"/>
  <dataValidations count="14">
    <dataValidation type="whole" showErrorMessage="1" errorStyle="stop" errorTitle="Invalid balance value" error="Use an integer between 0 and 100000." sqref="D10">
      <formula1>0</formula1>
      <formula2>100000</formula2>
    </dataValidation>
    <dataValidation type="whole" showErrorMessage="1" errorStyle="stop" errorTitle="Invalid balance value" error="Use an integer between 1 and 10000." sqref="D11">
      <formula1>1</formula1>
      <formula2>10000</formula2>
    </dataValidation>
    <dataValidation type="whole" showErrorMessage="1" errorStyle="stop" errorTitle="Invalid balance value" error="Use an integer between 0 and 100000." sqref="D12">
      <formula1>0</formula1>
      <formula2>100000</formula2>
    </dataValidation>
    <dataValidation type="whole" showErrorMessage="1" errorStyle="stop" errorTitle="Invalid balance value" error="Use an integer between 1 and 10000." sqref="D13">
      <formula1>1</formula1>
      <formula2>10000</formula2>
    </dataValidation>
    <dataValidation type="whole" showErrorMessage="1" errorStyle="stop" errorTitle="Invalid balance value" error="Use an integer between 0 and 100000." sqref="D20">
      <formula1>0</formula1>
      <formula2>100000</formula2>
    </dataValidation>
    <dataValidation type="whole" showErrorMessage="1" errorStyle="stop" errorTitle="Invalid balance value" error="Use an integer between 1 and 10000." sqref="D21">
      <formula1>1</formula1>
      <formula2>10000</formula2>
    </dataValidation>
    <dataValidation type="whole" showErrorMessage="1" errorStyle="stop" errorTitle="Invalid balance value" error="Use an integer between 0 and 100000." sqref="D25:D27">
      <formula1>0</formula1>
      <formula2>100000</formula2>
    </dataValidation>
    <dataValidation type="whole" showErrorMessage="1" errorStyle="stop" errorTitle="Invalid balance value" error="Use an integer between 0 and 100000." sqref="D31">
      <formula1>0</formula1>
      <formula2>100000</formula2>
    </dataValidation>
    <dataValidation type="whole" showErrorMessage="1" errorStyle="stop" errorTitle="Invalid balance value" error="Use an integer between 1 and 10000." sqref="D32">
      <formula1>1</formula1>
      <formula2>10000</formula2>
    </dataValidation>
    <dataValidation type="whole" showErrorMessage="1" errorStyle="stop" errorTitle="Invalid balance value" error="Use an integer between 0 and 100000." sqref="D33">
      <formula1>0</formula1>
      <formula2>100000</formula2>
    </dataValidation>
    <dataValidation type="whole" showErrorMessage="1" errorStyle="stop" errorTitle="Invalid balance value" error="Use an integer between 1 and 10000." sqref="D34">
      <formula1>1</formula1>
      <formula2>10000</formula2>
    </dataValidation>
    <dataValidation type="whole" showErrorMessage="1" errorStyle="stop" errorTitle="Invalid balance value" error="Use an integer between 0 and 100000." sqref="D35:D37">
      <formula1>0</formula1>
      <formula2>100000</formula2>
    </dataValidation>
    <dataValidation type="whole" showErrorMessage="1" errorStyle="stop" errorTitle="Invalid balance value" error="Use an integer between 0 and 100000." sqref="D5">
      <formula1>0</formula1>
      <formula2>100000</formula2>
    </dataValidation>
    <dataValidation type="whole" showErrorMessage="1" errorStyle="stop" errorTitle="Invalid balance value" error="Use an integer between 1 and 10000." sqref="D6">
      <formula1>1</formula1>
      <formula2>10000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45" customWidth="1"/>
    <col min="3" max="6" width="22" customWidth="1"/>
    <col min="7" max="7" width="20" customWidth="1"/>
    <col min="8" max="8" width="22" customWidth="1"/>
  </cols>
  <sheetData>
    <row r="1" spans="1:8" x14ac:dyDescent="0.25">
      <c r="A1" t="s">
        <v>3357</v>
      </c>
      <c r="B1" t="s">
        <v>3358</v>
      </c>
      <c r="C1" t="s">
        <v>3359</v>
      </c>
      <c r="D1" t="s">
        <v>3360</v>
      </c>
      <c r="E1" t="s">
        <v>3361</v>
      </c>
      <c r="F1" t="s">
        <v>3362</v>
      </c>
      <c r="G1" t="s">
        <v>3363</v>
      </c>
      <c r="H1" t="s">
        <v>3364</v>
      </c>
    </row>
    <row r="2" spans="1:8" x14ac:dyDescent="0.25">
      <c r="A2" t="s">
        <v>225</v>
      </c>
      <c r="B2" t="s">
        <v>3365</v>
      </c>
      <c r="C2" s="4">
        <f>('Reels'!D4/('Reels'!D4+'Reels'!D7+'Reels'!D10+'Reels'!D13+'Reels'!D16+'Reels'!D19))*('Reels'!D22/('Reels'!D22+'Reels'!D25+'Reels'!D28+'Reels'!D31+'Reels'!D34+'Reels'!D37+'Reels'!D40))*('Reels'!D44/('Reels'!D44+'Reels'!D47+'Reels'!D50+'Reels'!D53+'Reels'!D56+'Reels'!D59))</f>
        <v>0.02454545454545454</v>
      </c>
      <c r="D2">
        <f>IF(OR('Reels'!D2="attack",'Reels'!D2="magic"),CHOOSE('Reels'!D3+1,'Slots'!D29,'Slots'!D30,'Slots'!D31,'Slots'!D32,'Slots'!D33),0)+IF(OR('Reels'!D20="attack",'Reels'!D20="magic"),CHOOSE('Reels'!D21+1,'Slots'!D29,'Slots'!D30,'Slots'!D31,'Slots'!D32,'Slots'!D33),0)+IF(OR('Reels'!D42="attack",'Reels'!D42="magic"),CHOOSE('Reels'!D43+1,'Slots'!D29,'Slots'!D30,'Slots'!D31,'Slots'!D32,'Slots'!D33),0)</f>
        <v>6</v>
      </c>
      <c r="E2">
        <f>IF('Reels'!D2="heal",'Reels'!D3*'Slots'!D24,0)+IF('Reels'!D20="heal",'Reels'!D21*'Slots'!D24,0)+IF('Reels'!D42="heal",'Reels'!D43*'Slots'!D24,0)</f>
        <v>0</v>
      </c>
      <c r="F2">
        <f>IF('Reels'!D2="block",'Reels'!D3*'Slots'!D25,0)+IF('Reels'!D20="block",'Reels'!D21*'Slots'!D25,0)+IF('Reels'!D42="block",'Reels'!D43*'Slots'!D25,0)</f>
        <v>0</v>
      </c>
      <c r="G2" t="b">
        <f>AND('Reels'!D2&lt;&gt;"blank",'Reels'!D2&lt;&gt;"class",'Reels'!D2='Reels'!D42,'Reels'!D3='Reels'!D43,OR('Reels'!D20="class",AND('Reels'!D20='Reels'!D2,'Reels'!D21='Reels'!D3)))</f>
        <v>1</v>
      </c>
      <c r="H2">
        <f>IF(G2,C2,0)</f>
        <v>0.02454545454545454</v>
      </c>
    </row>
    <row r="3" spans="1:8" x14ac:dyDescent="0.25">
      <c r="A3" t="s">
        <v>225</v>
      </c>
      <c r="B3" t="s">
        <v>3366</v>
      </c>
      <c r="C3" s="4">
        <f>('Reels'!D4/('Reels'!D4+'Reels'!D7+'Reels'!D10+'Reels'!D13+'Reels'!D16+'Reels'!D19))*('Reels'!D22/('Reels'!D22+'Reels'!D25+'Reels'!D28+'Reels'!D31+'Reels'!D34+'Reels'!D37+'Reels'!D40))*('Reels'!D47/('Reels'!D44+'Reels'!D47+'Reels'!D50+'Reels'!D53+'Reels'!D56+'Reels'!D59))</f>
        <v>0.013636363636363634</v>
      </c>
      <c r="D3">
        <f>IF(OR('Reels'!D2="attack",'Reels'!D2="magic"),CHOOSE('Reels'!D3+1,'Slots'!D29,'Slots'!D30,'Slots'!D31,'Slots'!D32,'Slots'!D33),0)+IF(OR('Reels'!D20="attack",'Reels'!D20="magic"),CHOOSE('Reels'!D21+1,'Slots'!D29,'Slots'!D30,'Slots'!D31,'Slots'!D32,'Slots'!D33),0)+IF(OR('Reels'!D45="attack",'Reels'!D45="magic"),CHOOSE('Reels'!D46+1,'Slots'!D29,'Slots'!D30,'Slots'!D31,'Slots'!D32,'Slots'!D33),0)</f>
        <v>8</v>
      </c>
      <c r="E3">
        <f>IF('Reels'!D2="heal",'Reels'!D3*'Slots'!D24,0)+IF('Reels'!D20="heal",'Reels'!D21*'Slots'!D24,0)+IF('Reels'!D45="heal",'Reels'!D46*'Slots'!D24,0)</f>
        <v>0</v>
      </c>
      <c r="F3">
        <f>IF('Reels'!D2="block",'Reels'!D3*'Slots'!D25,0)+IF('Reels'!D20="block",'Reels'!D21*'Slots'!D25,0)+IF('Reels'!D45="block",'Reels'!D46*'Slots'!D25,0)</f>
        <v>0</v>
      </c>
      <c r="G3" t="b">
        <f>AND('Reels'!D2&lt;&gt;"blank",'Reels'!D2&lt;&gt;"class",'Reels'!D2='Reels'!D45,'Reels'!D3='Reels'!D46,OR('Reels'!D20="class",AND('Reels'!D20='Reels'!D2,'Reels'!D21='Reels'!D3)))</f>
        <v>0</v>
      </c>
      <c r="H3">
        <f>IF(G3,C3,0)</f>
        <v>0</v>
      </c>
    </row>
    <row r="4" spans="1:8" x14ac:dyDescent="0.25">
      <c r="A4" t="s">
        <v>225</v>
      </c>
      <c r="B4" t="s">
        <v>3367</v>
      </c>
      <c r="C4" s="4">
        <f>('Reels'!D4/('Reels'!D4+'Reels'!D7+'Reels'!D10+'Reels'!D13+'Reels'!D16+'Reels'!D19))*('Reels'!D22/('Reels'!D22+'Reels'!D25+'Reels'!D28+'Reels'!D31+'Reels'!D34+'Reels'!D37+'Reels'!D40))*('Reels'!D50/('Reels'!D44+'Reels'!D47+'Reels'!D50+'Reels'!D53+'Reels'!D56+'Reels'!D59))</f>
        <v>0.01909090909090909</v>
      </c>
      <c r="D4">
        <f>IF(OR('Reels'!D2="attack",'Reels'!D2="magic"),CHOOSE('Reels'!D3+1,'Slots'!D29,'Slots'!D30,'Slots'!D31,'Slots'!D32,'Slots'!D33),0)+IF(OR('Reels'!D20="attack",'Reels'!D20="magic"),CHOOSE('Reels'!D21+1,'Slots'!D29,'Slots'!D30,'Slots'!D31,'Slots'!D32,'Slots'!D33),0)+IF(OR('Reels'!D48="attack",'Reels'!D48="magic"),CHOOSE('Reels'!D49+1,'Slots'!D29,'Slots'!D30,'Slots'!D31,'Slots'!D32,'Slots'!D33),0)</f>
        <v>4</v>
      </c>
      <c r="E4">
        <f>IF('Reels'!D2="heal",'Reels'!D3*'Slots'!D24,0)+IF('Reels'!D20="heal",'Reels'!D21*'Slots'!D24,0)+IF('Reels'!D48="heal",'Reels'!D49*'Slots'!D24,0)</f>
        <v>0</v>
      </c>
      <c r="F4">
        <f>IF('Reels'!D2="block",'Reels'!D3*'Slots'!D25,0)+IF('Reels'!D20="block",'Reels'!D21*'Slots'!D25,0)+IF('Reels'!D48="block",'Reels'!D49*'Slots'!D25,0)</f>
        <v>1</v>
      </c>
      <c r="G4" t="b">
        <f>AND('Reels'!D2&lt;&gt;"blank",'Reels'!D2&lt;&gt;"class",'Reels'!D2='Reels'!D48,'Reels'!D3='Reels'!D49,OR('Reels'!D20="class",AND('Reels'!D20='Reels'!D2,'Reels'!D21='Reels'!D3)))</f>
        <v>0</v>
      </c>
      <c r="H4">
        <f>IF(G4,C4,0)</f>
        <v>0</v>
      </c>
    </row>
    <row r="5" spans="1:8" x14ac:dyDescent="0.25">
      <c r="A5" t="s">
        <v>225</v>
      </c>
      <c r="B5" t="s">
        <v>3368</v>
      </c>
      <c r="C5" s="4">
        <f>('Reels'!D4/('Reels'!D4+'Reels'!D7+'Reels'!D10+'Reels'!D13+'Reels'!D16+'Reels'!D19))*('Reels'!D22/('Reels'!D22+'Reels'!D25+'Reels'!D28+'Reels'!D31+'Reels'!D34+'Reels'!D37+'Reels'!D40))*('Reels'!D53/('Reels'!D44+'Reels'!D47+'Reels'!D50+'Reels'!D53+'Reels'!D56+'Reels'!D59))</f>
        <v>0.00818181818181818</v>
      </c>
      <c r="D5">
        <f>IF(OR('Reels'!D2="attack",'Reels'!D2="magic"),CHOOSE('Reels'!D3+1,'Slots'!D29,'Slots'!D30,'Slots'!D31,'Slots'!D32,'Slots'!D33),0)+IF(OR('Reels'!D20="attack",'Reels'!D20="magic"),CHOOSE('Reels'!D21+1,'Slots'!D29,'Slots'!D30,'Slots'!D31,'Slots'!D32,'Slots'!D33),0)+IF(OR('Reels'!D51="attack",'Reels'!D51="magic"),CHOOSE('Reels'!D52+1,'Slots'!D29,'Slots'!D30,'Slots'!D31,'Slots'!D32,'Slots'!D33),0)</f>
        <v>4</v>
      </c>
      <c r="E5">
        <f>IF('Reels'!D2="heal",'Reels'!D3*'Slots'!D24,0)+IF('Reels'!D20="heal",'Reels'!D21*'Slots'!D24,0)+IF('Reels'!D51="heal",'Reels'!D52*'Slots'!D24,0)</f>
        <v>0</v>
      </c>
      <c r="F5">
        <f>IF('Reels'!D2="block",'Reels'!D3*'Slots'!D25,0)+IF('Reels'!D20="block",'Reels'!D21*'Slots'!D25,0)+IF('Reels'!D51="block",'Reels'!D52*'Slots'!D25,0)</f>
        <v>2</v>
      </c>
      <c r="G5" t="b">
        <f>AND('Reels'!D2&lt;&gt;"blank",'Reels'!D2&lt;&gt;"class",'Reels'!D2='Reels'!D51,'Reels'!D3='Reels'!D52,OR('Reels'!D20="class",AND('Reels'!D20='Reels'!D2,'Reels'!D21='Reels'!D3)))</f>
        <v>0</v>
      </c>
      <c r="H5">
        <f>IF(G5,C5,0)</f>
        <v>0</v>
      </c>
    </row>
    <row r="6" spans="1:8" x14ac:dyDescent="0.25">
      <c r="A6" t="s">
        <v>225</v>
      </c>
      <c r="B6" t="s">
        <v>3369</v>
      </c>
      <c r="C6" s="4">
        <f>('Reels'!D4/('Reels'!D4+'Reels'!D7+'Reels'!D10+'Reels'!D13+'Reels'!D16+'Reels'!D19))*('Reels'!D22/('Reels'!D22+'Reels'!D25+'Reels'!D28+'Reels'!D31+'Reels'!D34+'Reels'!D37+'Reels'!D40))*('Reels'!D56/('Reels'!D44+'Reels'!D47+'Reels'!D50+'Reels'!D53+'Reels'!D56+'Reels'!D59))</f>
        <v>0.0027272727272727266</v>
      </c>
      <c r="D6">
        <f>IF(OR('Reels'!D2="attack",'Reels'!D2="magic"),CHOOSE('Reels'!D3+1,'Slots'!D29,'Slots'!D30,'Slots'!D31,'Slots'!D32,'Slots'!D33),0)+IF(OR('Reels'!D20="attack",'Reels'!D20="magic"),CHOOSE('Reels'!D21+1,'Slots'!D29,'Slots'!D30,'Slots'!D31,'Slots'!D32,'Slots'!D33),0)+IF(OR('Reels'!D54="attack",'Reels'!D54="magic"),CHOOSE('Reels'!D55+1,'Slots'!D29,'Slots'!D30,'Slots'!D31,'Slots'!D32,'Slots'!D33),0)</f>
        <v>4</v>
      </c>
      <c r="E6">
        <f>IF('Reels'!D2="heal",'Reels'!D3*'Slots'!D24,0)+IF('Reels'!D20="heal",'Reels'!D21*'Slots'!D24,0)+IF('Reels'!D54="heal",'Reels'!D55*'Slots'!D24,0)</f>
        <v>2</v>
      </c>
      <c r="F6">
        <f>IF('Reels'!D2="block",'Reels'!D3*'Slots'!D25,0)+IF('Reels'!D20="block",'Reels'!D21*'Slots'!D25,0)+IF('Reels'!D54="block",'Reels'!D55*'Slots'!D25,0)</f>
        <v>0</v>
      </c>
      <c r="G6" t="b">
        <f>AND('Reels'!D2&lt;&gt;"blank",'Reels'!D2&lt;&gt;"class",'Reels'!D2='Reels'!D54,'Reels'!D3='Reels'!D55,OR('Reels'!D20="class",AND('Reels'!D20='Reels'!D2,'Reels'!D21='Reels'!D3)))</f>
        <v>0</v>
      </c>
      <c r="H6">
        <f>IF(G6,C6,0)</f>
        <v>0</v>
      </c>
    </row>
    <row r="7" spans="1:8" x14ac:dyDescent="0.25">
      <c r="A7" t="s">
        <v>225</v>
      </c>
      <c r="B7" t="s">
        <v>3370</v>
      </c>
      <c r="C7" s="4">
        <f>('Reels'!D4/('Reels'!D4+'Reels'!D7+'Reels'!D10+'Reels'!D13+'Reels'!D16+'Reels'!D19))*('Reels'!D22/('Reels'!D22+'Reels'!D25+'Reels'!D28+'Reels'!D31+'Reels'!D34+'Reels'!D37+'Reels'!D40))*('Reels'!D59/('Reels'!D44+'Reels'!D47+'Reels'!D50+'Reels'!D53+'Reels'!D56+'Reels'!D59))</f>
        <v>0.013636363636363634</v>
      </c>
      <c r="D7">
        <f>IF(OR('Reels'!D2="attack",'Reels'!D2="magic"),CHOOSE('Reels'!D3+1,'Slots'!D29,'Slots'!D30,'Slots'!D31,'Slots'!D32,'Slots'!D33),0)+IF(OR('Reels'!D20="attack",'Reels'!D20="magic"),CHOOSE('Reels'!D21+1,'Slots'!D29,'Slots'!D30,'Slots'!D31,'Slots'!D32,'Slots'!D33),0)+IF(OR('Reels'!D57="attack",'Reels'!D57="magic"),CHOOSE('Reels'!D58+1,'Slots'!D29,'Slots'!D30,'Slots'!D31,'Slots'!D32,'Slots'!D33),0)</f>
        <v>4</v>
      </c>
      <c r="E7">
        <f>IF('Reels'!D2="heal",'Reels'!D3*'Slots'!D24,0)+IF('Reels'!D20="heal",'Reels'!D21*'Slots'!D24,0)+IF('Reels'!D57="heal",'Reels'!D58*'Slots'!D24,0)</f>
        <v>0</v>
      </c>
      <c r="F7">
        <f>IF('Reels'!D2="block",'Reels'!D3*'Slots'!D25,0)+IF('Reels'!D20="block",'Reels'!D21*'Slots'!D25,0)+IF('Reels'!D57="block",'Reels'!D58*'Slots'!D25,0)</f>
        <v>0</v>
      </c>
      <c r="G7" t="b">
        <f>AND('Reels'!D2&lt;&gt;"blank",'Reels'!D2&lt;&gt;"class",'Reels'!D2='Reels'!D57,'Reels'!D3='Reels'!D58,OR('Reels'!D20="class",AND('Reels'!D20='Reels'!D2,'Reels'!D21='Reels'!D3)))</f>
        <v>0</v>
      </c>
      <c r="H7">
        <f>IF(G7,C7,0)</f>
        <v>0</v>
      </c>
    </row>
    <row r="8" spans="1:8" x14ac:dyDescent="0.25">
      <c r="A8" t="s">
        <v>225</v>
      </c>
      <c r="B8" t="s">
        <v>3371</v>
      </c>
      <c r="C8" s="4">
        <f>('Reels'!D4/('Reels'!D4+'Reels'!D7+'Reels'!D10+'Reels'!D13+'Reels'!D16+'Reels'!D19))*('Reels'!D25/('Reels'!D22+'Reels'!D25+'Reels'!D28+'Reels'!D31+'Reels'!D34+'Reels'!D37+'Reels'!D40))*('Reels'!D44/('Reels'!D44+'Reels'!D47+'Reels'!D50+'Reels'!D53+'Reels'!D56+'Reels'!D59))</f>
        <v>0.013636363636363637</v>
      </c>
      <c r="D8">
        <f>IF(OR('Reels'!D2="attack",'Reels'!D2="magic"),CHOOSE('Reels'!D3+1,'Slots'!D29,'Slots'!D30,'Slots'!D31,'Slots'!D32,'Slots'!D33),0)+IF(OR('Reels'!D23="attack",'Reels'!D23="magic"),CHOOSE('Reels'!D24+1,'Slots'!D29,'Slots'!D30,'Slots'!D31,'Slots'!D32,'Slots'!D33),0)+IF(OR('Reels'!D42="attack",'Reels'!D42="magic"),CHOOSE('Reels'!D43+1,'Slots'!D29,'Slots'!D30,'Slots'!D31,'Slots'!D32,'Slots'!D33),0)</f>
        <v>8</v>
      </c>
      <c r="E8">
        <f>IF('Reels'!D2="heal",'Reels'!D3*'Slots'!D24,0)+IF('Reels'!D23="heal",'Reels'!D24*'Slots'!D24,0)+IF('Reels'!D42="heal",'Reels'!D43*'Slots'!D24,0)</f>
        <v>0</v>
      </c>
      <c r="F8">
        <f>IF('Reels'!D2="block",'Reels'!D3*'Slots'!D25,0)+IF('Reels'!D23="block",'Reels'!D24*'Slots'!D25,0)+IF('Reels'!D42="block",'Reels'!D43*'Slots'!D25,0)</f>
        <v>0</v>
      </c>
      <c r="G8" t="b">
        <f>AND('Reels'!D2&lt;&gt;"blank",'Reels'!D2&lt;&gt;"class",'Reels'!D2='Reels'!D42,'Reels'!D3='Reels'!D43,OR('Reels'!D23="class",AND('Reels'!D23='Reels'!D2,'Reels'!D24='Reels'!D3)))</f>
        <v>0</v>
      </c>
      <c r="H8">
        <f>IF(G8,C8,0)</f>
        <v>0</v>
      </c>
    </row>
    <row r="9" spans="1:8" x14ac:dyDescent="0.25">
      <c r="A9" t="s">
        <v>225</v>
      </c>
      <c r="B9" t="s">
        <v>3372</v>
      </c>
      <c r="C9" s="4">
        <f>('Reels'!D4/('Reels'!D4+'Reels'!D7+'Reels'!D10+'Reels'!D13+'Reels'!D16+'Reels'!D19))*('Reels'!D25/('Reels'!D22+'Reels'!D25+'Reels'!D28+'Reels'!D31+'Reels'!D34+'Reels'!D37+'Reels'!D40))*('Reels'!D47/('Reels'!D44+'Reels'!D47+'Reels'!D50+'Reels'!D53+'Reels'!D56+'Reels'!D59))</f>
        <v>0.007575757575757577</v>
      </c>
      <c r="D9">
        <f>IF(OR('Reels'!D2="attack",'Reels'!D2="magic"),CHOOSE('Reels'!D3+1,'Slots'!D29,'Slots'!D30,'Slots'!D31,'Slots'!D32,'Slots'!D33),0)+IF(OR('Reels'!D23="attack",'Reels'!D23="magic"),CHOOSE('Reels'!D24+1,'Slots'!D29,'Slots'!D30,'Slots'!D31,'Slots'!D32,'Slots'!D33),0)+IF(OR('Reels'!D45="attack",'Reels'!D45="magic"),CHOOSE('Reels'!D46+1,'Slots'!D29,'Slots'!D30,'Slots'!D31,'Slots'!D32,'Slots'!D33),0)</f>
        <v>10</v>
      </c>
      <c r="E9">
        <f>IF('Reels'!D2="heal",'Reels'!D3*'Slots'!D24,0)+IF('Reels'!D23="heal",'Reels'!D24*'Slots'!D24,0)+IF('Reels'!D45="heal",'Reels'!D46*'Slots'!D24,0)</f>
        <v>0</v>
      </c>
      <c r="F9">
        <f>IF('Reels'!D2="block",'Reels'!D3*'Slots'!D25,0)+IF('Reels'!D23="block",'Reels'!D24*'Slots'!D25,0)+IF('Reels'!D45="block",'Reels'!D46*'Slots'!D25,0)</f>
        <v>0</v>
      </c>
      <c r="G9" t="b">
        <f>AND('Reels'!D2&lt;&gt;"blank",'Reels'!D2&lt;&gt;"class",'Reels'!D2='Reels'!D45,'Reels'!D3='Reels'!D46,OR('Reels'!D23="class",AND('Reels'!D23='Reels'!D2,'Reels'!D24='Reels'!D3)))</f>
        <v>0</v>
      </c>
      <c r="H9">
        <f>IF(G9,C9,0)</f>
        <v>0</v>
      </c>
    </row>
    <row r="10" spans="1:8" x14ac:dyDescent="0.25">
      <c r="A10" t="s">
        <v>225</v>
      </c>
      <c r="B10" t="s">
        <v>3373</v>
      </c>
      <c r="C10" s="4">
        <f>('Reels'!D4/('Reels'!D4+'Reels'!D7+'Reels'!D10+'Reels'!D13+'Reels'!D16+'Reels'!D19))*('Reels'!D25/('Reels'!D22+'Reels'!D25+'Reels'!D28+'Reels'!D31+'Reels'!D34+'Reels'!D37+'Reels'!D40))*('Reels'!D50/('Reels'!D44+'Reels'!D47+'Reels'!D50+'Reels'!D53+'Reels'!D56+'Reels'!D59))</f>
        <v>0.010606060606060607</v>
      </c>
      <c r="D10">
        <f>IF(OR('Reels'!D2="attack",'Reels'!D2="magic"),CHOOSE('Reels'!D3+1,'Slots'!D29,'Slots'!D30,'Slots'!D31,'Slots'!D32,'Slots'!D33),0)+IF(OR('Reels'!D23="attack",'Reels'!D23="magic"),CHOOSE('Reels'!D24+1,'Slots'!D29,'Slots'!D30,'Slots'!D31,'Slots'!D32,'Slots'!D33),0)+IF(OR('Reels'!D48="attack",'Reels'!D48="magic"),CHOOSE('Reels'!D49+1,'Slots'!D29,'Slots'!D30,'Slots'!D31,'Slots'!D32,'Slots'!D33),0)</f>
        <v>6</v>
      </c>
      <c r="E10">
        <f>IF('Reels'!D2="heal",'Reels'!D3*'Slots'!D24,0)+IF('Reels'!D23="heal",'Reels'!D24*'Slots'!D24,0)+IF('Reels'!D48="heal",'Reels'!D49*'Slots'!D24,0)</f>
        <v>0</v>
      </c>
      <c r="F10">
        <f>IF('Reels'!D2="block",'Reels'!D3*'Slots'!D25,0)+IF('Reels'!D23="block",'Reels'!D24*'Slots'!D25,0)+IF('Reels'!D48="block",'Reels'!D49*'Slots'!D25,0)</f>
        <v>1</v>
      </c>
      <c r="G10" t="b">
        <f>AND('Reels'!D2&lt;&gt;"blank",'Reels'!D2&lt;&gt;"class",'Reels'!D2='Reels'!D48,'Reels'!D3='Reels'!D49,OR('Reels'!D23="class",AND('Reels'!D23='Reels'!D2,'Reels'!D24='Reels'!D3)))</f>
        <v>0</v>
      </c>
      <c r="H10">
        <f>IF(G10,C10,0)</f>
        <v>0</v>
      </c>
    </row>
    <row r="11" spans="1:8" x14ac:dyDescent="0.25">
      <c r="A11" t="s">
        <v>225</v>
      </c>
      <c r="B11" t="s">
        <v>3374</v>
      </c>
      <c r="C11" s="4">
        <f>('Reels'!D4/('Reels'!D4+'Reels'!D7+'Reels'!D10+'Reels'!D13+'Reels'!D16+'Reels'!D19))*('Reels'!D25/('Reels'!D22+'Reels'!D25+'Reels'!D28+'Reels'!D31+'Reels'!D34+'Reels'!D37+'Reels'!D40))*('Reels'!D53/('Reels'!D44+'Reels'!D47+'Reels'!D50+'Reels'!D53+'Reels'!D56+'Reels'!D59))</f>
        <v>0.004545454545454545</v>
      </c>
      <c r="D11">
        <f>IF(OR('Reels'!D2="attack",'Reels'!D2="magic"),CHOOSE('Reels'!D3+1,'Slots'!D29,'Slots'!D30,'Slots'!D31,'Slots'!D32,'Slots'!D33),0)+IF(OR('Reels'!D23="attack",'Reels'!D23="magic"),CHOOSE('Reels'!D24+1,'Slots'!D29,'Slots'!D30,'Slots'!D31,'Slots'!D32,'Slots'!D33),0)+IF(OR('Reels'!D51="attack",'Reels'!D51="magic"),CHOOSE('Reels'!D52+1,'Slots'!D29,'Slots'!D30,'Slots'!D31,'Slots'!D32,'Slots'!D33),0)</f>
        <v>6</v>
      </c>
      <c r="E11">
        <f>IF('Reels'!D2="heal",'Reels'!D3*'Slots'!D24,0)+IF('Reels'!D23="heal",'Reels'!D24*'Slots'!D24,0)+IF('Reels'!D51="heal",'Reels'!D52*'Slots'!D24,0)</f>
        <v>0</v>
      </c>
      <c r="F11">
        <f>IF('Reels'!D2="block",'Reels'!D3*'Slots'!D25,0)+IF('Reels'!D23="block",'Reels'!D24*'Slots'!D25,0)+IF('Reels'!D51="block",'Reels'!D52*'Slots'!D25,0)</f>
        <v>2</v>
      </c>
      <c r="G11" t="b">
        <f>AND('Reels'!D2&lt;&gt;"blank",'Reels'!D2&lt;&gt;"class",'Reels'!D2='Reels'!D51,'Reels'!D3='Reels'!D52,OR('Reels'!D23="class",AND('Reels'!D23='Reels'!D2,'Reels'!D24='Reels'!D3)))</f>
        <v>0</v>
      </c>
      <c r="H11">
        <f>IF(G11,C11,0)</f>
        <v>0</v>
      </c>
    </row>
    <row r="12" spans="1:8" x14ac:dyDescent="0.25">
      <c r="A12" t="s">
        <v>225</v>
      </c>
      <c r="B12" t="s">
        <v>3375</v>
      </c>
      <c r="C12" s="4">
        <f>('Reels'!D4/('Reels'!D4+'Reels'!D7+'Reels'!D10+'Reels'!D13+'Reels'!D16+'Reels'!D19))*('Reels'!D25/('Reels'!D22+'Reels'!D25+'Reels'!D28+'Reels'!D31+'Reels'!D34+'Reels'!D37+'Reels'!D40))*('Reels'!D56/('Reels'!D44+'Reels'!D47+'Reels'!D50+'Reels'!D53+'Reels'!D56+'Reels'!D59))</f>
        <v>0.0015151515151515152</v>
      </c>
      <c r="D12">
        <f>IF(OR('Reels'!D2="attack",'Reels'!D2="magic"),CHOOSE('Reels'!D3+1,'Slots'!D29,'Slots'!D30,'Slots'!D31,'Slots'!D32,'Slots'!D33),0)+IF(OR('Reels'!D23="attack",'Reels'!D23="magic"),CHOOSE('Reels'!D24+1,'Slots'!D29,'Slots'!D30,'Slots'!D31,'Slots'!D32,'Slots'!D33),0)+IF(OR('Reels'!D54="attack",'Reels'!D54="magic"),CHOOSE('Reels'!D55+1,'Slots'!D29,'Slots'!D30,'Slots'!D31,'Slots'!D32,'Slots'!D33),0)</f>
        <v>6</v>
      </c>
      <c r="E12">
        <f>IF('Reels'!D2="heal",'Reels'!D3*'Slots'!D24,0)+IF('Reels'!D23="heal",'Reels'!D24*'Slots'!D24,0)+IF('Reels'!D54="heal",'Reels'!D55*'Slots'!D24,0)</f>
        <v>2</v>
      </c>
      <c r="F12">
        <f>IF('Reels'!D2="block",'Reels'!D3*'Slots'!D25,0)+IF('Reels'!D23="block",'Reels'!D24*'Slots'!D25,0)+IF('Reels'!D54="block",'Reels'!D55*'Slots'!D25,0)</f>
        <v>0</v>
      </c>
      <c r="G12" t="b">
        <f>AND('Reels'!D2&lt;&gt;"blank",'Reels'!D2&lt;&gt;"class",'Reels'!D2='Reels'!D54,'Reels'!D3='Reels'!D55,OR('Reels'!D23="class",AND('Reels'!D23='Reels'!D2,'Reels'!D24='Reels'!D3)))</f>
        <v>0</v>
      </c>
      <c r="H12">
        <f>IF(G12,C12,0)</f>
        <v>0</v>
      </c>
    </row>
    <row r="13" spans="1:8" x14ac:dyDescent="0.25">
      <c r="A13" t="s">
        <v>225</v>
      </c>
      <c r="B13" t="s">
        <v>3376</v>
      </c>
      <c r="C13" s="4">
        <f>('Reels'!D4/('Reels'!D4+'Reels'!D7+'Reels'!D10+'Reels'!D13+'Reels'!D16+'Reels'!D19))*('Reels'!D25/('Reels'!D22+'Reels'!D25+'Reels'!D28+'Reels'!D31+'Reels'!D34+'Reels'!D37+'Reels'!D40))*('Reels'!D59/('Reels'!D44+'Reels'!D47+'Reels'!D50+'Reels'!D53+'Reels'!D56+'Reels'!D59))</f>
        <v>0.007575757575757577</v>
      </c>
      <c r="D13">
        <f>IF(OR('Reels'!D2="attack",'Reels'!D2="magic"),CHOOSE('Reels'!D3+1,'Slots'!D29,'Slots'!D30,'Slots'!D31,'Slots'!D32,'Slots'!D33),0)+IF(OR('Reels'!D23="attack",'Reels'!D23="magic"),CHOOSE('Reels'!D24+1,'Slots'!D29,'Slots'!D30,'Slots'!D31,'Slots'!D32,'Slots'!D33),0)+IF(OR('Reels'!D57="attack",'Reels'!D57="magic"),CHOOSE('Reels'!D58+1,'Slots'!D29,'Slots'!D30,'Slots'!D31,'Slots'!D32,'Slots'!D33),0)</f>
        <v>6</v>
      </c>
      <c r="E13">
        <f>IF('Reels'!D2="heal",'Reels'!D3*'Slots'!D24,0)+IF('Reels'!D23="heal",'Reels'!D24*'Slots'!D24,0)+IF('Reels'!D57="heal",'Reels'!D58*'Slots'!D24,0)</f>
        <v>0</v>
      </c>
      <c r="F13">
        <f>IF('Reels'!D2="block",'Reels'!D3*'Slots'!D25,0)+IF('Reels'!D23="block",'Reels'!D24*'Slots'!D25,0)+IF('Reels'!D57="block",'Reels'!D58*'Slots'!D25,0)</f>
        <v>0</v>
      </c>
      <c r="G13" t="b">
        <f>AND('Reels'!D2&lt;&gt;"blank",'Reels'!D2&lt;&gt;"class",'Reels'!D2='Reels'!D57,'Reels'!D3='Reels'!D58,OR('Reels'!D23="class",AND('Reels'!D23='Reels'!D2,'Reels'!D24='Reels'!D3)))</f>
        <v>0</v>
      </c>
      <c r="H13">
        <f>IF(G13,C13,0)</f>
        <v>0</v>
      </c>
    </row>
    <row r="14" spans="1:8" x14ac:dyDescent="0.25">
      <c r="A14" t="s">
        <v>225</v>
      </c>
      <c r="B14" t="s">
        <v>3377</v>
      </c>
      <c r="C14" s="4">
        <f>('Reels'!D4/('Reels'!D4+'Reels'!D7+'Reels'!D10+'Reels'!D13+'Reels'!D16+'Reels'!D19))*('Reels'!D28/('Reels'!D22+'Reels'!D25+'Reels'!D28+'Reels'!D31+'Reels'!D34+'Reels'!D37+'Reels'!D40))*('Reels'!D44/('Reels'!D44+'Reels'!D47+'Reels'!D50+'Reels'!D53+'Reels'!D56+'Reels'!D59))</f>
        <v>0.019090909090909092</v>
      </c>
      <c r="D14">
        <f>IF(OR('Reels'!D2="attack",'Reels'!D2="magic"),CHOOSE('Reels'!D3+1,'Slots'!D29,'Slots'!D30,'Slots'!D31,'Slots'!D32,'Slots'!D33),0)+IF(OR('Reels'!D26="attack",'Reels'!D26="magic"),CHOOSE('Reels'!D27+1,'Slots'!D29,'Slots'!D30,'Slots'!D31,'Slots'!D32,'Slots'!D33),0)+IF(OR('Reels'!D42="attack",'Reels'!D42="magic"),CHOOSE('Reels'!D43+1,'Slots'!D29,'Slots'!D30,'Slots'!D31,'Slots'!D32,'Slots'!D33),0)</f>
        <v>4</v>
      </c>
      <c r="E14">
        <f>IF('Reels'!D2="heal",'Reels'!D3*'Slots'!D24,0)+IF('Reels'!D26="heal",'Reels'!D27*'Slots'!D24,0)+IF('Reels'!D42="heal",'Reels'!D43*'Slots'!D24,0)</f>
        <v>0</v>
      </c>
      <c r="F14">
        <f>IF('Reels'!D2="block",'Reels'!D3*'Slots'!D25,0)+IF('Reels'!D26="block",'Reels'!D27*'Slots'!D25,0)+IF('Reels'!D42="block",'Reels'!D43*'Slots'!D25,0)</f>
        <v>1</v>
      </c>
      <c r="G14" t="b">
        <f>AND('Reels'!D2&lt;&gt;"blank",'Reels'!D2&lt;&gt;"class",'Reels'!D2='Reels'!D42,'Reels'!D3='Reels'!D43,OR('Reels'!D26="class",AND('Reels'!D26='Reels'!D2,'Reels'!D27='Reels'!D3)))</f>
        <v>0</v>
      </c>
      <c r="H14">
        <f>IF(G14,C14,0)</f>
        <v>0</v>
      </c>
    </row>
    <row r="15" spans="1:8" x14ac:dyDescent="0.25">
      <c r="A15" t="s">
        <v>225</v>
      </c>
      <c r="B15" t="s">
        <v>3378</v>
      </c>
      <c r="C15" s="4">
        <f>('Reels'!D4/('Reels'!D4+'Reels'!D7+'Reels'!D10+'Reels'!D13+'Reels'!D16+'Reels'!D19))*('Reels'!D28/('Reels'!D22+'Reels'!D25+'Reels'!D28+'Reels'!D31+'Reels'!D34+'Reels'!D37+'Reels'!D40))*('Reels'!D47/('Reels'!D44+'Reels'!D47+'Reels'!D50+'Reels'!D53+'Reels'!D56+'Reels'!D59))</f>
        <v>0.010606060606060608</v>
      </c>
      <c r="D15">
        <f>IF(OR('Reels'!D2="attack",'Reels'!D2="magic"),CHOOSE('Reels'!D3+1,'Slots'!D29,'Slots'!D30,'Slots'!D31,'Slots'!D32,'Slots'!D33),0)+IF(OR('Reels'!D26="attack",'Reels'!D26="magic"),CHOOSE('Reels'!D27+1,'Slots'!D29,'Slots'!D30,'Slots'!D31,'Slots'!D32,'Slots'!D33),0)+IF(OR('Reels'!D45="attack",'Reels'!D45="magic"),CHOOSE('Reels'!D46+1,'Slots'!D29,'Slots'!D30,'Slots'!D31,'Slots'!D32,'Slots'!D33),0)</f>
        <v>6</v>
      </c>
      <c r="E15">
        <f>IF('Reels'!D2="heal",'Reels'!D3*'Slots'!D24,0)+IF('Reels'!D26="heal",'Reels'!D27*'Slots'!D24,0)+IF('Reels'!D45="heal",'Reels'!D46*'Slots'!D24,0)</f>
        <v>0</v>
      </c>
      <c r="F15">
        <f>IF('Reels'!D2="block",'Reels'!D3*'Slots'!D25,0)+IF('Reels'!D26="block",'Reels'!D27*'Slots'!D25,0)+IF('Reels'!D45="block",'Reels'!D46*'Slots'!D25,0)</f>
        <v>1</v>
      </c>
      <c r="G15" t="b">
        <f>AND('Reels'!D2&lt;&gt;"blank",'Reels'!D2&lt;&gt;"class",'Reels'!D2='Reels'!D45,'Reels'!D3='Reels'!D46,OR('Reels'!D26="class",AND('Reels'!D26='Reels'!D2,'Reels'!D27='Reels'!D3)))</f>
        <v>0</v>
      </c>
      <c r="H15">
        <f>IF(G15,C15,0)</f>
        <v>0</v>
      </c>
    </row>
    <row r="16" spans="1:8" x14ac:dyDescent="0.25">
      <c r="A16" t="s">
        <v>225</v>
      </c>
      <c r="B16" t="s">
        <v>3379</v>
      </c>
      <c r="C16" s="4">
        <f>('Reels'!D4/('Reels'!D4+'Reels'!D7+'Reels'!D10+'Reels'!D13+'Reels'!D16+'Reels'!D19))*('Reels'!D28/('Reels'!D22+'Reels'!D25+'Reels'!D28+'Reels'!D31+'Reels'!D34+'Reels'!D37+'Reels'!D40))*('Reels'!D50/('Reels'!D44+'Reels'!D47+'Reels'!D50+'Reels'!D53+'Reels'!D56+'Reels'!D59))</f>
        <v>0.01484848484848485</v>
      </c>
      <c r="D16">
        <f>IF(OR('Reels'!D2="attack",'Reels'!D2="magic"),CHOOSE('Reels'!D3+1,'Slots'!D29,'Slots'!D30,'Slots'!D31,'Slots'!D32,'Slots'!D33),0)+IF(OR('Reels'!D26="attack",'Reels'!D26="magic"),CHOOSE('Reels'!D27+1,'Slots'!D29,'Slots'!D30,'Slots'!D31,'Slots'!D32,'Slots'!D33),0)+IF(OR('Reels'!D48="attack",'Reels'!D48="magic"),CHOOSE('Reels'!D49+1,'Slots'!D29,'Slots'!D30,'Slots'!D31,'Slots'!D32,'Slots'!D33),0)</f>
        <v>2</v>
      </c>
      <c r="E16">
        <f>IF('Reels'!D2="heal",'Reels'!D3*'Slots'!D24,0)+IF('Reels'!D26="heal",'Reels'!D27*'Slots'!D24,0)+IF('Reels'!D48="heal",'Reels'!D49*'Slots'!D24,0)</f>
        <v>0</v>
      </c>
      <c r="F16">
        <f>IF('Reels'!D2="block",'Reels'!D3*'Slots'!D25,0)+IF('Reels'!D26="block",'Reels'!D27*'Slots'!D25,0)+IF('Reels'!D48="block",'Reels'!D49*'Slots'!D25,0)</f>
        <v>2</v>
      </c>
      <c r="G16" t="b">
        <f>AND('Reels'!D2&lt;&gt;"blank",'Reels'!D2&lt;&gt;"class",'Reels'!D2='Reels'!D48,'Reels'!D3='Reels'!D49,OR('Reels'!D26="class",AND('Reels'!D26='Reels'!D2,'Reels'!D27='Reels'!D3)))</f>
        <v>0</v>
      </c>
      <c r="H16">
        <f>IF(G16,C16,0)</f>
        <v>0</v>
      </c>
    </row>
    <row r="17" spans="1:8" x14ac:dyDescent="0.25">
      <c r="A17" t="s">
        <v>225</v>
      </c>
      <c r="B17" t="s">
        <v>3380</v>
      </c>
      <c r="C17" s="4">
        <f>('Reels'!D4/('Reels'!D4+'Reels'!D7+'Reels'!D10+'Reels'!D13+'Reels'!D16+'Reels'!D19))*('Reels'!D28/('Reels'!D22+'Reels'!D25+'Reels'!D28+'Reels'!D31+'Reels'!D34+'Reels'!D37+'Reels'!D40))*('Reels'!D53/('Reels'!D44+'Reels'!D47+'Reels'!D50+'Reels'!D53+'Reels'!D56+'Reels'!D59))</f>
        <v>0.006363636363636364</v>
      </c>
      <c r="D17">
        <f>IF(OR('Reels'!D2="attack",'Reels'!D2="magic"),CHOOSE('Reels'!D3+1,'Slots'!D29,'Slots'!D30,'Slots'!D31,'Slots'!D32,'Slots'!D33),0)+IF(OR('Reels'!D26="attack",'Reels'!D26="magic"),CHOOSE('Reels'!D27+1,'Slots'!D29,'Slots'!D30,'Slots'!D31,'Slots'!D32,'Slots'!D33),0)+IF(OR('Reels'!D51="attack",'Reels'!D51="magic"),CHOOSE('Reels'!D52+1,'Slots'!D29,'Slots'!D30,'Slots'!D31,'Slots'!D32,'Slots'!D33),0)</f>
        <v>2</v>
      </c>
      <c r="E17">
        <f>IF('Reels'!D2="heal",'Reels'!D3*'Slots'!D24,0)+IF('Reels'!D26="heal",'Reels'!D27*'Slots'!D24,0)+IF('Reels'!D51="heal",'Reels'!D52*'Slots'!D24,0)</f>
        <v>0</v>
      </c>
      <c r="F17">
        <f>IF('Reels'!D2="block",'Reels'!D3*'Slots'!D25,0)+IF('Reels'!D26="block",'Reels'!D27*'Slots'!D25,0)+IF('Reels'!D51="block",'Reels'!D52*'Slots'!D25,0)</f>
        <v>3</v>
      </c>
      <c r="G17" t="b">
        <f>AND('Reels'!D2&lt;&gt;"blank",'Reels'!D2&lt;&gt;"class",'Reels'!D2='Reels'!D51,'Reels'!D3='Reels'!D52,OR('Reels'!D26="class",AND('Reels'!D26='Reels'!D2,'Reels'!D27='Reels'!D3)))</f>
        <v>0</v>
      </c>
      <c r="H17">
        <f>IF(G17,C17,0)</f>
        <v>0</v>
      </c>
    </row>
    <row r="18" spans="1:8" x14ac:dyDescent="0.25">
      <c r="A18" t="s">
        <v>225</v>
      </c>
      <c r="B18" t="s">
        <v>3381</v>
      </c>
      <c r="C18" s="4">
        <f>('Reels'!D4/('Reels'!D4+'Reels'!D7+'Reels'!D10+'Reels'!D13+'Reels'!D16+'Reels'!D19))*('Reels'!D28/('Reels'!D22+'Reels'!D25+'Reels'!D28+'Reels'!D31+'Reels'!D34+'Reels'!D37+'Reels'!D40))*('Reels'!D56/('Reels'!D44+'Reels'!D47+'Reels'!D50+'Reels'!D53+'Reels'!D56+'Reels'!D59))</f>
        <v>0.0021212121212121214</v>
      </c>
      <c r="D18">
        <f>IF(OR('Reels'!D2="attack",'Reels'!D2="magic"),CHOOSE('Reels'!D3+1,'Slots'!D29,'Slots'!D30,'Slots'!D31,'Slots'!D32,'Slots'!D33),0)+IF(OR('Reels'!D26="attack",'Reels'!D26="magic"),CHOOSE('Reels'!D27+1,'Slots'!D29,'Slots'!D30,'Slots'!D31,'Slots'!D32,'Slots'!D33),0)+IF(OR('Reels'!D54="attack",'Reels'!D54="magic"),CHOOSE('Reels'!D55+1,'Slots'!D29,'Slots'!D30,'Slots'!D31,'Slots'!D32,'Slots'!D33),0)</f>
        <v>2</v>
      </c>
      <c r="E18">
        <f>IF('Reels'!D2="heal",'Reels'!D3*'Slots'!D24,0)+IF('Reels'!D26="heal",'Reels'!D27*'Slots'!D24,0)+IF('Reels'!D54="heal",'Reels'!D55*'Slots'!D24,0)</f>
        <v>2</v>
      </c>
      <c r="F18">
        <f>IF('Reels'!D2="block",'Reels'!D3*'Slots'!D25,0)+IF('Reels'!D26="block",'Reels'!D27*'Slots'!D25,0)+IF('Reels'!D54="block",'Reels'!D55*'Slots'!D25,0)</f>
        <v>1</v>
      </c>
      <c r="G18" t="b">
        <f>AND('Reels'!D2&lt;&gt;"blank",'Reels'!D2&lt;&gt;"class",'Reels'!D2='Reels'!D54,'Reels'!D3='Reels'!D55,OR('Reels'!D26="class",AND('Reels'!D26='Reels'!D2,'Reels'!D27='Reels'!D3)))</f>
        <v>0</v>
      </c>
      <c r="H18">
        <f>IF(G18,C18,0)</f>
        <v>0</v>
      </c>
    </row>
    <row r="19" spans="1:8" x14ac:dyDescent="0.25">
      <c r="A19" t="s">
        <v>225</v>
      </c>
      <c r="B19" t="s">
        <v>3382</v>
      </c>
      <c r="C19" s="4">
        <f>('Reels'!D4/('Reels'!D4+'Reels'!D7+'Reels'!D10+'Reels'!D13+'Reels'!D16+'Reels'!D19))*('Reels'!D28/('Reels'!D22+'Reels'!D25+'Reels'!D28+'Reels'!D31+'Reels'!D34+'Reels'!D37+'Reels'!D40))*('Reels'!D59/('Reels'!D44+'Reels'!D47+'Reels'!D50+'Reels'!D53+'Reels'!D56+'Reels'!D59))</f>
        <v>0.010606060606060608</v>
      </c>
      <c r="D19">
        <f>IF(OR('Reels'!D2="attack",'Reels'!D2="magic"),CHOOSE('Reels'!D3+1,'Slots'!D29,'Slots'!D30,'Slots'!D31,'Slots'!D32,'Slots'!D33),0)+IF(OR('Reels'!D26="attack",'Reels'!D26="magic"),CHOOSE('Reels'!D27+1,'Slots'!D29,'Slots'!D30,'Slots'!D31,'Slots'!D32,'Slots'!D33),0)+IF(OR('Reels'!D57="attack",'Reels'!D57="magic"),CHOOSE('Reels'!D58+1,'Slots'!D29,'Slots'!D30,'Slots'!D31,'Slots'!D32,'Slots'!D33),0)</f>
        <v>2</v>
      </c>
      <c r="E19">
        <f>IF('Reels'!D2="heal",'Reels'!D3*'Slots'!D24,0)+IF('Reels'!D26="heal",'Reels'!D27*'Slots'!D24,0)+IF('Reels'!D57="heal",'Reels'!D58*'Slots'!D24,0)</f>
        <v>0</v>
      </c>
      <c r="F19">
        <f>IF('Reels'!D2="block",'Reels'!D3*'Slots'!D25,0)+IF('Reels'!D26="block",'Reels'!D27*'Slots'!D25,0)+IF('Reels'!D57="block",'Reels'!D58*'Slots'!D25,0)</f>
        <v>1</v>
      </c>
      <c r="G19" t="b">
        <f>AND('Reels'!D2&lt;&gt;"blank",'Reels'!D2&lt;&gt;"class",'Reels'!D2='Reels'!D57,'Reels'!D3='Reels'!D58,OR('Reels'!D26="class",AND('Reels'!D26='Reels'!D2,'Reels'!D27='Reels'!D3)))</f>
        <v>0</v>
      </c>
      <c r="H19">
        <f>IF(G19,C19,0)</f>
        <v>0</v>
      </c>
    </row>
    <row r="20" spans="1:8" x14ac:dyDescent="0.25">
      <c r="A20" t="s">
        <v>225</v>
      </c>
      <c r="B20" t="s">
        <v>3383</v>
      </c>
      <c r="C20" s="4">
        <f>('Reels'!D4/('Reels'!D4+'Reels'!D7+'Reels'!D10+'Reels'!D13+'Reels'!D16+'Reels'!D19))*('Reels'!D31/('Reels'!D22+'Reels'!D25+'Reels'!D28+'Reels'!D31+'Reels'!D34+'Reels'!D37+'Reels'!D40))*('Reels'!D44/('Reels'!D44+'Reels'!D47+'Reels'!D50+'Reels'!D53+'Reels'!D56+'Reels'!D59))</f>
        <v>0.008181818181818182</v>
      </c>
      <c r="D20">
        <f>IF(OR('Reels'!D2="attack",'Reels'!D2="magic"),CHOOSE('Reels'!D3+1,'Slots'!D29,'Slots'!D30,'Slots'!D31,'Slots'!D32,'Slots'!D33),0)+IF(OR('Reels'!D29="attack",'Reels'!D29="magic"),CHOOSE('Reels'!D30+1,'Slots'!D29,'Slots'!D30,'Slots'!D31,'Slots'!D32,'Slots'!D33),0)+IF(OR('Reels'!D42="attack",'Reels'!D42="magic"),CHOOSE('Reels'!D43+1,'Slots'!D29,'Slots'!D30,'Slots'!D31,'Slots'!D32,'Slots'!D33),0)</f>
        <v>4</v>
      </c>
      <c r="E20">
        <f>IF('Reels'!D2="heal",'Reels'!D3*'Slots'!D24,0)+IF('Reels'!D29="heal",'Reels'!D30*'Slots'!D24,0)+IF('Reels'!D42="heal",'Reels'!D43*'Slots'!D24,0)</f>
        <v>0</v>
      </c>
      <c r="F20">
        <f>IF('Reels'!D2="block",'Reels'!D3*'Slots'!D25,0)+IF('Reels'!D29="block",'Reels'!D30*'Slots'!D25,0)+IF('Reels'!D42="block",'Reels'!D43*'Slots'!D25,0)</f>
        <v>2</v>
      </c>
      <c r="G20" t="b">
        <f>AND('Reels'!D2&lt;&gt;"blank",'Reels'!D2&lt;&gt;"class",'Reels'!D2='Reels'!D42,'Reels'!D3='Reels'!D43,OR('Reels'!D29="class",AND('Reels'!D29='Reels'!D2,'Reels'!D30='Reels'!D3)))</f>
        <v>0</v>
      </c>
      <c r="H20">
        <f>IF(G20,C20,0)</f>
        <v>0</v>
      </c>
    </row>
    <row r="21" spans="1:8" x14ac:dyDescent="0.25">
      <c r="A21" t="s">
        <v>225</v>
      </c>
      <c r="B21" t="s">
        <v>3384</v>
      </c>
      <c r="C21" s="4">
        <f>('Reels'!D4/('Reels'!D4+'Reels'!D7+'Reels'!D10+'Reels'!D13+'Reels'!D16+'Reels'!D19))*('Reels'!D31/('Reels'!D22+'Reels'!D25+'Reels'!D28+'Reels'!D31+'Reels'!D34+'Reels'!D37+'Reels'!D40))*('Reels'!D47/('Reels'!D44+'Reels'!D47+'Reels'!D50+'Reels'!D53+'Reels'!D56+'Reels'!D59))</f>
        <v>0.004545454545454545</v>
      </c>
      <c r="D21">
        <f>IF(OR('Reels'!D2="attack",'Reels'!D2="magic"),CHOOSE('Reels'!D3+1,'Slots'!D29,'Slots'!D30,'Slots'!D31,'Slots'!D32,'Slots'!D33),0)+IF(OR('Reels'!D29="attack",'Reels'!D29="magic"),CHOOSE('Reels'!D30+1,'Slots'!D29,'Slots'!D30,'Slots'!D31,'Slots'!D32,'Slots'!D33),0)+IF(OR('Reels'!D45="attack",'Reels'!D45="magic"),CHOOSE('Reels'!D46+1,'Slots'!D29,'Slots'!D30,'Slots'!D31,'Slots'!D32,'Slots'!D33),0)</f>
        <v>6</v>
      </c>
      <c r="E21">
        <f>IF('Reels'!D2="heal",'Reels'!D3*'Slots'!D24,0)+IF('Reels'!D29="heal",'Reels'!D30*'Slots'!D24,0)+IF('Reels'!D45="heal",'Reels'!D46*'Slots'!D24,0)</f>
        <v>0</v>
      </c>
      <c r="F21">
        <f>IF('Reels'!D2="block",'Reels'!D3*'Slots'!D25,0)+IF('Reels'!D29="block",'Reels'!D30*'Slots'!D25,0)+IF('Reels'!D45="block",'Reels'!D46*'Slots'!D25,0)</f>
        <v>2</v>
      </c>
      <c r="G21" t="b">
        <f>AND('Reels'!D2&lt;&gt;"blank",'Reels'!D2&lt;&gt;"class",'Reels'!D2='Reels'!D45,'Reels'!D3='Reels'!D46,OR('Reels'!D29="class",AND('Reels'!D29='Reels'!D2,'Reels'!D30='Reels'!D3)))</f>
        <v>0</v>
      </c>
      <c r="H21">
        <f>IF(G21,C21,0)</f>
        <v>0</v>
      </c>
    </row>
    <row r="22" spans="1:8" x14ac:dyDescent="0.25">
      <c r="A22" t="s">
        <v>225</v>
      </c>
      <c r="B22" t="s">
        <v>3385</v>
      </c>
      <c r="C22" s="4">
        <f>('Reels'!D4/('Reels'!D4+'Reels'!D7+'Reels'!D10+'Reels'!D13+'Reels'!D16+'Reels'!D19))*('Reels'!D31/('Reels'!D22+'Reels'!D25+'Reels'!D28+'Reels'!D31+'Reels'!D34+'Reels'!D37+'Reels'!D40))*('Reels'!D50/('Reels'!D44+'Reels'!D47+'Reels'!D50+'Reels'!D53+'Reels'!D56+'Reels'!D59))</f>
        <v>0.006363636363636363</v>
      </c>
      <c r="D22">
        <f>IF(OR('Reels'!D2="attack",'Reels'!D2="magic"),CHOOSE('Reels'!D3+1,'Slots'!D29,'Slots'!D30,'Slots'!D31,'Slots'!D32,'Slots'!D33),0)+IF(OR('Reels'!D29="attack",'Reels'!D29="magic"),CHOOSE('Reels'!D30+1,'Slots'!D29,'Slots'!D30,'Slots'!D31,'Slots'!D32,'Slots'!D33),0)+IF(OR('Reels'!D48="attack",'Reels'!D48="magic"),CHOOSE('Reels'!D49+1,'Slots'!D29,'Slots'!D30,'Slots'!D31,'Slots'!D32,'Slots'!D33),0)</f>
        <v>2</v>
      </c>
      <c r="E22">
        <f>IF('Reels'!D2="heal",'Reels'!D3*'Slots'!D24,0)+IF('Reels'!D29="heal",'Reels'!D30*'Slots'!D24,0)+IF('Reels'!D48="heal",'Reels'!D49*'Slots'!D24,0)</f>
        <v>0</v>
      </c>
      <c r="F22">
        <f>IF('Reels'!D2="block",'Reels'!D3*'Slots'!D25,0)+IF('Reels'!D29="block",'Reels'!D30*'Slots'!D25,0)+IF('Reels'!D48="block",'Reels'!D49*'Slots'!D25,0)</f>
        <v>3</v>
      </c>
      <c r="G22" t="b">
        <f>AND('Reels'!D2&lt;&gt;"blank",'Reels'!D2&lt;&gt;"class",'Reels'!D2='Reels'!D48,'Reels'!D3='Reels'!D49,OR('Reels'!D29="class",AND('Reels'!D29='Reels'!D2,'Reels'!D30='Reels'!D3)))</f>
        <v>0</v>
      </c>
      <c r="H22">
        <f>IF(G22,C22,0)</f>
        <v>0</v>
      </c>
    </row>
    <row r="23" spans="1:8" x14ac:dyDescent="0.25">
      <c r="A23" t="s">
        <v>225</v>
      </c>
      <c r="B23" t="s">
        <v>3386</v>
      </c>
      <c r="C23" s="4">
        <f>('Reels'!D4/('Reels'!D4+'Reels'!D7+'Reels'!D10+'Reels'!D13+'Reels'!D16+'Reels'!D19))*('Reels'!D31/('Reels'!D22+'Reels'!D25+'Reels'!D28+'Reels'!D31+'Reels'!D34+'Reels'!D37+'Reels'!D40))*('Reels'!D53/('Reels'!D44+'Reels'!D47+'Reels'!D50+'Reels'!D53+'Reels'!D56+'Reels'!D59))</f>
        <v>0.002727272727272727</v>
      </c>
      <c r="D23">
        <f>IF(OR('Reels'!D2="attack",'Reels'!D2="magic"),CHOOSE('Reels'!D3+1,'Slots'!D29,'Slots'!D30,'Slots'!D31,'Slots'!D32,'Slots'!D33),0)+IF(OR('Reels'!D29="attack",'Reels'!D29="magic"),CHOOSE('Reels'!D30+1,'Slots'!D29,'Slots'!D30,'Slots'!D31,'Slots'!D32,'Slots'!D33),0)+IF(OR('Reels'!D51="attack",'Reels'!D51="magic"),CHOOSE('Reels'!D52+1,'Slots'!D29,'Slots'!D30,'Slots'!D31,'Slots'!D32,'Slots'!D33),0)</f>
        <v>2</v>
      </c>
      <c r="E23">
        <f>IF('Reels'!D2="heal",'Reels'!D3*'Slots'!D24,0)+IF('Reels'!D29="heal",'Reels'!D30*'Slots'!D24,0)+IF('Reels'!D51="heal",'Reels'!D52*'Slots'!D24,0)</f>
        <v>0</v>
      </c>
      <c r="F23">
        <f>IF('Reels'!D2="block",'Reels'!D3*'Slots'!D25,0)+IF('Reels'!D29="block",'Reels'!D30*'Slots'!D25,0)+IF('Reels'!D51="block",'Reels'!D52*'Slots'!D25,0)</f>
        <v>4</v>
      </c>
      <c r="G23" t="b">
        <f>AND('Reels'!D2&lt;&gt;"blank",'Reels'!D2&lt;&gt;"class",'Reels'!D2='Reels'!D51,'Reels'!D3='Reels'!D52,OR('Reels'!D29="class",AND('Reels'!D29='Reels'!D2,'Reels'!D30='Reels'!D3)))</f>
        <v>0</v>
      </c>
      <c r="H23">
        <f>IF(G23,C23,0)</f>
        <v>0</v>
      </c>
    </row>
    <row r="24" spans="1:8" x14ac:dyDescent="0.25">
      <c r="A24" t="s">
        <v>225</v>
      </c>
      <c r="B24" t="s">
        <v>3387</v>
      </c>
      <c r="C24" s="4">
        <f>('Reels'!D4/('Reels'!D4+'Reels'!D7+'Reels'!D10+'Reels'!D13+'Reels'!D16+'Reels'!D19))*('Reels'!D31/('Reels'!D22+'Reels'!D25+'Reels'!D28+'Reels'!D31+'Reels'!D34+'Reels'!D37+'Reels'!D40))*('Reels'!D56/('Reels'!D44+'Reels'!D47+'Reels'!D50+'Reels'!D53+'Reels'!D56+'Reels'!D59))</f>
        <v>0.0009090909090909091</v>
      </c>
      <c r="D24">
        <f>IF(OR('Reels'!D2="attack",'Reels'!D2="magic"),CHOOSE('Reels'!D3+1,'Slots'!D29,'Slots'!D30,'Slots'!D31,'Slots'!D32,'Slots'!D33),0)+IF(OR('Reels'!D29="attack",'Reels'!D29="magic"),CHOOSE('Reels'!D30+1,'Slots'!D29,'Slots'!D30,'Slots'!D31,'Slots'!D32,'Slots'!D33),0)+IF(OR('Reels'!D54="attack",'Reels'!D54="magic"),CHOOSE('Reels'!D55+1,'Slots'!D29,'Slots'!D30,'Slots'!D31,'Slots'!D32,'Slots'!D33),0)</f>
        <v>2</v>
      </c>
      <c r="E24">
        <f>IF('Reels'!D2="heal",'Reels'!D3*'Slots'!D24,0)+IF('Reels'!D29="heal",'Reels'!D30*'Slots'!D24,0)+IF('Reels'!D54="heal",'Reels'!D55*'Slots'!D24,0)</f>
        <v>2</v>
      </c>
      <c r="F24">
        <f>IF('Reels'!D2="block",'Reels'!D3*'Slots'!D25,0)+IF('Reels'!D29="block",'Reels'!D30*'Slots'!D25,0)+IF('Reels'!D54="block",'Reels'!D55*'Slots'!D25,0)</f>
        <v>2</v>
      </c>
      <c r="G24" t="b">
        <f>AND('Reels'!D2&lt;&gt;"blank",'Reels'!D2&lt;&gt;"class",'Reels'!D2='Reels'!D54,'Reels'!D3='Reels'!D55,OR('Reels'!D29="class",AND('Reels'!D29='Reels'!D2,'Reels'!D30='Reels'!D3)))</f>
        <v>0</v>
      </c>
      <c r="H24">
        <f>IF(G24,C24,0)</f>
        <v>0</v>
      </c>
    </row>
    <row r="25" spans="1:8" x14ac:dyDescent="0.25">
      <c r="A25" t="s">
        <v>225</v>
      </c>
      <c r="B25" t="s">
        <v>3388</v>
      </c>
      <c r="C25" s="4">
        <f>('Reels'!D4/('Reels'!D4+'Reels'!D7+'Reels'!D10+'Reels'!D13+'Reels'!D16+'Reels'!D19))*('Reels'!D31/('Reels'!D22+'Reels'!D25+'Reels'!D28+'Reels'!D31+'Reels'!D34+'Reels'!D37+'Reels'!D40))*('Reels'!D59/('Reels'!D44+'Reels'!D47+'Reels'!D50+'Reels'!D53+'Reels'!D56+'Reels'!D59))</f>
        <v>0.004545454545454545</v>
      </c>
      <c r="D25">
        <f>IF(OR('Reels'!D2="attack",'Reels'!D2="magic"),CHOOSE('Reels'!D3+1,'Slots'!D29,'Slots'!D30,'Slots'!D31,'Slots'!D32,'Slots'!D33),0)+IF(OR('Reels'!D29="attack",'Reels'!D29="magic"),CHOOSE('Reels'!D30+1,'Slots'!D29,'Slots'!D30,'Slots'!D31,'Slots'!D32,'Slots'!D33),0)+IF(OR('Reels'!D57="attack",'Reels'!D57="magic"),CHOOSE('Reels'!D58+1,'Slots'!D29,'Slots'!D30,'Slots'!D31,'Slots'!D32,'Slots'!D33),0)</f>
        <v>2</v>
      </c>
      <c r="E25">
        <f>IF('Reels'!D2="heal",'Reels'!D3*'Slots'!D24,0)+IF('Reels'!D29="heal",'Reels'!D30*'Slots'!D24,0)+IF('Reels'!D57="heal",'Reels'!D58*'Slots'!D24,0)</f>
        <v>0</v>
      </c>
      <c r="F25">
        <f>IF('Reels'!D2="block",'Reels'!D3*'Slots'!D25,0)+IF('Reels'!D29="block",'Reels'!D30*'Slots'!D25,0)+IF('Reels'!D57="block",'Reels'!D58*'Slots'!D25,0)</f>
        <v>2</v>
      </c>
      <c r="G25" t="b">
        <f>AND('Reels'!D2&lt;&gt;"blank",'Reels'!D2&lt;&gt;"class",'Reels'!D2='Reels'!D57,'Reels'!D3='Reels'!D58,OR('Reels'!D29="class",AND('Reels'!D29='Reels'!D2,'Reels'!D30='Reels'!D3)))</f>
        <v>0</v>
      </c>
      <c r="H25">
        <f>IF(G25,C25,0)</f>
        <v>0</v>
      </c>
    </row>
    <row r="26" spans="1:8" x14ac:dyDescent="0.25">
      <c r="A26" t="s">
        <v>225</v>
      </c>
      <c r="B26" t="s">
        <v>3389</v>
      </c>
      <c r="C26" s="4">
        <f>('Reels'!D4/('Reels'!D4+'Reels'!D7+'Reels'!D10+'Reels'!D13+'Reels'!D16+'Reels'!D19))*('Reels'!D34/('Reels'!D22+'Reels'!D25+'Reels'!D28+'Reels'!D31+'Reels'!D34+'Reels'!D37+'Reels'!D40))*('Reels'!D44/('Reels'!D44+'Reels'!D47+'Reels'!D50+'Reels'!D53+'Reels'!D56+'Reels'!D59))</f>
        <v>0.002727272727272727</v>
      </c>
      <c r="D26">
        <f>IF(OR('Reels'!D2="attack",'Reels'!D2="magic"),CHOOSE('Reels'!D3+1,'Slots'!D29,'Slots'!D30,'Slots'!D31,'Slots'!D32,'Slots'!D33),0)+IF(OR('Reels'!D32="attack",'Reels'!D32="magic"),CHOOSE('Reels'!D33+1,'Slots'!D29,'Slots'!D30,'Slots'!D31,'Slots'!D32,'Slots'!D33),0)+IF(OR('Reels'!D42="attack",'Reels'!D42="magic"),CHOOSE('Reels'!D43+1,'Slots'!D29,'Slots'!D30,'Slots'!D31,'Slots'!D32,'Slots'!D33),0)</f>
        <v>4</v>
      </c>
      <c r="E26">
        <f>IF('Reels'!D2="heal",'Reels'!D3*'Slots'!D24,0)+IF('Reels'!D32="heal",'Reels'!D33*'Slots'!D24,0)+IF('Reels'!D42="heal",'Reels'!D43*'Slots'!D24,0)</f>
        <v>2</v>
      </c>
      <c r="F26">
        <f>IF('Reels'!D2="block",'Reels'!D3*'Slots'!D25,0)+IF('Reels'!D32="block",'Reels'!D33*'Slots'!D25,0)+IF('Reels'!D42="block",'Reels'!D43*'Slots'!D25,0)</f>
        <v>0</v>
      </c>
      <c r="G26" t="b">
        <f>AND('Reels'!D2&lt;&gt;"blank",'Reels'!D2&lt;&gt;"class",'Reels'!D2='Reels'!D42,'Reels'!D3='Reels'!D43,OR('Reels'!D32="class",AND('Reels'!D32='Reels'!D2,'Reels'!D33='Reels'!D3)))</f>
        <v>0</v>
      </c>
      <c r="H26">
        <f>IF(G26,C26,0)</f>
        <v>0</v>
      </c>
    </row>
    <row r="27" spans="1:8" x14ac:dyDescent="0.25">
      <c r="A27" t="s">
        <v>225</v>
      </c>
      <c r="B27" t="s">
        <v>3390</v>
      </c>
      <c r="C27" s="4">
        <f>('Reels'!D4/('Reels'!D4+'Reels'!D7+'Reels'!D10+'Reels'!D13+'Reels'!D16+'Reels'!D19))*('Reels'!D34/('Reels'!D22+'Reels'!D25+'Reels'!D28+'Reels'!D31+'Reels'!D34+'Reels'!D37+'Reels'!D40))*('Reels'!D47/('Reels'!D44+'Reels'!D47+'Reels'!D50+'Reels'!D53+'Reels'!D56+'Reels'!D59))</f>
        <v>0.0015151515151515152</v>
      </c>
      <c r="D27">
        <f>IF(OR('Reels'!D2="attack",'Reels'!D2="magic"),CHOOSE('Reels'!D3+1,'Slots'!D29,'Slots'!D30,'Slots'!D31,'Slots'!D32,'Slots'!D33),0)+IF(OR('Reels'!D32="attack",'Reels'!D32="magic"),CHOOSE('Reels'!D33+1,'Slots'!D29,'Slots'!D30,'Slots'!D31,'Slots'!D32,'Slots'!D33),0)+IF(OR('Reels'!D45="attack",'Reels'!D45="magic"),CHOOSE('Reels'!D46+1,'Slots'!D29,'Slots'!D30,'Slots'!D31,'Slots'!D32,'Slots'!D33),0)</f>
        <v>6</v>
      </c>
      <c r="E27">
        <f>IF('Reels'!D2="heal",'Reels'!D3*'Slots'!D24,0)+IF('Reels'!D32="heal",'Reels'!D33*'Slots'!D24,0)+IF('Reels'!D45="heal",'Reels'!D46*'Slots'!D24,0)</f>
        <v>2</v>
      </c>
      <c r="F27">
        <f>IF('Reels'!D2="block",'Reels'!D3*'Slots'!D25,0)+IF('Reels'!D32="block",'Reels'!D33*'Slots'!D25,0)+IF('Reels'!D45="block",'Reels'!D46*'Slots'!D25,0)</f>
        <v>0</v>
      </c>
      <c r="G27" t="b">
        <f>AND('Reels'!D2&lt;&gt;"blank",'Reels'!D2&lt;&gt;"class",'Reels'!D2='Reels'!D45,'Reels'!D3='Reels'!D46,OR('Reels'!D32="class",AND('Reels'!D32='Reels'!D2,'Reels'!D33='Reels'!D3)))</f>
        <v>0</v>
      </c>
      <c r="H27">
        <f>IF(G27,C27,0)</f>
        <v>0</v>
      </c>
    </row>
    <row r="28" spans="1:8" x14ac:dyDescent="0.25">
      <c r="A28" t="s">
        <v>225</v>
      </c>
      <c r="B28" t="s">
        <v>3391</v>
      </c>
      <c r="C28" s="4">
        <f>('Reels'!D4/('Reels'!D4+'Reels'!D7+'Reels'!D10+'Reels'!D13+'Reels'!D16+'Reels'!D19))*('Reels'!D34/('Reels'!D22+'Reels'!D25+'Reels'!D28+'Reels'!D31+'Reels'!D34+'Reels'!D37+'Reels'!D40))*('Reels'!D50/('Reels'!D44+'Reels'!D47+'Reels'!D50+'Reels'!D53+'Reels'!D56+'Reels'!D59))</f>
        <v>0.002121212121212121</v>
      </c>
      <c r="D28">
        <f>IF(OR('Reels'!D2="attack",'Reels'!D2="magic"),CHOOSE('Reels'!D3+1,'Slots'!D29,'Slots'!D30,'Slots'!D31,'Slots'!D32,'Slots'!D33),0)+IF(OR('Reels'!D32="attack",'Reels'!D32="magic"),CHOOSE('Reels'!D33+1,'Slots'!D29,'Slots'!D30,'Slots'!D31,'Slots'!D32,'Slots'!D33),0)+IF(OR('Reels'!D48="attack",'Reels'!D48="magic"),CHOOSE('Reels'!D49+1,'Slots'!D29,'Slots'!D30,'Slots'!D31,'Slots'!D32,'Slots'!D33),0)</f>
        <v>2</v>
      </c>
      <c r="E28">
        <f>IF('Reels'!D2="heal",'Reels'!D3*'Slots'!D24,0)+IF('Reels'!D32="heal",'Reels'!D33*'Slots'!D24,0)+IF('Reels'!D48="heal",'Reels'!D49*'Slots'!D24,0)</f>
        <v>2</v>
      </c>
      <c r="F28">
        <f>IF('Reels'!D2="block",'Reels'!D3*'Slots'!D25,0)+IF('Reels'!D32="block",'Reels'!D33*'Slots'!D25,0)+IF('Reels'!D48="block",'Reels'!D49*'Slots'!D25,0)</f>
        <v>1</v>
      </c>
      <c r="G28" t="b">
        <f>AND('Reels'!D2&lt;&gt;"blank",'Reels'!D2&lt;&gt;"class",'Reels'!D2='Reels'!D48,'Reels'!D3='Reels'!D49,OR('Reels'!D32="class",AND('Reels'!D32='Reels'!D2,'Reels'!D33='Reels'!D3)))</f>
        <v>0</v>
      </c>
      <c r="H28">
        <f>IF(G28,C28,0)</f>
        <v>0</v>
      </c>
    </row>
    <row r="29" spans="1:8" x14ac:dyDescent="0.25">
      <c r="A29" t="s">
        <v>225</v>
      </c>
      <c r="B29" t="s">
        <v>3392</v>
      </c>
      <c r="C29" s="4">
        <f>('Reels'!D4/('Reels'!D4+'Reels'!D7+'Reels'!D10+'Reels'!D13+'Reels'!D16+'Reels'!D19))*('Reels'!D34/('Reels'!D22+'Reels'!D25+'Reels'!D28+'Reels'!D31+'Reels'!D34+'Reels'!D37+'Reels'!D40))*('Reels'!D53/('Reels'!D44+'Reels'!D47+'Reels'!D50+'Reels'!D53+'Reels'!D56+'Reels'!D59))</f>
        <v>0.0009090909090909091</v>
      </c>
      <c r="D29">
        <f>IF(OR('Reels'!D2="attack",'Reels'!D2="magic"),CHOOSE('Reels'!D3+1,'Slots'!D29,'Slots'!D30,'Slots'!D31,'Slots'!D32,'Slots'!D33),0)+IF(OR('Reels'!D32="attack",'Reels'!D32="magic"),CHOOSE('Reels'!D33+1,'Slots'!D29,'Slots'!D30,'Slots'!D31,'Slots'!D32,'Slots'!D33),0)+IF(OR('Reels'!D51="attack",'Reels'!D51="magic"),CHOOSE('Reels'!D52+1,'Slots'!D29,'Slots'!D30,'Slots'!D31,'Slots'!D32,'Slots'!D33),0)</f>
        <v>2</v>
      </c>
      <c r="E29">
        <f>IF('Reels'!D2="heal",'Reels'!D3*'Slots'!D24,0)+IF('Reels'!D32="heal",'Reels'!D33*'Slots'!D24,0)+IF('Reels'!D51="heal",'Reels'!D52*'Slots'!D24,0)</f>
        <v>2</v>
      </c>
      <c r="F29">
        <f>IF('Reels'!D2="block",'Reels'!D3*'Slots'!D25,0)+IF('Reels'!D32="block",'Reels'!D33*'Slots'!D25,0)+IF('Reels'!D51="block",'Reels'!D52*'Slots'!D25,0)</f>
        <v>2</v>
      </c>
      <c r="G29" t="b">
        <f>AND('Reels'!D2&lt;&gt;"blank",'Reels'!D2&lt;&gt;"class",'Reels'!D2='Reels'!D51,'Reels'!D3='Reels'!D52,OR('Reels'!D32="class",AND('Reels'!D32='Reels'!D2,'Reels'!D33='Reels'!D3)))</f>
        <v>0</v>
      </c>
      <c r="H29">
        <f>IF(G29,C29,0)</f>
        <v>0</v>
      </c>
    </row>
    <row r="30" spans="1:8" x14ac:dyDescent="0.25">
      <c r="A30" t="s">
        <v>225</v>
      </c>
      <c r="B30" t="s">
        <v>3393</v>
      </c>
      <c r="C30" s="4">
        <f>('Reels'!D4/('Reels'!D4+'Reels'!D7+'Reels'!D10+'Reels'!D13+'Reels'!D16+'Reels'!D19))*('Reels'!D34/('Reels'!D22+'Reels'!D25+'Reels'!D28+'Reels'!D31+'Reels'!D34+'Reels'!D37+'Reels'!D40))*('Reels'!D56/('Reels'!D44+'Reels'!D47+'Reels'!D50+'Reels'!D53+'Reels'!D56+'Reels'!D59))</f>
        <v>0.00030303030303030303</v>
      </c>
      <c r="D30">
        <f>IF(OR('Reels'!D2="attack",'Reels'!D2="magic"),CHOOSE('Reels'!D3+1,'Slots'!D29,'Slots'!D30,'Slots'!D31,'Slots'!D32,'Slots'!D33),0)+IF(OR('Reels'!D32="attack",'Reels'!D32="magic"),CHOOSE('Reels'!D33+1,'Slots'!D29,'Slots'!D30,'Slots'!D31,'Slots'!D32,'Slots'!D33),0)+IF(OR('Reels'!D54="attack",'Reels'!D54="magic"),CHOOSE('Reels'!D55+1,'Slots'!D29,'Slots'!D30,'Slots'!D31,'Slots'!D32,'Slots'!D33),0)</f>
        <v>2</v>
      </c>
      <c r="E30">
        <f>IF('Reels'!D2="heal",'Reels'!D3*'Slots'!D24,0)+IF('Reels'!D32="heal",'Reels'!D33*'Slots'!D24,0)+IF('Reels'!D54="heal",'Reels'!D55*'Slots'!D24,0)</f>
        <v>4</v>
      </c>
      <c r="F30">
        <f>IF('Reels'!D2="block",'Reels'!D3*'Slots'!D25,0)+IF('Reels'!D32="block",'Reels'!D33*'Slots'!D25,0)+IF('Reels'!D54="block",'Reels'!D55*'Slots'!D25,0)</f>
        <v>0</v>
      </c>
      <c r="G30" t="b">
        <f>AND('Reels'!D2&lt;&gt;"blank",'Reels'!D2&lt;&gt;"class",'Reels'!D2='Reels'!D54,'Reels'!D3='Reels'!D55,OR('Reels'!D32="class",AND('Reels'!D32='Reels'!D2,'Reels'!D33='Reels'!D3)))</f>
        <v>0</v>
      </c>
      <c r="H30">
        <f>IF(G30,C30,0)</f>
        <v>0</v>
      </c>
    </row>
    <row r="31" spans="1:8" x14ac:dyDescent="0.25">
      <c r="A31" t="s">
        <v>225</v>
      </c>
      <c r="B31" t="s">
        <v>3394</v>
      </c>
      <c r="C31" s="4">
        <f>('Reels'!D4/('Reels'!D4+'Reels'!D7+'Reels'!D10+'Reels'!D13+'Reels'!D16+'Reels'!D19))*('Reels'!D34/('Reels'!D22+'Reels'!D25+'Reels'!D28+'Reels'!D31+'Reels'!D34+'Reels'!D37+'Reels'!D40))*('Reels'!D59/('Reels'!D44+'Reels'!D47+'Reels'!D50+'Reels'!D53+'Reels'!D56+'Reels'!D59))</f>
        <v>0.0015151515151515152</v>
      </c>
      <c r="D31">
        <f>IF(OR('Reels'!D2="attack",'Reels'!D2="magic"),CHOOSE('Reels'!D3+1,'Slots'!D29,'Slots'!D30,'Slots'!D31,'Slots'!D32,'Slots'!D33),0)+IF(OR('Reels'!D32="attack",'Reels'!D32="magic"),CHOOSE('Reels'!D33+1,'Slots'!D29,'Slots'!D30,'Slots'!D31,'Slots'!D32,'Slots'!D33),0)+IF(OR('Reels'!D57="attack",'Reels'!D57="magic"),CHOOSE('Reels'!D58+1,'Slots'!D29,'Slots'!D30,'Slots'!D31,'Slots'!D32,'Slots'!D33),0)</f>
        <v>2</v>
      </c>
      <c r="E31">
        <f>IF('Reels'!D2="heal",'Reels'!D3*'Slots'!D24,0)+IF('Reels'!D32="heal",'Reels'!D33*'Slots'!D24,0)+IF('Reels'!D57="heal",'Reels'!D58*'Slots'!D24,0)</f>
        <v>2</v>
      </c>
      <c r="F31">
        <f>IF('Reels'!D2="block",'Reels'!D3*'Slots'!D25,0)+IF('Reels'!D32="block",'Reels'!D33*'Slots'!D25,0)+IF('Reels'!D57="block",'Reels'!D58*'Slots'!D25,0)</f>
        <v>0</v>
      </c>
      <c r="G31" t="b">
        <f>AND('Reels'!D2&lt;&gt;"blank",'Reels'!D2&lt;&gt;"class",'Reels'!D2='Reels'!D57,'Reels'!D3='Reels'!D58,OR('Reels'!D32="class",AND('Reels'!D32='Reels'!D2,'Reels'!D33='Reels'!D3)))</f>
        <v>0</v>
      </c>
      <c r="H31">
        <f>IF(G31,C31,0)</f>
        <v>0</v>
      </c>
    </row>
    <row r="32" spans="1:8" x14ac:dyDescent="0.25">
      <c r="A32" t="s">
        <v>225</v>
      </c>
      <c r="B32" t="s">
        <v>3395</v>
      </c>
      <c r="C32" s="4">
        <f>('Reels'!D4/('Reels'!D4+'Reels'!D7+'Reels'!D10+'Reels'!D13+'Reels'!D16+'Reels'!D19))*('Reels'!D37/('Reels'!D22+'Reels'!D25+'Reels'!D28+'Reels'!D31+'Reels'!D34+'Reels'!D37+'Reels'!D40))*('Reels'!D44/('Reels'!D44+'Reels'!D47+'Reels'!D50+'Reels'!D53+'Reels'!D56+'Reels'!D59))</f>
        <v>0.013636363636363637</v>
      </c>
      <c r="D32">
        <f>IF(OR('Reels'!D2="attack",'Reels'!D2="magic"),CHOOSE('Reels'!D3+1,'Slots'!D29,'Slots'!D30,'Slots'!D31,'Slots'!D32,'Slots'!D33),0)+IF(OR('Reels'!D35="attack",'Reels'!D35="magic"),CHOOSE('Reels'!D36+1,'Slots'!D29,'Slots'!D30,'Slots'!D31,'Slots'!D32,'Slots'!D33),0)+IF(OR('Reels'!D42="attack",'Reels'!D42="magic"),CHOOSE('Reels'!D43+1,'Slots'!D29,'Slots'!D30,'Slots'!D31,'Slots'!D32,'Slots'!D33),0)</f>
        <v>4</v>
      </c>
      <c r="E32">
        <f>IF('Reels'!D2="heal",'Reels'!D3*'Slots'!D24,0)+IF('Reels'!D35="heal",'Reels'!D36*'Slots'!D24,0)+IF('Reels'!D42="heal",'Reels'!D43*'Slots'!D24,0)</f>
        <v>0</v>
      </c>
      <c r="F32">
        <f>IF('Reels'!D2="block",'Reels'!D3*'Slots'!D25,0)+IF('Reels'!D35="block",'Reels'!D36*'Slots'!D25,0)+IF('Reels'!D42="block",'Reels'!D43*'Slots'!D25,0)</f>
        <v>0</v>
      </c>
      <c r="G32" t="b">
        <f>AND('Reels'!D2&lt;&gt;"blank",'Reels'!D2&lt;&gt;"class",'Reels'!D2='Reels'!D42,'Reels'!D3='Reels'!D43,OR('Reels'!D35="class",AND('Reels'!D35='Reels'!D2,'Reels'!D36='Reels'!D3)))</f>
        <v>0</v>
      </c>
      <c r="H32">
        <f>IF(G32,C32,0)</f>
        <v>0</v>
      </c>
    </row>
    <row r="33" spans="1:8" x14ac:dyDescent="0.25">
      <c r="A33" t="s">
        <v>225</v>
      </c>
      <c r="B33" t="s">
        <v>3396</v>
      </c>
      <c r="C33" s="4">
        <f>('Reels'!D4/('Reels'!D4+'Reels'!D7+'Reels'!D10+'Reels'!D13+'Reels'!D16+'Reels'!D19))*('Reels'!D37/('Reels'!D22+'Reels'!D25+'Reels'!D28+'Reels'!D31+'Reels'!D34+'Reels'!D37+'Reels'!D40))*('Reels'!D47/('Reels'!D44+'Reels'!D47+'Reels'!D50+'Reels'!D53+'Reels'!D56+'Reels'!D59))</f>
        <v>0.007575757575757577</v>
      </c>
      <c r="D33">
        <f>IF(OR('Reels'!D2="attack",'Reels'!D2="magic"),CHOOSE('Reels'!D3+1,'Slots'!D29,'Slots'!D30,'Slots'!D31,'Slots'!D32,'Slots'!D33),0)+IF(OR('Reels'!D35="attack",'Reels'!D35="magic"),CHOOSE('Reels'!D36+1,'Slots'!D29,'Slots'!D30,'Slots'!D31,'Slots'!D32,'Slots'!D33),0)+IF(OR('Reels'!D45="attack",'Reels'!D45="magic"),CHOOSE('Reels'!D46+1,'Slots'!D29,'Slots'!D30,'Slots'!D31,'Slots'!D32,'Slots'!D33),0)</f>
        <v>6</v>
      </c>
      <c r="E33">
        <f>IF('Reels'!D2="heal",'Reels'!D3*'Slots'!D24,0)+IF('Reels'!D35="heal",'Reels'!D36*'Slots'!D24,0)+IF('Reels'!D45="heal",'Reels'!D46*'Slots'!D24,0)</f>
        <v>0</v>
      </c>
      <c r="F33">
        <f>IF('Reels'!D2="block",'Reels'!D3*'Slots'!D25,0)+IF('Reels'!D35="block",'Reels'!D36*'Slots'!D25,0)+IF('Reels'!D45="block",'Reels'!D46*'Slots'!D25,0)</f>
        <v>0</v>
      </c>
      <c r="G33" t="b">
        <f>AND('Reels'!D2&lt;&gt;"blank",'Reels'!D2&lt;&gt;"class",'Reels'!D2='Reels'!D45,'Reels'!D3='Reels'!D46,OR('Reels'!D35="class",AND('Reels'!D35='Reels'!D2,'Reels'!D36='Reels'!D3)))</f>
        <v>0</v>
      </c>
      <c r="H33">
        <f>IF(G33,C33,0)</f>
        <v>0</v>
      </c>
    </row>
    <row r="34" spans="1:8" x14ac:dyDescent="0.25">
      <c r="A34" t="s">
        <v>225</v>
      </c>
      <c r="B34" t="s">
        <v>3397</v>
      </c>
      <c r="C34" s="4">
        <f>('Reels'!D4/('Reels'!D4+'Reels'!D7+'Reels'!D10+'Reels'!D13+'Reels'!D16+'Reels'!D19))*('Reels'!D37/('Reels'!D22+'Reels'!D25+'Reels'!D28+'Reels'!D31+'Reels'!D34+'Reels'!D37+'Reels'!D40))*('Reels'!D50/('Reels'!D44+'Reels'!D47+'Reels'!D50+'Reels'!D53+'Reels'!D56+'Reels'!D59))</f>
        <v>0.010606060606060607</v>
      </c>
      <c r="D34">
        <f>IF(OR('Reels'!D2="attack",'Reels'!D2="magic"),CHOOSE('Reels'!D3+1,'Slots'!D29,'Slots'!D30,'Slots'!D31,'Slots'!D32,'Slots'!D33),0)+IF(OR('Reels'!D35="attack",'Reels'!D35="magic"),CHOOSE('Reels'!D36+1,'Slots'!D29,'Slots'!D30,'Slots'!D31,'Slots'!D32,'Slots'!D33),0)+IF(OR('Reels'!D48="attack",'Reels'!D48="magic"),CHOOSE('Reels'!D49+1,'Slots'!D29,'Slots'!D30,'Slots'!D31,'Slots'!D32,'Slots'!D33),0)</f>
        <v>2</v>
      </c>
      <c r="E34">
        <f>IF('Reels'!D2="heal",'Reels'!D3*'Slots'!D24,0)+IF('Reels'!D35="heal",'Reels'!D36*'Slots'!D24,0)+IF('Reels'!D48="heal",'Reels'!D49*'Slots'!D24,0)</f>
        <v>0</v>
      </c>
      <c r="F34">
        <f>IF('Reels'!D2="block",'Reels'!D3*'Slots'!D25,0)+IF('Reels'!D35="block",'Reels'!D36*'Slots'!D25,0)+IF('Reels'!D48="block",'Reels'!D49*'Slots'!D25,0)</f>
        <v>1</v>
      </c>
      <c r="G34" t="b">
        <f>AND('Reels'!D2&lt;&gt;"blank",'Reels'!D2&lt;&gt;"class",'Reels'!D2='Reels'!D48,'Reels'!D3='Reels'!D49,OR('Reels'!D35="class",AND('Reels'!D35='Reels'!D2,'Reels'!D36='Reels'!D3)))</f>
        <v>0</v>
      </c>
      <c r="H34">
        <f>IF(G34,C34,0)</f>
        <v>0</v>
      </c>
    </row>
    <row r="35" spans="1:8" x14ac:dyDescent="0.25">
      <c r="A35" t="s">
        <v>225</v>
      </c>
      <c r="B35" t="s">
        <v>3398</v>
      </c>
      <c r="C35" s="4">
        <f>('Reels'!D4/('Reels'!D4+'Reels'!D7+'Reels'!D10+'Reels'!D13+'Reels'!D16+'Reels'!D19))*('Reels'!D37/('Reels'!D22+'Reels'!D25+'Reels'!D28+'Reels'!D31+'Reels'!D34+'Reels'!D37+'Reels'!D40))*('Reels'!D53/('Reels'!D44+'Reels'!D47+'Reels'!D50+'Reels'!D53+'Reels'!D56+'Reels'!D59))</f>
        <v>0.004545454545454545</v>
      </c>
      <c r="D35">
        <f>IF(OR('Reels'!D2="attack",'Reels'!D2="magic"),CHOOSE('Reels'!D3+1,'Slots'!D29,'Slots'!D30,'Slots'!D31,'Slots'!D32,'Slots'!D33),0)+IF(OR('Reels'!D35="attack",'Reels'!D35="magic"),CHOOSE('Reels'!D36+1,'Slots'!D29,'Slots'!D30,'Slots'!D31,'Slots'!D32,'Slots'!D33),0)+IF(OR('Reels'!D51="attack",'Reels'!D51="magic"),CHOOSE('Reels'!D52+1,'Slots'!D29,'Slots'!D30,'Slots'!D31,'Slots'!D32,'Slots'!D33),0)</f>
        <v>2</v>
      </c>
      <c r="E35">
        <f>IF('Reels'!D2="heal",'Reels'!D3*'Slots'!D24,0)+IF('Reels'!D35="heal",'Reels'!D36*'Slots'!D24,0)+IF('Reels'!D51="heal",'Reels'!D52*'Slots'!D24,0)</f>
        <v>0</v>
      </c>
      <c r="F35">
        <f>IF('Reels'!D2="block",'Reels'!D3*'Slots'!D25,0)+IF('Reels'!D35="block",'Reels'!D36*'Slots'!D25,0)+IF('Reels'!D51="block",'Reels'!D52*'Slots'!D25,0)</f>
        <v>2</v>
      </c>
      <c r="G35" t="b">
        <f>AND('Reels'!D2&lt;&gt;"blank",'Reels'!D2&lt;&gt;"class",'Reels'!D2='Reels'!D51,'Reels'!D3='Reels'!D52,OR('Reels'!D35="class",AND('Reels'!D35='Reels'!D2,'Reels'!D36='Reels'!D3)))</f>
        <v>0</v>
      </c>
      <c r="H35">
        <f>IF(G35,C35,0)</f>
        <v>0</v>
      </c>
    </row>
    <row r="36" spans="1:8" x14ac:dyDescent="0.25">
      <c r="A36" t="s">
        <v>225</v>
      </c>
      <c r="B36" t="s">
        <v>3399</v>
      </c>
      <c r="C36" s="4">
        <f>('Reels'!D4/('Reels'!D4+'Reels'!D7+'Reels'!D10+'Reels'!D13+'Reels'!D16+'Reels'!D19))*('Reels'!D37/('Reels'!D22+'Reels'!D25+'Reels'!D28+'Reels'!D31+'Reels'!D34+'Reels'!D37+'Reels'!D40))*('Reels'!D56/('Reels'!D44+'Reels'!D47+'Reels'!D50+'Reels'!D53+'Reels'!D56+'Reels'!D59))</f>
        <v>0.0015151515151515152</v>
      </c>
      <c r="D36">
        <f>IF(OR('Reels'!D2="attack",'Reels'!D2="magic"),CHOOSE('Reels'!D3+1,'Slots'!D29,'Slots'!D30,'Slots'!D31,'Slots'!D32,'Slots'!D33),0)+IF(OR('Reels'!D35="attack",'Reels'!D35="magic"),CHOOSE('Reels'!D36+1,'Slots'!D29,'Slots'!D30,'Slots'!D31,'Slots'!D32,'Slots'!D33),0)+IF(OR('Reels'!D54="attack",'Reels'!D54="magic"),CHOOSE('Reels'!D55+1,'Slots'!D29,'Slots'!D30,'Slots'!D31,'Slots'!D32,'Slots'!D33),0)</f>
        <v>2</v>
      </c>
      <c r="E36">
        <f>IF('Reels'!D2="heal",'Reels'!D3*'Slots'!D24,0)+IF('Reels'!D35="heal",'Reels'!D36*'Slots'!D24,0)+IF('Reels'!D54="heal",'Reels'!D55*'Slots'!D24,0)</f>
        <v>2</v>
      </c>
      <c r="F36">
        <f>IF('Reels'!D2="block",'Reels'!D3*'Slots'!D25,0)+IF('Reels'!D35="block",'Reels'!D36*'Slots'!D25,0)+IF('Reels'!D54="block",'Reels'!D55*'Slots'!D25,0)</f>
        <v>0</v>
      </c>
      <c r="G36" t="b">
        <f>AND('Reels'!D2&lt;&gt;"blank",'Reels'!D2&lt;&gt;"class",'Reels'!D2='Reels'!D54,'Reels'!D3='Reels'!D55,OR('Reels'!D35="class",AND('Reels'!D35='Reels'!D2,'Reels'!D36='Reels'!D3)))</f>
        <v>0</v>
      </c>
      <c r="H36">
        <f>IF(G36,C36,0)</f>
        <v>0</v>
      </c>
    </row>
    <row r="37" spans="1:8" x14ac:dyDescent="0.25">
      <c r="A37" t="s">
        <v>225</v>
      </c>
      <c r="B37" t="s">
        <v>3400</v>
      </c>
      <c r="C37" s="4">
        <f>('Reels'!D4/('Reels'!D4+'Reels'!D7+'Reels'!D10+'Reels'!D13+'Reels'!D16+'Reels'!D19))*('Reels'!D37/('Reels'!D22+'Reels'!D25+'Reels'!D28+'Reels'!D31+'Reels'!D34+'Reels'!D37+'Reels'!D40))*('Reels'!D59/('Reels'!D44+'Reels'!D47+'Reels'!D50+'Reels'!D53+'Reels'!D56+'Reels'!D59))</f>
        <v>0.007575757575757577</v>
      </c>
      <c r="D37">
        <f>IF(OR('Reels'!D2="attack",'Reels'!D2="magic"),CHOOSE('Reels'!D3+1,'Slots'!D29,'Slots'!D30,'Slots'!D31,'Slots'!D32,'Slots'!D33),0)+IF(OR('Reels'!D35="attack",'Reels'!D35="magic"),CHOOSE('Reels'!D36+1,'Slots'!D29,'Slots'!D30,'Slots'!D31,'Slots'!D32,'Slots'!D33),0)+IF(OR('Reels'!D57="attack",'Reels'!D57="magic"),CHOOSE('Reels'!D58+1,'Slots'!D29,'Slots'!D30,'Slots'!D31,'Slots'!D32,'Slots'!D33),0)</f>
        <v>2</v>
      </c>
      <c r="E37">
        <f>IF('Reels'!D2="heal",'Reels'!D3*'Slots'!D24,0)+IF('Reels'!D35="heal",'Reels'!D36*'Slots'!D24,0)+IF('Reels'!D57="heal",'Reels'!D58*'Slots'!D24,0)</f>
        <v>0</v>
      </c>
      <c r="F37">
        <f>IF('Reels'!D2="block",'Reels'!D3*'Slots'!D25,0)+IF('Reels'!D35="block",'Reels'!D36*'Slots'!D25,0)+IF('Reels'!D57="block",'Reels'!D58*'Slots'!D25,0)</f>
        <v>0</v>
      </c>
      <c r="G37" t="b">
        <f>AND('Reels'!D2&lt;&gt;"blank",'Reels'!D2&lt;&gt;"class",'Reels'!D2='Reels'!D57,'Reels'!D3='Reels'!D58,OR('Reels'!D35="class",AND('Reels'!D35='Reels'!D2,'Reels'!D36='Reels'!D3)))</f>
        <v>0</v>
      </c>
      <c r="H37">
        <f>IF(G37,C37,0)</f>
        <v>0</v>
      </c>
    </row>
    <row r="38" spans="1:8" x14ac:dyDescent="0.25">
      <c r="A38" t="s">
        <v>225</v>
      </c>
      <c r="B38" t="s">
        <v>3401</v>
      </c>
      <c r="C38" s="4">
        <f>('Reels'!D4/('Reels'!D4+'Reels'!D7+'Reels'!D10+'Reels'!D13+'Reels'!D16+'Reels'!D19))*('Reels'!D40/('Reels'!D22+'Reels'!D25+'Reels'!D28+'Reels'!D31+'Reels'!D34+'Reels'!D37+'Reels'!D40))*('Reels'!D44/('Reels'!D44+'Reels'!D47+'Reels'!D50+'Reels'!D53+'Reels'!D56+'Reels'!D59))</f>
        <v>0.008181818181818182</v>
      </c>
      <c r="D38">
        <f>IF(OR('Reels'!D2="attack",'Reels'!D2="magic"),CHOOSE('Reels'!D3+1,'Slots'!D29,'Slots'!D30,'Slots'!D31,'Slots'!D32,'Slots'!D33),0)+IF(OR('Reels'!D38="attack",'Reels'!D38="magic"),CHOOSE('Reels'!D39+1,'Slots'!D29,'Slots'!D30,'Slots'!D31,'Slots'!D32,'Slots'!D33),0)+IF(OR('Reels'!D42="attack",'Reels'!D42="magic"),CHOOSE('Reels'!D43+1,'Slots'!D29,'Slots'!D30,'Slots'!D31,'Slots'!D32,'Slots'!D33),0)</f>
        <v>4</v>
      </c>
      <c r="E38">
        <f>IF('Reels'!D2="heal",'Reels'!D3*'Slots'!D24,0)+IF('Reels'!D38="heal",'Reels'!D39*'Slots'!D24,0)+IF('Reels'!D42="heal",'Reels'!D43*'Slots'!D24,0)</f>
        <v>0</v>
      </c>
      <c r="F38">
        <f>IF('Reels'!D2="block",'Reels'!D3*'Slots'!D25,0)+IF('Reels'!D38="block",'Reels'!D39*'Slots'!D25,0)+IF('Reels'!D42="block",'Reels'!D43*'Slots'!D25,0)</f>
        <v>0</v>
      </c>
      <c r="G38" t="b">
        <f>AND('Reels'!D2&lt;&gt;"blank",'Reels'!D2&lt;&gt;"class",'Reels'!D2='Reels'!D42,'Reels'!D3='Reels'!D43,OR('Reels'!D38="class",AND('Reels'!D38='Reels'!D2,'Reels'!D39='Reels'!D3)))</f>
        <v>1</v>
      </c>
      <c r="H38">
        <f>IF(G38,C38,0)</f>
        <v>0.008181818181818182</v>
      </c>
    </row>
    <row r="39" spans="1:8" x14ac:dyDescent="0.25">
      <c r="A39" t="s">
        <v>225</v>
      </c>
      <c r="B39" t="s">
        <v>3402</v>
      </c>
      <c r="C39" s="4">
        <f>('Reels'!D4/('Reels'!D4+'Reels'!D7+'Reels'!D10+'Reels'!D13+'Reels'!D16+'Reels'!D19))*('Reels'!D40/('Reels'!D22+'Reels'!D25+'Reels'!D28+'Reels'!D31+'Reels'!D34+'Reels'!D37+'Reels'!D40))*('Reels'!D47/('Reels'!D44+'Reels'!D47+'Reels'!D50+'Reels'!D53+'Reels'!D56+'Reels'!D59))</f>
        <v>0.004545454545454545</v>
      </c>
      <c r="D39">
        <f>IF(OR('Reels'!D2="attack",'Reels'!D2="magic"),CHOOSE('Reels'!D3+1,'Slots'!D29,'Slots'!D30,'Slots'!D31,'Slots'!D32,'Slots'!D33),0)+IF(OR('Reels'!D38="attack",'Reels'!D38="magic"),CHOOSE('Reels'!D39+1,'Slots'!D29,'Slots'!D30,'Slots'!D31,'Slots'!D32,'Slots'!D33),0)+IF(OR('Reels'!D45="attack",'Reels'!D45="magic"),CHOOSE('Reels'!D46+1,'Slots'!D29,'Slots'!D30,'Slots'!D31,'Slots'!D32,'Slots'!D33),0)</f>
        <v>6</v>
      </c>
      <c r="E39">
        <f>IF('Reels'!D2="heal",'Reels'!D3*'Slots'!D24,0)+IF('Reels'!D38="heal",'Reels'!D39*'Slots'!D24,0)+IF('Reels'!D45="heal",'Reels'!D46*'Slots'!D24,0)</f>
        <v>0</v>
      </c>
      <c r="F39">
        <f>IF('Reels'!D2="block",'Reels'!D3*'Slots'!D25,0)+IF('Reels'!D38="block",'Reels'!D39*'Slots'!D25,0)+IF('Reels'!D45="block",'Reels'!D46*'Slots'!D25,0)</f>
        <v>0</v>
      </c>
      <c r="G39" t="b">
        <f>AND('Reels'!D2&lt;&gt;"blank",'Reels'!D2&lt;&gt;"class",'Reels'!D2='Reels'!D45,'Reels'!D3='Reels'!D46,OR('Reels'!D38="class",AND('Reels'!D38='Reels'!D2,'Reels'!D39='Reels'!D3)))</f>
        <v>0</v>
      </c>
      <c r="H39">
        <f>IF(G39,C39,0)</f>
        <v>0</v>
      </c>
    </row>
    <row r="40" spans="1:8" x14ac:dyDescent="0.25">
      <c r="A40" t="s">
        <v>225</v>
      </c>
      <c r="B40" t="s">
        <v>3403</v>
      </c>
      <c r="C40" s="4">
        <f>('Reels'!D4/('Reels'!D4+'Reels'!D7+'Reels'!D10+'Reels'!D13+'Reels'!D16+'Reels'!D19))*('Reels'!D40/('Reels'!D22+'Reels'!D25+'Reels'!D28+'Reels'!D31+'Reels'!D34+'Reels'!D37+'Reels'!D40))*('Reels'!D50/('Reels'!D44+'Reels'!D47+'Reels'!D50+'Reels'!D53+'Reels'!D56+'Reels'!D59))</f>
        <v>0.006363636363636363</v>
      </c>
      <c r="D40">
        <f>IF(OR('Reels'!D2="attack",'Reels'!D2="magic"),CHOOSE('Reels'!D3+1,'Slots'!D29,'Slots'!D30,'Slots'!D31,'Slots'!D32,'Slots'!D33),0)+IF(OR('Reels'!D38="attack",'Reels'!D38="magic"),CHOOSE('Reels'!D39+1,'Slots'!D29,'Slots'!D30,'Slots'!D31,'Slots'!D32,'Slots'!D33),0)+IF(OR('Reels'!D48="attack",'Reels'!D48="magic"),CHOOSE('Reels'!D49+1,'Slots'!D29,'Slots'!D30,'Slots'!D31,'Slots'!D32,'Slots'!D33),0)</f>
        <v>2</v>
      </c>
      <c r="E40">
        <f>IF('Reels'!D2="heal",'Reels'!D3*'Slots'!D24,0)+IF('Reels'!D38="heal",'Reels'!D39*'Slots'!D24,0)+IF('Reels'!D48="heal",'Reels'!D49*'Slots'!D24,0)</f>
        <v>0</v>
      </c>
      <c r="F40">
        <f>IF('Reels'!D2="block",'Reels'!D3*'Slots'!D25,0)+IF('Reels'!D38="block",'Reels'!D39*'Slots'!D25,0)+IF('Reels'!D48="block",'Reels'!D49*'Slots'!D25,0)</f>
        <v>1</v>
      </c>
      <c r="G40" t="b">
        <f>AND('Reels'!D2&lt;&gt;"blank",'Reels'!D2&lt;&gt;"class",'Reels'!D2='Reels'!D48,'Reels'!D3='Reels'!D49,OR('Reels'!D38="class",AND('Reels'!D38='Reels'!D2,'Reels'!D39='Reels'!D3)))</f>
        <v>0</v>
      </c>
      <c r="H40">
        <f>IF(G40,C40,0)</f>
        <v>0</v>
      </c>
    </row>
    <row r="41" spans="1:8" x14ac:dyDescent="0.25">
      <c r="A41" t="s">
        <v>225</v>
      </c>
      <c r="B41" t="s">
        <v>3404</v>
      </c>
      <c r="C41" s="4">
        <f>('Reels'!D4/('Reels'!D4+'Reels'!D7+'Reels'!D10+'Reels'!D13+'Reels'!D16+'Reels'!D19))*('Reels'!D40/('Reels'!D22+'Reels'!D25+'Reels'!D28+'Reels'!D31+'Reels'!D34+'Reels'!D37+'Reels'!D40))*('Reels'!D53/('Reels'!D44+'Reels'!D47+'Reels'!D50+'Reels'!D53+'Reels'!D56+'Reels'!D59))</f>
        <v>0.002727272727272727</v>
      </c>
      <c r="D41">
        <f>IF(OR('Reels'!D2="attack",'Reels'!D2="magic"),CHOOSE('Reels'!D3+1,'Slots'!D29,'Slots'!D30,'Slots'!D31,'Slots'!D32,'Slots'!D33),0)+IF(OR('Reels'!D38="attack",'Reels'!D38="magic"),CHOOSE('Reels'!D39+1,'Slots'!D29,'Slots'!D30,'Slots'!D31,'Slots'!D32,'Slots'!D33),0)+IF(OR('Reels'!D51="attack",'Reels'!D51="magic"),CHOOSE('Reels'!D52+1,'Slots'!D29,'Slots'!D30,'Slots'!D31,'Slots'!D32,'Slots'!D33),0)</f>
        <v>2</v>
      </c>
      <c r="E41">
        <f>IF('Reels'!D2="heal",'Reels'!D3*'Slots'!D24,0)+IF('Reels'!D38="heal",'Reels'!D39*'Slots'!D24,0)+IF('Reels'!D51="heal",'Reels'!D52*'Slots'!D24,0)</f>
        <v>0</v>
      </c>
      <c r="F41">
        <f>IF('Reels'!D2="block",'Reels'!D3*'Slots'!D25,0)+IF('Reels'!D38="block",'Reels'!D39*'Slots'!D25,0)+IF('Reels'!D51="block",'Reels'!D52*'Slots'!D25,0)</f>
        <v>2</v>
      </c>
      <c r="G41" t="b">
        <f>AND('Reels'!D2&lt;&gt;"blank",'Reels'!D2&lt;&gt;"class",'Reels'!D2='Reels'!D51,'Reels'!D3='Reels'!D52,OR('Reels'!D38="class",AND('Reels'!D38='Reels'!D2,'Reels'!D39='Reels'!D3)))</f>
        <v>0</v>
      </c>
      <c r="H41">
        <f>IF(G41,C41,0)</f>
        <v>0</v>
      </c>
    </row>
    <row r="42" spans="1:8" x14ac:dyDescent="0.25">
      <c r="A42" t="s">
        <v>225</v>
      </c>
      <c r="B42" t="s">
        <v>3405</v>
      </c>
      <c r="C42" s="4">
        <f>('Reels'!D4/('Reels'!D4+'Reels'!D7+'Reels'!D10+'Reels'!D13+'Reels'!D16+'Reels'!D19))*('Reels'!D40/('Reels'!D22+'Reels'!D25+'Reels'!D28+'Reels'!D31+'Reels'!D34+'Reels'!D37+'Reels'!D40))*('Reels'!D56/('Reels'!D44+'Reels'!D47+'Reels'!D50+'Reels'!D53+'Reels'!D56+'Reels'!D59))</f>
        <v>0.0009090909090909091</v>
      </c>
      <c r="D42">
        <f>IF(OR('Reels'!D2="attack",'Reels'!D2="magic"),CHOOSE('Reels'!D3+1,'Slots'!D29,'Slots'!D30,'Slots'!D31,'Slots'!D32,'Slots'!D33),0)+IF(OR('Reels'!D38="attack",'Reels'!D38="magic"),CHOOSE('Reels'!D39+1,'Slots'!D29,'Slots'!D30,'Slots'!D31,'Slots'!D32,'Slots'!D33),0)+IF(OR('Reels'!D54="attack",'Reels'!D54="magic"),CHOOSE('Reels'!D55+1,'Slots'!D29,'Slots'!D30,'Slots'!D31,'Slots'!D32,'Slots'!D33),0)</f>
        <v>2</v>
      </c>
      <c r="E42">
        <f>IF('Reels'!D2="heal",'Reels'!D3*'Slots'!D24,0)+IF('Reels'!D38="heal",'Reels'!D39*'Slots'!D24,0)+IF('Reels'!D54="heal",'Reels'!D55*'Slots'!D24,0)</f>
        <v>2</v>
      </c>
      <c r="F42">
        <f>IF('Reels'!D2="block",'Reels'!D3*'Slots'!D25,0)+IF('Reels'!D38="block",'Reels'!D39*'Slots'!D25,0)+IF('Reels'!D54="block",'Reels'!D55*'Slots'!D25,0)</f>
        <v>0</v>
      </c>
      <c r="G42" t="b">
        <f>AND('Reels'!D2&lt;&gt;"blank",'Reels'!D2&lt;&gt;"class",'Reels'!D2='Reels'!D54,'Reels'!D3='Reels'!D55,OR('Reels'!D38="class",AND('Reels'!D38='Reels'!D2,'Reels'!D39='Reels'!D3)))</f>
        <v>0</v>
      </c>
      <c r="H42">
        <f>IF(G42,C42,0)</f>
        <v>0</v>
      </c>
    </row>
    <row r="43" spans="1:8" x14ac:dyDescent="0.25">
      <c r="A43" t="s">
        <v>225</v>
      </c>
      <c r="B43" t="s">
        <v>3406</v>
      </c>
      <c r="C43" s="4">
        <f>('Reels'!D4/('Reels'!D4+'Reels'!D7+'Reels'!D10+'Reels'!D13+'Reels'!D16+'Reels'!D19))*('Reels'!D40/('Reels'!D22+'Reels'!D25+'Reels'!D28+'Reels'!D31+'Reels'!D34+'Reels'!D37+'Reels'!D40))*('Reels'!D59/('Reels'!D44+'Reels'!D47+'Reels'!D50+'Reels'!D53+'Reels'!D56+'Reels'!D59))</f>
        <v>0.004545454545454545</v>
      </c>
      <c r="D43">
        <f>IF(OR('Reels'!D2="attack",'Reels'!D2="magic"),CHOOSE('Reels'!D3+1,'Slots'!D29,'Slots'!D30,'Slots'!D31,'Slots'!D32,'Slots'!D33),0)+IF(OR('Reels'!D38="attack",'Reels'!D38="magic"),CHOOSE('Reels'!D39+1,'Slots'!D29,'Slots'!D30,'Slots'!D31,'Slots'!D32,'Slots'!D33),0)+IF(OR('Reels'!D57="attack",'Reels'!D57="magic"),CHOOSE('Reels'!D58+1,'Slots'!D29,'Slots'!D30,'Slots'!D31,'Slots'!D32,'Slots'!D33),0)</f>
        <v>2</v>
      </c>
      <c r="E43">
        <f>IF('Reels'!D2="heal",'Reels'!D3*'Slots'!D24,0)+IF('Reels'!D38="heal",'Reels'!D39*'Slots'!D24,0)+IF('Reels'!D57="heal",'Reels'!D58*'Slots'!D24,0)</f>
        <v>0</v>
      </c>
      <c r="F43">
        <f>IF('Reels'!D2="block",'Reels'!D3*'Slots'!D25,0)+IF('Reels'!D38="block",'Reels'!D39*'Slots'!D25,0)+IF('Reels'!D57="block",'Reels'!D58*'Slots'!D25,0)</f>
        <v>0</v>
      </c>
      <c r="G43" t="b">
        <f>AND('Reels'!D2&lt;&gt;"blank",'Reels'!D2&lt;&gt;"class",'Reels'!D2='Reels'!D57,'Reels'!D3='Reels'!D58,OR('Reels'!D38="class",AND('Reels'!D38='Reels'!D2,'Reels'!D39='Reels'!D3)))</f>
        <v>0</v>
      </c>
      <c r="H43">
        <f>IF(G43,C43,0)</f>
        <v>0</v>
      </c>
    </row>
    <row r="44" spans="1:8" x14ac:dyDescent="0.25">
      <c r="A44" t="s">
        <v>225</v>
      </c>
      <c r="B44" t="s">
        <v>3407</v>
      </c>
      <c r="C44" s="4">
        <f>('Reels'!D7/('Reels'!D4+'Reels'!D7+'Reels'!D10+'Reels'!D13+'Reels'!D16+'Reels'!D19))*('Reels'!D22/('Reels'!D22+'Reels'!D25+'Reels'!D28+'Reels'!D31+'Reels'!D34+'Reels'!D37+'Reels'!D40))*('Reels'!D44/('Reels'!D44+'Reels'!D47+'Reels'!D50+'Reels'!D53+'Reels'!D56+'Reels'!D59))</f>
        <v>0.013636363636363637</v>
      </c>
      <c r="D44">
        <f>IF(OR('Reels'!D5="attack",'Reels'!D5="magic"),CHOOSE('Reels'!D6+1,'Slots'!D29,'Slots'!D30,'Slots'!D31,'Slots'!D32,'Slots'!D33),0)+IF(OR('Reels'!D20="attack",'Reels'!D20="magic"),CHOOSE('Reels'!D21+1,'Slots'!D29,'Slots'!D30,'Slots'!D31,'Slots'!D32,'Slots'!D33),0)+IF(OR('Reels'!D42="attack",'Reels'!D42="magic"),CHOOSE('Reels'!D43+1,'Slots'!D29,'Slots'!D30,'Slots'!D31,'Slots'!D32,'Slots'!D33),0)</f>
        <v>8</v>
      </c>
      <c r="E44">
        <f>IF('Reels'!D5="heal",'Reels'!D6*'Slots'!D24,0)+IF('Reels'!D20="heal",'Reels'!D21*'Slots'!D24,0)+IF('Reels'!D42="heal",'Reels'!D43*'Slots'!D24,0)</f>
        <v>0</v>
      </c>
      <c r="F44">
        <f>IF('Reels'!D5="block",'Reels'!D6*'Slots'!D25,0)+IF('Reels'!D20="block",'Reels'!D21*'Slots'!D25,0)+IF('Reels'!D42="block",'Reels'!D43*'Slots'!D25,0)</f>
        <v>0</v>
      </c>
      <c r="G44" t="b">
        <f>AND('Reels'!D5&lt;&gt;"blank",'Reels'!D5&lt;&gt;"class",'Reels'!D5='Reels'!D42,'Reels'!D6='Reels'!D43,OR('Reels'!D20="class",AND('Reels'!D20='Reels'!D5,'Reels'!D21='Reels'!D6)))</f>
        <v>0</v>
      </c>
      <c r="H44">
        <f>IF(G44,C44,0)</f>
        <v>0</v>
      </c>
    </row>
    <row r="45" spans="1:8" x14ac:dyDescent="0.25">
      <c r="A45" t="s">
        <v>225</v>
      </c>
      <c r="B45" t="s">
        <v>3408</v>
      </c>
      <c r="C45" s="4">
        <f>('Reels'!D7/('Reels'!D4+'Reels'!D7+'Reels'!D10+'Reels'!D13+'Reels'!D16+'Reels'!D19))*('Reels'!D22/('Reels'!D22+'Reels'!D25+'Reels'!D28+'Reels'!D31+'Reels'!D34+'Reels'!D37+'Reels'!D40))*('Reels'!D47/('Reels'!D44+'Reels'!D47+'Reels'!D50+'Reels'!D53+'Reels'!D56+'Reels'!D59))</f>
        <v>0.007575757575757577</v>
      </c>
      <c r="D45">
        <f>IF(OR('Reels'!D5="attack",'Reels'!D5="magic"),CHOOSE('Reels'!D6+1,'Slots'!D29,'Slots'!D30,'Slots'!D31,'Slots'!D32,'Slots'!D33),0)+IF(OR('Reels'!D20="attack",'Reels'!D20="magic"),CHOOSE('Reels'!D21+1,'Slots'!D29,'Slots'!D30,'Slots'!D31,'Slots'!D32,'Slots'!D33),0)+IF(OR('Reels'!D45="attack",'Reels'!D45="magic"),CHOOSE('Reels'!D46+1,'Slots'!D29,'Slots'!D30,'Slots'!D31,'Slots'!D32,'Slots'!D33),0)</f>
        <v>10</v>
      </c>
      <c r="E45">
        <f>IF('Reels'!D5="heal",'Reels'!D6*'Slots'!D24,0)+IF('Reels'!D20="heal",'Reels'!D21*'Slots'!D24,0)+IF('Reels'!D45="heal",'Reels'!D46*'Slots'!D24,0)</f>
        <v>0</v>
      </c>
      <c r="F45">
        <f>IF('Reels'!D5="block",'Reels'!D6*'Slots'!D25,0)+IF('Reels'!D20="block",'Reels'!D21*'Slots'!D25,0)+IF('Reels'!D45="block",'Reels'!D46*'Slots'!D25,0)</f>
        <v>0</v>
      </c>
      <c r="G45" t="b">
        <f>AND('Reels'!D5&lt;&gt;"blank",'Reels'!D5&lt;&gt;"class",'Reels'!D5='Reels'!D45,'Reels'!D6='Reels'!D46,OR('Reels'!D20="class",AND('Reels'!D20='Reels'!D5,'Reels'!D21='Reels'!D6)))</f>
        <v>0</v>
      </c>
      <c r="H45">
        <f>IF(G45,C45,0)</f>
        <v>0</v>
      </c>
    </row>
    <row r="46" spans="1:8" x14ac:dyDescent="0.25">
      <c r="A46" t="s">
        <v>225</v>
      </c>
      <c r="B46" t="s">
        <v>3409</v>
      </c>
      <c r="C46" s="4">
        <f>('Reels'!D7/('Reels'!D4+'Reels'!D7+'Reels'!D10+'Reels'!D13+'Reels'!D16+'Reels'!D19))*('Reels'!D22/('Reels'!D22+'Reels'!D25+'Reels'!D28+'Reels'!D31+'Reels'!D34+'Reels'!D37+'Reels'!D40))*('Reels'!D50/('Reels'!D44+'Reels'!D47+'Reels'!D50+'Reels'!D53+'Reels'!D56+'Reels'!D59))</f>
        <v>0.010606060606060607</v>
      </c>
      <c r="D46">
        <f>IF(OR('Reels'!D5="attack",'Reels'!D5="magic"),CHOOSE('Reels'!D6+1,'Slots'!D29,'Slots'!D30,'Slots'!D31,'Slots'!D32,'Slots'!D33),0)+IF(OR('Reels'!D20="attack",'Reels'!D20="magic"),CHOOSE('Reels'!D21+1,'Slots'!D29,'Slots'!D30,'Slots'!D31,'Slots'!D32,'Slots'!D33),0)+IF(OR('Reels'!D48="attack",'Reels'!D48="magic"),CHOOSE('Reels'!D49+1,'Slots'!D29,'Slots'!D30,'Slots'!D31,'Slots'!D32,'Slots'!D33),0)</f>
        <v>6</v>
      </c>
      <c r="E46">
        <f>IF('Reels'!D5="heal",'Reels'!D6*'Slots'!D24,0)+IF('Reels'!D20="heal",'Reels'!D21*'Slots'!D24,0)+IF('Reels'!D48="heal",'Reels'!D49*'Slots'!D24,0)</f>
        <v>0</v>
      </c>
      <c r="F46">
        <f>IF('Reels'!D5="block",'Reels'!D6*'Slots'!D25,0)+IF('Reels'!D20="block",'Reels'!D21*'Slots'!D25,0)+IF('Reels'!D48="block",'Reels'!D49*'Slots'!D25,0)</f>
        <v>1</v>
      </c>
      <c r="G46" t="b">
        <f>AND('Reels'!D5&lt;&gt;"blank",'Reels'!D5&lt;&gt;"class",'Reels'!D5='Reels'!D48,'Reels'!D6='Reels'!D49,OR('Reels'!D20="class",AND('Reels'!D20='Reels'!D5,'Reels'!D21='Reels'!D6)))</f>
        <v>0</v>
      </c>
      <c r="H46">
        <f>IF(G46,C46,0)</f>
        <v>0</v>
      </c>
    </row>
    <row r="47" spans="1:8" x14ac:dyDescent="0.25">
      <c r="A47" t="s">
        <v>225</v>
      </c>
      <c r="B47" t="s">
        <v>3410</v>
      </c>
      <c r="C47" s="4">
        <f>('Reels'!D7/('Reels'!D4+'Reels'!D7+'Reels'!D10+'Reels'!D13+'Reels'!D16+'Reels'!D19))*('Reels'!D22/('Reels'!D22+'Reels'!D25+'Reels'!D28+'Reels'!D31+'Reels'!D34+'Reels'!D37+'Reels'!D40))*('Reels'!D53/('Reels'!D44+'Reels'!D47+'Reels'!D50+'Reels'!D53+'Reels'!D56+'Reels'!D59))</f>
        <v>0.004545454545454545</v>
      </c>
      <c r="D47">
        <f>IF(OR('Reels'!D5="attack",'Reels'!D5="magic"),CHOOSE('Reels'!D6+1,'Slots'!D29,'Slots'!D30,'Slots'!D31,'Slots'!D32,'Slots'!D33),0)+IF(OR('Reels'!D20="attack",'Reels'!D20="magic"),CHOOSE('Reels'!D21+1,'Slots'!D29,'Slots'!D30,'Slots'!D31,'Slots'!D32,'Slots'!D33),0)+IF(OR('Reels'!D51="attack",'Reels'!D51="magic"),CHOOSE('Reels'!D52+1,'Slots'!D29,'Slots'!D30,'Slots'!D31,'Slots'!D32,'Slots'!D33),0)</f>
        <v>6</v>
      </c>
      <c r="E47">
        <f>IF('Reels'!D5="heal",'Reels'!D6*'Slots'!D24,0)+IF('Reels'!D20="heal",'Reels'!D21*'Slots'!D24,0)+IF('Reels'!D51="heal",'Reels'!D52*'Slots'!D24,0)</f>
        <v>0</v>
      </c>
      <c r="F47">
        <f>IF('Reels'!D5="block",'Reels'!D6*'Slots'!D25,0)+IF('Reels'!D20="block",'Reels'!D21*'Slots'!D25,0)+IF('Reels'!D51="block",'Reels'!D52*'Slots'!D25,0)</f>
        <v>2</v>
      </c>
      <c r="G47" t="b">
        <f>AND('Reels'!D5&lt;&gt;"blank",'Reels'!D5&lt;&gt;"class",'Reels'!D5='Reels'!D51,'Reels'!D6='Reels'!D52,OR('Reels'!D20="class",AND('Reels'!D20='Reels'!D5,'Reels'!D21='Reels'!D6)))</f>
        <v>0</v>
      </c>
      <c r="H47">
        <f>IF(G47,C47,0)</f>
        <v>0</v>
      </c>
    </row>
    <row r="48" spans="1:8" x14ac:dyDescent="0.25">
      <c r="A48" t="s">
        <v>225</v>
      </c>
      <c r="B48" t="s">
        <v>3411</v>
      </c>
      <c r="C48" s="4">
        <f>('Reels'!D7/('Reels'!D4+'Reels'!D7+'Reels'!D10+'Reels'!D13+'Reels'!D16+'Reels'!D19))*('Reels'!D22/('Reels'!D22+'Reels'!D25+'Reels'!D28+'Reels'!D31+'Reels'!D34+'Reels'!D37+'Reels'!D40))*('Reels'!D56/('Reels'!D44+'Reels'!D47+'Reels'!D50+'Reels'!D53+'Reels'!D56+'Reels'!D59))</f>
        <v>0.0015151515151515152</v>
      </c>
      <c r="D48">
        <f>IF(OR('Reels'!D5="attack",'Reels'!D5="magic"),CHOOSE('Reels'!D6+1,'Slots'!D29,'Slots'!D30,'Slots'!D31,'Slots'!D32,'Slots'!D33),0)+IF(OR('Reels'!D20="attack",'Reels'!D20="magic"),CHOOSE('Reels'!D21+1,'Slots'!D29,'Slots'!D30,'Slots'!D31,'Slots'!D32,'Slots'!D33),0)+IF(OR('Reels'!D54="attack",'Reels'!D54="magic"),CHOOSE('Reels'!D55+1,'Slots'!D29,'Slots'!D30,'Slots'!D31,'Slots'!D32,'Slots'!D33),0)</f>
        <v>6</v>
      </c>
      <c r="E48">
        <f>IF('Reels'!D5="heal",'Reels'!D6*'Slots'!D24,0)+IF('Reels'!D20="heal",'Reels'!D21*'Slots'!D24,0)+IF('Reels'!D54="heal",'Reels'!D55*'Slots'!D24,0)</f>
        <v>2</v>
      </c>
      <c r="F48">
        <f>IF('Reels'!D5="block",'Reels'!D6*'Slots'!D25,0)+IF('Reels'!D20="block",'Reels'!D21*'Slots'!D25,0)+IF('Reels'!D54="block",'Reels'!D55*'Slots'!D25,0)</f>
        <v>0</v>
      </c>
      <c r="G48" t="b">
        <f>AND('Reels'!D5&lt;&gt;"blank",'Reels'!D5&lt;&gt;"class",'Reels'!D5='Reels'!D54,'Reels'!D6='Reels'!D55,OR('Reels'!D20="class",AND('Reels'!D20='Reels'!D5,'Reels'!D21='Reels'!D6)))</f>
        <v>0</v>
      </c>
      <c r="H48">
        <f>IF(G48,C48,0)</f>
        <v>0</v>
      </c>
    </row>
    <row r="49" spans="1:8" x14ac:dyDescent="0.25">
      <c r="A49" t="s">
        <v>225</v>
      </c>
      <c r="B49" t="s">
        <v>3412</v>
      </c>
      <c r="C49" s="4">
        <f>('Reels'!D7/('Reels'!D4+'Reels'!D7+'Reels'!D10+'Reels'!D13+'Reels'!D16+'Reels'!D19))*('Reels'!D22/('Reels'!D22+'Reels'!D25+'Reels'!D28+'Reels'!D31+'Reels'!D34+'Reels'!D37+'Reels'!D40))*('Reels'!D59/('Reels'!D44+'Reels'!D47+'Reels'!D50+'Reels'!D53+'Reels'!D56+'Reels'!D59))</f>
        <v>0.007575757575757577</v>
      </c>
      <c r="D49">
        <f>IF(OR('Reels'!D5="attack",'Reels'!D5="magic"),CHOOSE('Reels'!D6+1,'Slots'!D29,'Slots'!D30,'Slots'!D31,'Slots'!D32,'Slots'!D33),0)+IF(OR('Reels'!D20="attack",'Reels'!D20="magic"),CHOOSE('Reels'!D21+1,'Slots'!D29,'Slots'!D30,'Slots'!D31,'Slots'!D32,'Slots'!D33),0)+IF(OR('Reels'!D57="attack",'Reels'!D57="magic"),CHOOSE('Reels'!D58+1,'Slots'!D29,'Slots'!D30,'Slots'!D31,'Slots'!D32,'Slots'!D33),0)</f>
        <v>6</v>
      </c>
      <c r="E49">
        <f>IF('Reels'!D5="heal",'Reels'!D6*'Slots'!D24,0)+IF('Reels'!D20="heal",'Reels'!D21*'Slots'!D24,0)+IF('Reels'!D57="heal",'Reels'!D58*'Slots'!D24,0)</f>
        <v>0</v>
      </c>
      <c r="F49">
        <f>IF('Reels'!D5="block",'Reels'!D6*'Slots'!D25,0)+IF('Reels'!D20="block",'Reels'!D21*'Slots'!D25,0)+IF('Reels'!D57="block",'Reels'!D58*'Slots'!D25,0)</f>
        <v>0</v>
      </c>
      <c r="G49" t="b">
        <f>AND('Reels'!D5&lt;&gt;"blank",'Reels'!D5&lt;&gt;"class",'Reels'!D5='Reels'!D57,'Reels'!D6='Reels'!D58,OR('Reels'!D20="class",AND('Reels'!D20='Reels'!D5,'Reels'!D21='Reels'!D6)))</f>
        <v>0</v>
      </c>
      <c r="H49">
        <f>IF(G49,C49,0)</f>
        <v>0</v>
      </c>
    </row>
    <row r="50" spans="1:8" x14ac:dyDescent="0.25">
      <c r="A50" t="s">
        <v>225</v>
      </c>
      <c r="B50" t="s">
        <v>3413</v>
      </c>
      <c r="C50" s="4">
        <f>('Reels'!D7/('Reels'!D4+'Reels'!D7+'Reels'!D10+'Reels'!D13+'Reels'!D16+'Reels'!D19))*('Reels'!D25/('Reels'!D22+'Reels'!D25+'Reels'!D28+'Reels'!D31+'Reels'!D34+'Reels'!D37+'Reels'!D40))*('Reels'!D44/('Reels'!D44+'Reels'!D47+'Reels'!D50+'Reels'!D53+'Reels'!D56+'Reels'!D59))</f>
        <v>0.007575757575757574</v>
      </c>
      <c r="D50">
        <f>IF(OR('Reels'!D5="attack",'Reels'!D5="magic"),CHOOSE('Reels'!D6+1,'Slots'!D29,'Slots'!D30,'Slots'!D31,'Slots'!D32,'Slots'!D33),0)+IF(OR('Reels'!D23="attack",'Reels'!D23="magic"),CHOOSE('Reels'!D24+1,'Slots'!D29,'Slots'!D30,'Slots'!D31,'Slots'!D32,'Slots'!D33),0)+IF(OR('Reels'!D42="attack",'Reels'!D42="magic"),CHOOSE('Reels'!D43+1,'Slots'!D29,'Slots'!D30,'Slots'!D31,'Slots'!D32,'Slots'!D33),0)</f>
        <v>10</v>
      </c>
      <c r="E50">
        <f>IF('Reels'!D5="heal",'Reels'!D6*'Slots'!D24,0)+IF('Reels'!D23="heal",'Reels'!D24*'Slots'!D24,0)+IF('Reels'!D42="heal",'Reels'!D43*'Slots'!D24,0)</f>
        <v>0</v>
      </c>
      <c r="F50">
        <f>IF('Reels'!D5="block",'Reels'!D6*'Slots'!D25,0)+IF('Reels'!D23="block",'Reels'!D24*'Slots'!D25,0)+IF('Reels'!D42="block",'Reels'!D43*'Slots'!D25,0)</f>
        <v>0</v>
      </c>
      <c r="G50" t="b">
        <f>AND('Reels'!D5&lt;&gt;"blank",'Reels'!D5&lt;&gt;"class",'Reels'!D5='Reels'!D42,'Reels'!D6='Reels'!D43,OR('Reels'!D23="class",AND('Reels'!D23='Reels'!D5,'Reels'!D24='Reels'!D6)))</f>
        <v>0</v>
      </c>
      <c r="H50">
        <f>IF(G50,C50,0)</f>
        <v>0</v>
      </c>
    </row>
    <row r="51" spans="1:8" x14ac:dyDescent="0.25">
      <c r="A51" t="s">
        <v>225</v>
      </c>
      <c r="B51" t="s">
        <v>3414</v>
      </c>
      <c r="C51" s="4">
        <f>('Reels'!D7/('Reels'!D4+'Reels'!D7+'Reels'!D10+'Reels'!D13+'Reels'!D16+'Reels'!D19))*('Reels'!D25/('Reels'!D22+'Reels'!D25+'Reels'!D28+'Reels'!D31+'Reels'!D34+'Reels'!D37+'Reels'!D40))*('Reels'!D47/('Reels'!D44+'Reels'!D47+'Reels'!D50+'Reels'!D53+'Reels'!D56+'Reels'!D59))</f>
        <v>0.004208754208754208</v>
      </c>
      <c r="D51">
        <f>IF(OR('Reels'!D5="attack",'Reels'!D5="magic"),CHOOSE('Reels'!D6+1,'Slots'!D29,'Slots'!D30,'Slots'!D31,'Slots'!D32,'Slots'!D33),0)+IF(OR('Reels'!D23="attack",'Reels'!D23="magic"),CHOOSE('Reels'!D24+1,'Slots'!D29,'Slots'!D30,'Slots'!D31,'Slots'!D32,'Slots'!D33),0)+IF(OR('Reels'!D45="attack",'Reels'!D45="magic"),CHOOSE('Reels'!D46+1,'Slots'!D29,'Slots'!D30,'Slots'!D31,'Slots'!D32,'Slots'!D33),0)</f>
        <v>12</v>
      </c>
      <c r="E51">
        <f>IF('Reels'!D5="heal",'Reels'!D6*'Slots'!D24,0)+IF('Reels'!D23="heal",'Reels'!D24*'Slots'!D24,0)+IF('Reels'!D45="heal",'Reels'!D46*'Slots'!D24,0)</f>
        <v>0</v>
      </c>
      <c r="F51">
        <f>IF('Reels'!D5="block",'Reels'!D6*'Slots'!D25,0)+IF('Reels'!D23="block",'Reels'!D24*'Slots'!D25,0)+IF('Reels'!D45="block",'Reels'!D46*'Slots'!D25,0)</f>
        <v>0</v>
      </c>
      <c r="G51" t="b">
        <f>AND('Reels'!D5&lt;&gt;"blank",'Reels'!D5&lt;&gt;"class",'Reels'!D5='Reels'!D45,'Reels'!D6='Reels'!D46,OR('Reels'!D23="class",AND('Reels'!D23='Reels'!D5,'Reels'!D24='Reels'!D6)))</f>
        <v>1</v>
      </c>
      <c r="H51">
        <f>IF(G51,C51,0)</f>
        <v>0.004208754208754208</v>
      </c>
    </row>
    <row r="52" spans="1:8" x14ac:dyDescent="0.25">
      <c r="A52" t="s">
        <v>225</v>
      </c>
      <c r="B52" t="s">
        <v>3415</v>
      </c>
      <c r="C52" s="4">
        <f>('Reels'!D7/('Reels'!D4+'Reels'!D7+'Reels'!D10+'Reels'!D13+'Reels'!D16+'Reels'!D19))*('Reels'!D25/('Reels'!D22+'Reels'!D25+'Reels'!D28+'Reels'!D31+'Reels'!D34+'Reels'!D37+'Reels'!D40))*('Reels'!D50/('Reels'!D44+'Reels'!D47+'Reels'!D50+'Reels'!D53+'Reels'!D56+'Reels'!D59))</f>
        <v>0.0058922558922558915</v>
      </c>
      <c r="D52">
        <f>IF(OR('Reels'!D5="attack",'Reels'!D5="magic"),CHOOSE('Reels'!D6+1,'Slots'!D29,'Slots'!D30,'Slots'!D31,'Slots'!D32,'Slots'!D33),0)+IF(OR('Reels'!D23="attack",'Reels'!D23="magic"),CHOOSE('Reels'!D24+1,'Slots'!D29,'Slots'!D30,'Slots'!D31,'Slots'!D32,'Slots'!D33),0)+IF(OR('Reels'!D48="attack",'Reels'!D48="magic"),CHOOSE('Reels'!D49+1,'Slots'!D29,'Slots'!D30,'Slots'!D31,'Slots'!D32,'Slots'!D33),0)</f>
        <v>8</v>
      </c>
      <c r="E52">
        <f>IF('Reels'!D5="heal",'Reels'!D6*'Slots'!D24,0)+IF('Reels'!D23="heal",'Reels'!D24*'Slots'!D24,0)+IF('Reels'!D48="heal",'Reels'!D49*'Slots'!D24,0)</f>
        <v>0</v>
      </c>
      <c r="F52">
        <f>IF('Reels'!D5="block",'Reels'!D6*'Slots'!D25,0)+IF('Reels'!D23="block",'Reels'!D24*'Slots'!D25,0)+IF('Reels'!D48="block",'Reels'!D49*'Slots'!D25,0)</f>
        <v>1</v>
      </c>
      <c r="G52" t="b">
        <f>AND('Reels'!D5&lt;&gt;"blank",'Reels'!D5&lt;&gt;"class",'Reels'!D5='Reels'!D48,'Reels'!D6='Reels'!D49,OR('Reels'!D23="class",AND('Reels'!D23='Reels'!D5,'Reels'!D24='Reels'!D6)))</f>
        <v>0</v>
      </c>
      <c r="H52">
        <f>IF(G52,C52,0)</f>
        <v>0</v>
      </c>
    </row>
    <row r="53" spans="1:8" x14ac:dyDescent="0.25">
      <c r="A53" t="s">
        <v>225</v>
      </c>
      <c r="B53" t="s">
        <v>3416</v>
      </c>
      <c r="C53" s="4">
        <f>('Reels'!D7/('Reels'!D4+'Reels'!D7+'Reels'!D10+'Reels'!D13+'Reels'!D16+'Reels'!D19))*('Reels'!D25/('Reels'!D22+'Reels'!D25+'Reels'!D28+'Reels'!D31+'Reels'!D34+'Reels'!D37+'Reels'!D40))*('Reels'!D53/('Reels'!D44+'Reels'!D47+'Reels'!D50+'Reels'!D53+'Reels'!D56+'Reels'!D59))</f>
        <v>0.002525252525252525</v>
      </c>
      <c r="D53">
        <f>IF(OR('Reels'!D5="attack",'Reels'!D5="magic"),CHOOSE('Reels'!D6+1,'Slots'!D29,'Slots'!D30,'Slots'!D31,'Slots'!D32,'Slots'!D33),0)+IF(OR('Reels'!D23="attack",'Reels'!D23="magic"),CHOOSE('Reels'!D24+1,'Slots'!D29,'Slots'!D30,'Slots'!D31,'Slots'!D32,'Slots'!D33),0)+IF(OR('Reels'!D51="attack",'Reels'!D51="magic"),CHOOSE('Reels'!D52+1,'Slots'!D29,'Slots'!D30,'Slots'!D31,'Slots'!D32,'Slots'!D33),0)</f>
        <v>8</v>
      </c>
      <c r="E53">
        <f>IF('Reels'!D5="heal",'Reels'!D6*'Slots'!D24,0)+IF('Reels'!D23="heal",'Reels'!D24*'Slots'!D24,0)+IF('Reels'!D51="heal",'Reels'!D52*'Slots'!D24,0)</f>
        <v>0</v>
      </c>
      <c r="F53">
        <f>IF('Reels'!D5="block",'Reels'!D6*'Slots'!D25,0)+IF('Reels'!D23="block",'Reels'!D24*'Slots'!D25,0)+IF('Reels'!D51="block",'Reels'!D52*'Slots'!D25,0)</f>
        <v>2</v>
      </c>
      <c r="G53" t="b">
        <f>AND('Reels'!D5&lt;&gt;"blank",'Reels'!D5&lt;&gt;"class",'Reels'!D5='Reels'!D51,'Reels'!D6='Reels'!D52,OR('Reels'!D23="class",AND('Reels'!D23='Reels'!D5,'Reels'!D24='Reels'!D6)))</f>
        <v>0</v>
      </c>
      <c r="H53">
        <f>IF(G53,C53,0)</f>
        <v>0</v>
      </c>
    </row>
    <row r="54" spans="1:8" x14ac:dyDescent="0.25">
      <c r="A54" t="s">
        <v>225</v>
      </c>
      <c r="B54" t="s">
        <v>3417</v>
      </c>
      <c r="C54" s="4">
        <f>('Reels'!D7/('Reels'!D4+'Reels'!D7+'Reels'!D10+'Reels'!D13+'Reels'!D16+'Reels'!D19))*('Reels'!D25/('Reels'!D22+'Reels'!D25+'Reels'!D28+'Reels'!D31+'Reels'!D34+'Reels'!D37+'Reels'!D40))*('Reels'!D56/('Reels'!D44+'Reels'!D47+'Reels'!D50+'Reels'!D53+'Reels'!D56+'Reels'!D59))</f>
        <v>0.0008417508417508416</v>
      </c>
      <c r="D54">
        <f>IF(OR('Reels'!D5="attack",'Reels'!D5="magic"),CHOOSE('Reels'!D6+1,'Slots'!D29,'Slots'!D30,'Slots'!D31,'Slots'!D32,'Slots'!D33),0)+IF(OR('Reels'!D23="attack",'Reels'!D23="magic"),CHOOSE('Reels'!D24+1,'Slots'!D29,'Slots'!D30,'Slots'!D31,'Slots'!D32,'Slots'!D33),0)+IF(OR('Reels'!D54="attack",'Reels'!D54="magic"),CHOOSE('Reels'!D55+1,'Slots'!D29,'Slots'!D30,'Slots'!D31,'Slots'!D32,'Slots'!D33),0)</f>
        <v>8</v>
      </c>
      <c r="E54">
        <f>IF('Reels'!D5="heal",'Reels'!D6*'Slots'!D24,0)+IF('Reels'!D23="heal",'Reels'!D24*'Slots'!D24,0)+IF('Reels'!D54="heal",'Reels'!D55*'Slots'!D24,0)</f>
        <v>2</v>
      </c>
      <c r="F54">
        <f>IF('Reels'!D5="block",'Reels'!D6*'Slots'!D25,0)+IF('Reels'!D23="block",'Reels'!D24*'Slots'!D25,0)+IF('Reels'!D54="block",'Reels'!D55*'Slots'!D25,0)</f>
        <v>0</v>
      </c>
      <c r="G54" t="b">
        <f>AND('Reels'!D5&lt;&gt;"blank",'Reels'!D5&lt;&gt;"class",'Reels'!D5='Reels'!D54,'Reels'!D6='Reels'!D55,OR('Reels'!D23="class",AND('Reels'!D23='Reels'!D5,'Reels'!D24='Reels'!D6)))</f>
        <v>0</v>
      </c>
      <c r="H54">
        <f>IF(G54,C54,0)</f>
        <v>0</v>
      </c>
    </row>
    <row r="55" spans="1:8" x14ac:dyDescent="0.25">
      <c r="A55" t="s">
        <v>225</v>
      </c>
      <c r="B55" t="s">
        <v>3418</v>
      </c>
      <c r="C55" s="4">
        <f>('Reels'!D7/('Reels'!D4+'Reels'!D7+'Reels'!D10+'Reels'!D13+'Reels'!D16+'Reels'!D19))*('Reels'!D25/('Reels'!D22+'Reels'!D25+'Reels'!D28+'Reels'!D31+'Reels'!D34+'Reels'!D37+'Reels'!D40))*('Reels'!D59/('Reels'!D44+'Reels'!D47+'Reels'!D50+'Reels'!D53+'Reels'!D56+'Reels'!D59))</f>
        <v>0.004208754208754208</v>
      </c>
      <c r="D55">
        <f>IF(OR('Reels'!D5="attack",'Reels'!D5="magic"),CHOOSE('Reels'!D6+1,'Slots'!D29,'Slots'!D30,'Slots'!D31,'Slots'!D32,'Slots'!D33),0)+IF(OR('Reels'!D23="attack",'Reels'!D23="magic"),CHOOSE('Reels'!D24+1,'Slots'!D29,'Slots'!D30,'Slots'!D31,'Slots'!D32,'Slots'!D33),0)+IF(OR('Reels'!D57="attack",'Reels'!D57="magic"),CHOOSE('Reels'!D58+1,'Slots'!D29,'Slots'!D30,'Slots'!D31,'Slots'!D32,'Slots'!D33),0)</f>
        <v>8</v>
      </c>
      <c r="E55">
        <f>IF('Reels'!D5="heal",'Reels'!D6*'Slots'!D24,0)+IF('Reels'!D23="heal",'Reels'!D24*'Slots'!D24,0)+IF('Reels'!D57="heal",'Reels'!D58*'Slots'!D24,0)</f>
        <v>0</v>
      </c>
      <c r="F55">
        <f>IF('Reels'!D5="block",'Reels'!D6*'Slots'!D25,0)+IF('Reels'!D23="block",'Reels'!D24*'Slots'!D25,0)+IF('Reels'!D57="block",'Reels'!D58*'Slots'!D25,0)</f>
        <v>0</v>
      </c>
      <c r="G55" t="b">
        <f>AND('Reels'!D5&lt;&gt;"blank",'Reels'!D5&lt;&gt;"class",'Reels'!D5='Reels'!D57,'Reels'!D6='Reels'!D58,OR('Reels'!D23="class",AND('Reels'!D23='Reels'!D5,'Reels'!D24='Reels'!D6)))</f>
        <v>0</v>
      </c>
      <c r="H55">
        <f>IF(G55,C55,0)</f>
        <v>0</v>
      </c>
    </row>
    <row r="56" spans="1:8" x14ac:dyDescent="0.25">
      <c r="A56" t="s">
        <v>225</v>
      </c>
      <c r="B56" t="s">
        <v>3419</v>
      </c>
      <c r="C56" s="4">
        <f>('Reels'!D7/('Reels'!D4+'Reels'!D7+'Reels'!D10+'Reels'!D13+'Reels'!D16+'Reels'!D19))*('Reels'!D28/('Reels'!D22+'Reels'!D25+'Reels'!D28+'Reels'!D31+'Reels'!D34+'Reels'!D37+'Reels'!D40))*('Reels'!D44/('Reels'!D44+'Reels'!D47+'Reels'!D50+'Reels'!D53+'Reels'!D56+'Reels'!D59))</f>
        <v>0.010606060606060607</v>
      </c>
      <c r="D56">
        <f>IF(OR('Reels'!D5="attack",'Reels'!D5="magic"),CHOOSE('Reels'!D6+1,'Slots'!D29,'Slots'!D30,'Slots'!D31,'Slots'!D32,'Slots'!D33),0)+IF(OR('Reels'!D26="attack",'Reels'!D26="magic"),CHOOSE('Reels'!D27+1,'Slots'!D29,'Slots'!D30,'Slots'!D31,'Slots'!D32,'Slots'!D33),0)+IF(OR('Reels'!D42="attack",'Reels'!D42="magic"),CHOOSE('Reels'!D43+1,'Slots'!D29,'Slots'!D30,'Slots'!D31,'Slots'!D32,'Slots'!D33),0)</f>
        <v>6</v>
      </c>
      <c r="E56">
        <f>IF('Reels'!D5="heal",'Reels'!D6*'Slots'!D24,0)+IF('Reels'!D26="heal",'Reels'!D27*'Slots'!D24,0)+IF('Reels'!D42="heal",'Reels'!D43*'Slots'!D24,0)</f>
        <v>0</v>
      </c>
      <c r="F56">
        <f>IF('Reels'!D5="block",'Reels'!D6*'Slots'!D25,0)+IF('Reels'!D26="block",'Reels'!D27*'Slots'!D25,0)+IF('Reels'!D42="block",'Reels'!D43*'Slots'!D25,0)</f>
        <v>1</v>
      </c>
      <c r="G56" t="b">
        <f>AND('Reels'!D5&lt;&gt;"blank",'Reels'!D5&lt;&gt;"class",'Reels'!D5='Reels'!D42,'Reels'!D6='Reels'!D43,OR('Reels'!D26="class",AND('Reels'!D26='Reels'!D5,'Reels'!D27='Reels'!D6)))</f>
        <v>0</v>
      </c>
      <c r="H56">
        <f>IF(G56,C56,0)</f>
        <v>0</v>
      </c>
    </row>
    <row r="57" spans="1:8" x14ac:dyDescent="0.25">
      <c r="A57" t="s">
        <v>225</v>
      </c>
      <c r="B57" t="s">
        <v>3420</v>
      </c>
      <c r="C57" s="4">
        <f>('Reels'!D7/('Reels'!D4+'Reels'!D7+'Reels'!D10+'Reels'!D13+'Reels'!D16+'Reels'!D19))*('Reels'!D28/('Reels'!D22+'Reels'!D25+'Reels'!D28+'Reels'!D31+'Reels'!D34+'Reels'!D37+'Reels'!D40))*('Reels'!D47/('Reels'!D44+'Reels'!D47+'Reels'!D50+'Reels'!D53+'Reels'!D56+'Reels'!D59))</f>
        <v>0.005892255892255892</v>
      </c>
      <c r="D57">
        <f>IF(OR('Reels'!D5="attack",'Reels'!D5="magic"),CHOOSE('Reels'!D6+1,'Slots'!D29,'Slots'!D30,'Slots'!D31,'Slots'!D32,'Slots'!D33),0)+IF(OR('Reels'!D26="attack",'Reels'!D26="magic"),CHOOSE('Reels'!D27+1,'Slots'!D29,'Slots'!D30,'Slots'!D31,'Slots'!D32,'Slots'!D33),0)+IF(OR('Reels'!D45="attack",'Reels'!D45="magic"),CHOOSE('Reels'!D46+1,'Slots'!D29,'Slots'!D30,'Slots'!D31,'Slots'!D32,'Slots'!D33),0)</f>
        <v>8</v>
      </c>
      <c r="E57">
        <f>IF('Reels'!D5="heal",'Reels'!D6*'Slots'!D24,0)+IF('Reels'!D26="heal",'Reels'!D27*'Slots'!D24,0)+IF('Reels'!D45="heal",'Reels'!D46*'Slots'!D24,0)</f>
        <v>0</v>
      </c>
      <c r="F57">
        <f>IF('Reels'!D5="block",'Reels'!D6*'Slots'!D25,0)+IF('Reels'!D26="block",'Reels'!D27*'Slots'!D25,0)+IF('Reels'!D45="block",'Reels'!D46*'Slots'!D25,0)</f>
        <v>1</v>
      </c>
      <c r="G57" t="b">
        <f>AND('Reels'!D5&lt;&gt;"blank",'Reels'!D5&lt;&gt;"class",'Reels'!D5='Reels'!D45,'Reels'!D6='Reels'!D46,OR('Reels'!D26="class",AND('Reels'!D26='Reels'!D5,'Reels'!D27='Reels'!D6)))</f>
        <v>0</v>
      </c>
      <c r="H57">
        <f>IF(G57,C57,0)</f>
        <v>0</v>
      </c>
    </row>
    <row r="58" spans="1:8" x14ac:dyDescent="0.25">
      <c r="A58" t="s">
        <v>225</v>
      </c>
      <c r="B58" t="s">
        <v>3421</v>
      </c>
      <c r="C58" s="4">
        <f>('Reels'!D7/('Reels'!D4+'Reels'!D7+'Reels'!D10+'Reels'!D13+'Reels'!D16+'Reels'!D19))*('Reels'!D28/('Reels'!D22+'Reels'!D25+'Reels'!D28+'Reels'!D31+'Reels'!D34+'Reels'!D37+'Reels'!D40))*('Reels'!D50/('Reels'!D44+'Reels'!D47+'Reels'!D50+'Reels'!D53+'Reels'!D56+'Reels'!D59))</f>
        <v>0.008249158249158249</v>
      </c>
      <c r="D58">
        <f>IF(OR('Reels'!D5="attack",'Reels'!D5="magic"),CHOOSE('Reels'!D6+1,'Slots'!D29,'Slots'!D30,'Slots'!D31,'Slots'!D32,'Slots'!D33),0)+IF(OR('Reels'!D26="attack",'Reels'!D26="magic"),CHOOSE('Reels'!D27+1,'Slots'!D29,'Slots'!D30,'Slots'!D31,'Slots'!D32,'Slots'!D33),0)+IF(OR('Reels'!D48="attack",'Reels'!D48="magic"),CHOOSE('Reels'!D49+1,'Slots'!D29,'Slots'!D30,'Slots'!D31,'Slots'!D32,'Slots'!D33),0)</f>
        <v>4</v>
      </c>
      <c r="E58">
        <f>IF('Reels'!D5="heal",'Reels'!D6*'Slots'!D24,0)+IF('Reels'!D26="heal",'Reels'!D27*'Slots'!D24,0)+IF('Reels'!D48="heal",'Reels'!D49*'Slots'!D24,0)</f>
        <v>0</v>
      </c>
      <c r="F58">
        <f>IF('Reels'!D5="block",'Reels'!D6*'Slots'!D25,0)+IF('Reels'!D26="block",'Reels'!D27*'Slots'!D25,0)+IF('Reels'!D48="block",'Reels'!D49*'Slots'!D25,0)</f>
        <v>2</v>
      </c>
      <c r="G58" t="b">
        <f>AND('Reels'!D5&lt;&gt;"blank",'Reels'!D5&lt;&gt;"class",'Reels'!D5='Reels'!D48,'Reels'!D6='Reels'!D49,OR('Reels'!D26="class",AND('Reels'!D26='Reels'!D5,'Reels'!D27='Reels'!D6)))</f>
        <v>0</v>
      </c>
      <c r="H58">
        <f>IF(G58,C58,0)</f>
        <v>0</v>
      </c>
    </row>
    <row r="59" spans="1:8" x14ac:dyDescent="0.25">
      <c r="A59" t="s">
        <v>225</v>
      </c>
      <c r="B59" t="s">
        <v>3422</v>
      </c>
      <c r="C59" s="4">
        <f>('Reels'!D7/('Reels'!D4+'Reels'!D7+'Reels'!D10+'Reels'!D13+'Reels'!D16+'Reels'!D19))*('Reels'!D28/('Reels'!D22+'Reels'!D25+'Reels'!D28+'Reels'!D31+'Reels'!D34+'Reels'!D37+'Reels'!D40))*('Reels'!D53/('Reels'!D44+'Reels'!D47+'Reels'!D50+'Reels'!D53+'Reels'!D56+'Reels'!D59))</f>
        <v>0.003535353535353535</v>
      </c>
      <c r="D59">
        <f>IF(OR('Reels'!D5="attack",'Reels'!D5="magic"),CHOOSE('Reels'!D6+1,'Slots'!D29,'Slots'!D30,'Slots'!D31,'Slots'!D32,'Slots'!D33),0)+IF(OR('Reels'!D26="attack",'Reels'!D26="magic"),CHOOSE('Reels'!D27+1,'Slots'!D29,'Slots'!D30,'Slots'!D31,'Slots'!D32,'Slots'!D33),0)+IF(OR('Reels'!D51="attack",'Reels'!D51="magic"),CHOOSE('Reels'!D52+1,'Slots'!D29,'Slots'!D30,'Slots'!D31,'Slots'!D32,'Slots'!D33),0)</f>
        <v>4</v>
      </c>
      <c r="E59">
        <f>IF('Reels'!D5="heal",'Reels'!D6*'Slots'!D24,0)+IF('Reels'!D26="heal",'Reels'!D27*'Slots'!D24,0)+IF('Reels'!D51="heal",'Reels'!D52*'Slots'!D24,0)</f>
        <v>0</v>
      </c>
      <c r="F59">
        <f>IF('Reels'!D5="block",'Reels'!D6*'Slots'!D25,0)+IF('Reels'!D26="block",'Reels'!D27*'Slots'!D25,0)+IF('Reels'!D51="block",'Reels'!D52*'Slots'!D25,0)</f>
        <v>3</v>
      </c>
      <c r="G59" t="b">
        <f>AND('Reels'!D5&lt;&gt;"blank",'Reels'!D5&lt;&gt;"class",'Reels'!D5='Reels'!D51,'Reels'!D6='Reels'!D52,OR('Reels'!D26="class",AND('Reels'!D26='Reels'!D5,'Reels'!D27='Reels'!D6)))</f>
        <v>0</v>
      </c>
      <c r="H59">
        <f>IF(G59,C59,0)</f>
        <v>0</v>
      </c>
    </row>
    <row r="60" spans="1:8" x14ac:dyDescent="0.25">
      <c r="A60" t="s">
        <v>225</v>
      </c>
      <c r="B60" t="s">
        <v>3423</v>
      </c>
      <c r="C60" s="4">
        <f>('Reels'!D7/('Reels'!D4+'Reels'!D7+'Reels'!D10+'Reels'!D13+'Reels'!D16+'Reels'!D19))*('Reels'!D28/('Reels'!D22+'Reels'!D25+'Reels'!D28+'Reels'!D31+'Reels'!D34+'Reels'!D37+'Reels'!D40))*('Reels'!D56/('Reels'!D44+'Reels'!D47+'Reels'!D50+'Reels'!D53+'Reels'!D56+'Reels'!D59))</f>
        <v>0.0011784511784511784</v>
      </c>
      <c r="D60">
        <f>IF(OR('Reels'!D5="attack",'Reels'!D5="magic"),CHOOSE('Reels'!D6+1,'Slots'!D29,'Slots'!D30,'Slots'!D31,'Slots'!D32,'Slots'!D33),0)+IF(OR('Reels'!D26="attack",'Reels'!D26="magic"),CHOOSE('Reels'!D27+1,'Slots'!D29,'Slots'!D30,'Slots'!D31,'Slots'!D32,'Slots'!D33),0)+IF(OR('Reels'!D54="attack",'Reels'!D54="magic"),CHOOSE('Reels'!D55+1,'Slots'!D29,'Slots'!D30,'Slots'!D31,'Slots'!D32,'Slots'!D33),0)</f>
        <v>4</v>
      </c>
      <c r="E60">
        <f>IF('Reels'!D5="heal",'Reels'!D6*'Slots'!D24,0)+IF('Reels'!D26="heal",'Reels'!D27*'Slots'!D24,0)+IF('Reels'!D54="heal",'Reels'!D55*'Slots'!D24,0)</f>
        <v>2</v>
      </c>
      <c r="F60">
        <f>IF('Reels'!D5="block",'Reels'!D6*'Slots'!D25,0)+IF('Reels'!D26="block",'Reels'!D27*'Slots'!D25,0)+IF('Reels'!D54="block",'Reels'!D55*'Slots'!D25,0)</f>
        <v>1</v>
      </c>
      <c r="G60" t="b">
        <f>AND('Reels'!D5&lt;&gt;"blank",'Reels'!D5&lt;&gt;"class",'Reels'!D5='Reels'!D54,'Reels'!D6='Reels'!D55,OR('Reels'!D26="class",AND('Reels'!D26='Reels'!D5,'Reels'!D27='Reels'!D6)))</f>
        <v>0</v>
      </c>
      <c r="H60">
        <f>IF(G60,C60,0)</f>
        <v>0</v>
      </c>
    </row>
    <row r="61" spans="1:8" x14ac:dyDescent="0.25">
      <c r="A61" t="s">
        <v>225</v>
      </c>
      <c r="B61" t="s">
        <v>3424</v>
      </c>
      <c r="C61" s="4">
        <f>('Reels'!D7/('Reels'!D4+'Reels'!D7+'Reels'!D10+'Reels'!D13+'Reels'!D16+'Reels'!D19))*('Reels'!D28/('Reels'!D22+'Reels'!D25+'Reels'!D28+'Reels'!D31+'Reels'!D34+'Reels'!D37+'Reels'!D40))*('Reels'!D59/('Reels'!D44+'Reels'!D47+'Reels'!D50+'Reels'!D53+'Reels'!D56+'Reels'!D59))</f>
        <v>0.005892255892255892</v>
      </c>
      <c r="D61">
        <f>IF(OR('Reels'!D5="attack",'Reels'!D5="magic"),CHOOSE('Reels'!D6+1,'Slots'!D29,'Slots'!D30,'Slots'!D31,'Slots'!D32,'Slots'!D33),0)+IF(OR('Reels'!D26="attack",'Reels'!D26="magic"),CHOOSE('Reels'!D27+1,'Slots'!D29,'Slots'!D30,'Slots'!D31,'Slots'!D32,'Slots'!D33),0)+IF(OR('Reels'!D57="attack",'Reels'!D57="magic"),CHOOSE('Reels'!D58+1,'Slots'!D29,'Slots'!D30,'Slots'!D31,'Slots'!D32,'Slots'!D33),0)</f>
        <v>4</v>
      </c>
      <c r="E61">
        <f>IF('Reels'!D5="heal",'Reels'!D6*'Slots'!D24,0)+IF('Reels'!D26="heal",'Reels'!D27*'Slots'!D24,0)+IF('Reels'!D57="heal",'Reels'!D58*'Slots'!D24,0)</f>
        <v>0</v>
      </c>
      <c r="F61">
        <f>IF('Reels'!D5="block",'Reels'!D6*'Slots'!D25,0)+IF('Reels'!D26="block",'Reels'!D27*'Slots'!D25,0)+IF('Reels'!D57="block",'Reels'!D58*'Slots'!D25,0)</f>
        <v>1</v>
      </c>
      <c r="G61" t="b">
        <f>AND('Reels'!D5&lt;&gt;"blank",'Reels'!D5&lt;&gt;"class",'Reels'!D5='Reels'!D57,'Reels'!D6='Reels'!D58,OR('Reels'!D26="class",AND('Reels'!D26='Reels'!D5,'Reels'!D27='Reels'!D6)))</f>
        <v>0</v>
      </c>
      <c r="H61">
        <f>IF(G61,C61,0)</f>
        <v>0</v>
      </c>
    </row>
    <row r="62" spans="1:8" x14ac:dyDescent="0.25">
      <c r="A62" t="s">
        <v>225</v>
      </c>
      <c r="B62" t="s">
        <v>3425</v>
      </c>
      <c r="C62" s="4">
        <f>('Reels'!D7/('Reels'!D4+'Reels'!D7+'Reels'!D10+'Reels'!D13+'Reels'!D16+'Reels'!D19))*('Reels'!D31/('Reels'!D22+'Reels'!D25+'Reels'!D28+'Reels'!D31+'Reels'!D34+'Reels'!D37+'Reels'!D40))*('Reels'!D44/('Reels'!D44+'Reels'!D47+'Reels'!D50+'Reels'!D53+'Reels'!D56+'Reels'!D59))</f>
        <v>0.004545454545454545</v>
      </c>
      <c r="D62">
        <f>IF(OR('Reels'!D5="attack",'Reels'!D5="magic"),CHOOSE('Reels'!D6+1,'Slots'!D29,'Slots'!D30,'Slots'!D31,'Slots'!D32,'Slots'!D33),0)+IF(OR('Reels'!D29="attack",'Reels'!D29="magic"),CHOOSE('Reels'!D30+1,'Slots'!D29,'Slots'!D30,'Slots'!D31,'Slots'!D32,'Slots'!D33),0)+IF(OR('Reels'!D42="attack",'Reels'!D42="magic"),CHOOSE('Reels'!D43+1,'Slots'!D29,'Slots'!D30,'Slots'!D31,'Slots'!D32,'Slots'!D33),0)</f>
        <v>6</v>
      </c>
      <c r="E62">
        <f>IF('Reels'!D5="heal",'Reels'!D6*'Slots'!D24,0)+IF('Reels'!D29="heal",'Reels'!D30*'Slots'!D24,0)+IF('Reels'!D42="heal",'Reels'!D43*'Slots'!D24,0)</f>
        <v>0</v>
      </c>
      <c r="F62">
        <f>IF('Reels'!D5="block",'Reels'!D6*'Slots'!D25,0)+IF('Reels'!D29="block",'Reels'!D30*'Slots'!D25,0)+IF('Reels'!D42="block",'Reels'!D43*'Slots'!D25,0)</f>
        <v>2</v>
      </c>
      <c r="G62" t="b">
        <f>AND('Reels'!D5&lt;&gt;"blank",'Reels'!D5&lt;&gt;"class",'Reels'!D5='Reels'!D42,'Reels'!D6='Reels'!D43,OR('Reels'!D29="class",AND('Reels'!D29='Reels'!D5,'Reels'!D30='Reels'!D6)))</f>
        <v>0</v>
      </c>
      <c r="H62">
        <f>IF(G62,C62,0)</f>
        <v>0</v>
      </c>
    </row>
    <row r="63" spans="1:8" x14ac:dyDescent="0.25">
      <c r="A63" t="s">
        <v>225</v>
      </c>
      <c r="B63" t="s">
        <v>3426</v>
      </c>
      <c r="C63" s="4">
        <f>('Reels'!D7/('Reels'!D4+'Reels'!D7+'Reels'!D10+'Reels'!D13+'Reels'!D16+'Reels'!D19))*('Reels'!D31/('Reels'!D22+'Reels'!D25+'Reels'!D28+'Reels'!D31+'Reels'!D34+'Reels'!D37+'Reels'!D40))*('Reels'!D47/('Reels'!D44+'Reels'!D47+'Reels'!D50+'Reels'!D53+'Reels'!D56+'Reels'!D59))</f>
        <v>0.0025252525252525255</v>
      </c>
      <c r="D63">
        <f>IF(OR('Reels'!D5="attack",'Reels'!D5="magic"),CHOOSE('Reels'!D6+1,'Slots'!D29,'Slots'!D30,'Slots'!D31,'Slots'!D32,'Slots'!D33),0)+IF(OR('Reels'!D29="attack",'Reels'!D29="magic"),CHOOSE('Reels'!D30+1,'Slots'!D29,'Slots'!D30,'Slots'!D31,'Slots'!D32,'Slots'!D33),0)+IF(OR('Reels'!D45="attack",'Reels'!D45="magic"),CHOOSE('Reels'!D46+1,'Slots'!D29,'Slots'!D30,'Slots'!D31,'Slots'!D32,'Slots'!D33),0)</f>
        <v>8</v>
      </c>
      <c r="E63">
        <f>IF('Reels'!D5="heal",'Reels'!D6*'Slots'!D24,0)+IF('Reels'!D29="heal",'Reels'!D30*'Slots'!D24,0)+IF('Reels'!D45="heal",'Reels'!D46*'Slots'!D24,0)</f>
        <v>0</v>
      </c>
      <c r="F63">
        <f>IF('Reels'!D5="block",'Reels'!D6*'Slots'!D25,0)+IF('Reels'!D29="block",'Reels'!D30*'Slots'!D25,0)+IF('Reels'!D45="block",'Reels'!D46*'Slots'!D25,0)</f>
        <v>2</v>
      </c>
      <c r="G63" t="b">
        <f>AND('Reels'!D5&lt;&gt;"blank",'Reels'!D5&lt;&gt;"class",'Reels'!D5='Reels'!D45,'Reels'!D6='Reels'!D46,OR('Reels'!D29="class",AND('Reels'!D29='Reels'!D5,'Reels'!D30='Reels'!D6)))</f>
        <v>0</v>
      </c>
      <c r="H63">
        <f>IF(G63,C63,0)</f>
        <v>0</v>
      </c>
    </row>
    <row r="64" spans="1:8" x14ac:dyDescent="0.25">
      <c r="A64" t="s">
        <v>225</v>
      </c>
      <c r="B64" t="s">
        <v>3427</v>
      </c>
      <c r="C64" s="4">
        <f>('Reels'!D7/('Reels'!D4+'Reels'!D7+'Reels'!D10+'Reels'!D13+'Reels'!D16+'Reels'!D19))*('Reels'!D31/('Reels'!D22+'Reels'!D25+'Reels'!D28+'Reels'!D31+'Reels'!D34+'Reels'!D37+'Reels'!D40))*('Reels'!D50/('Reels'!D44+'Reels'!D47+'Reels'!D50+'Reels'!D53+'Reels'!D56+'Reels'!D59))</f>
        <v>0.0035353535353535356</v>
      </c>
      <c r="D64">
        <f>IF(OR('Reels'!D5="attack",'Reels'!D5="magic"),CHOOSE('Reels'!D6+1,'Slots'!D29,'Slots'!D30,'Slots'!D31,'Slots'!D32,'Slots'!D33),0)+IF(OR('Reels'!D29="attack",'Reels'!D29="magic"),CHOOSE('Reels'!D30+1,'Slots'!D29,'Slots'!D30,'Slots'!D31,'Slots'!D32,'Slots'!D33),0)+IF(OR('Reels'!D48="attack",'Reels'!D48="magic"),CHOOSE('Reels'!D49+1,'Slots'!D29,'Slots'!D30,'Slots'!D31,'Slots'!D32,'Slots'!D33),0)</f>
        <v>4</v>
      </c>
      <c r="E64">
        <f>IF('Reels'!D5="heal",'Reels'!D6*'Slots'!D24,0)+IF('Reels'!D29="heal",'Reels'!D30*'Slots'!D24,0)+IF('Reels'!D48="heal",'Reels'!D49*'Slots'!D24,0)</f>
        <v>0</v>
      </c>
      <c r="F64">
        <f>IF('Reels'!D5="block",'Reels'!D6*'Slots'!D25,0)+IF('Reels'!D29="block",'Reels'!D30*'Slots'!D25,0)+IF('Reels'!D48="block",'Reels'!D49*'Slots'!D25,0)</f>
        <v>3</v>
      </c>
      <c r="G64" t="b">
        <f>AND('Reels'!D5&lt;&gt;"blank",'Reels'!D5&lt;&gt;"class",'Reels'!D5='Reels'!D48,'Reels'!D6='Reels'!D49,OR('Reels'!D29="class",AND('Reels'!D29='Reels'!D5,'Reels'!D30='Reels'!D6)))</f>
        <v>0</v>
      </c>
      <c r="H64">
        <f>IF(G64,C64,0)</f>
        <v>0</v>
      </c>
    </row>
    <row r="65" spans="1:8" x14ac:dyDescent="0.25">
      <c r="A65" t="s">
        <v>225</v>
      </c>
      <c r="B65" t="s">
        <v>3428</v>
      </c>
      <c r="C65" s="4">
        <f>('Reels'!D7/('Reels'!D4+'Reels'!D7+'Reels'!D10+'Reels'!D13+'Reels'!D16+'Reels'!D19))*('Reels'!D31/('Reels'!D22+'Reels'!D25+'Reels'!D28+'Reels'!D31+'Reels'!D34+'Reels'!D37+'Reels'!D40))*('Reels'!D53/('Reels'!D44+'Reels'!D47+'Reels'!D50+'Reels'!D53+'Reels'!D56+'Reels'!D59))</f>
        <v>0.0015151515151515152</v>
      </c>
      <c r="D65">
        <f>IF(OR('Reels'!D5="attack",'Reels'!D5="magic"),CHOOSE('Reels'!D6+1,'Slots'!D29,'Slots'!D30,'Slots'!D31,'Slots'!D32,'Slots'!D33),0)+IF(OR('Reels'!D29="attack",'Reels'!D29="magic"),CHOOSE('Reels'!D30+1,'Slots'!D29,'Slots'!D30,'Slots'!D31,'Slots'!D32,'Slots'!D33),0)+IF(OR('Reels'!D51="attack",'Reels'!D51="magic"),CHOOSE('Reels'!D52+1,'Slots'!D29,'Slots'!D30,'Slots'!D31,'Slots'!D32,'Slots'!D33),0)</f>
        <v>4</v>
      </c>
      <c r="E65">
        <f>IF('Reels'!D5="heal",'Reels'!D6*'Slots'!D24,0)+IF('Reels'!D29="heal",'Reels'!D30*'Slots'!D24,0)+IF('Reels'!D51="heal",'Reels'!D52*'Slots'!D24,0)</f>
        <v>0</v>
      </c>
      <c r="F65">
        <f>IF('Reels'!D5="block",'Reels'!D6*'Slots'!D25,0)+IF('Reels'!D29="block",'Reels'!D30*'Slots'!D25,0)+IF('Reels'!D51="block",'Reels'!D52*'Slots'!D25,0)</f>
        <v>4</v>
      </c>
      <c r="G65" t="b">
        <f>AND('Reels'!D5&lt;&gt;"blank",'Reels'!D5&lt;&gt;"class",'Reels'!D5='Reels'!D51,'Reels'!D6='Reels'!D52,OR('Reels'!D29="class",AND('Reels'!D29='Reels'!D5,'Reels'!D30='Reels'!D6)))</f>
        <v>0</v>
      </c>
      <c r="H65">
        <f>IF(G65,C65,0)</f>
        <v>0</v>
      </c>
    </row>
    <row r="66" spans="1:8" x14ac:dyDescent="0.25">
      <c r="A66" t="s">
        <v>225</v>
      </c>
      <c r="B66" t="s">
        <v>3429</v>
      </c>
      <c r="C66" s="4">
        <f>('Reels'!D7/('Reels'!D4+'Reels'!D7+'Reels'!D10+'Reels'!D13+'Reels'!D16+'Reels'!D19))*('Reels'!D31/('Reels'!D22+'Reels'!D25+'Reels'!D28+'Reels'!D31+'Reels'!D34+'Reels'!D37+'Reels'!D40))*('Reels'!D56/('Reels'!D44+'Reels'!D47+'Reels'!D50+'Reels'!D53+'Reels'!D56+'Reels'!D59))</f>
        <v>0.000505050505050505</v>
      </c>
      <c r="D66">
        <f>IF(OR('Reels'!D5="attack",'Reels'!D5="magic"),CHOOSE('Reels'!D6+1,'Slots'!D29,'Slots'!D30,'Slots'!D31,'Slots'!D32,'Slots'!D33),0)+IF(OR('Reels'!D29="attack",'Reels'!D29="magic"),CHOOSE('Reels'!D30+1,'Slots'!D29,'Slots'!D30,'Slots'!D31,'Slots'!D32,'Slots'!D33),0)+IF(OR('Reels'!D54="attack",'Reels'!D54="magic"),CHOOSE('Reels'!D55+1,'Slots'!D29,'Slots'!D30,'Slots'!D31,'Slots'!D32,'Slots'!D33),0)</f>
        <v>4</v>
      </c>
      <c r="E66">
        <f>IF('Reels'!D5="heal",'Reels'!D6*'Slots'!D24,0)+IF('Reels'!D29="heal",'Reels'!D30*'Slots'!D24,0)+IF('Reels'!D54="heal",'Reels'!D55*'Slots'!D24,0)</f>
        <v>2</v>
      </c>
      <c r="F66">
        <f>IF('Reels'!D5="block",'Reels'!D6*'Slots'!D25,0)+IF('Reels'!D29="block",'Reels'!D30*'Slots'!D25,0)+IF('Reels'!D54="block",'Reels'!D55*'Slots'!D25,0)</f>
        <v>2</v>
      </c>
      <c r="G66" t="b">
        <f>AND('Reels'!D5&lt;&gt;"blank",'Reels'!D5&lt;&gt;"class",'Reels'!D5='Reels'!D54,'Reels'!D6='Reels'!D55,OR('Reels'!D29="class",AND('Reels'!D29='Reels'!D5,'Reels'!D30='Reels'!D6)))</f>
        <v>0</v>
      </c>
      <c r="H66">
        <f>IF(G66,C66,0)</f>
        <v>0</v>
      </c>
    </row>
    <row r="67" spans="1:8" x14ac:dyDescent="0.25">
      <c r="A67" t="s">
        <v>225</v>
      </c>
      <c r="B67" t="s">
        <v>3430</v>
      </c>
      <c r="C67" s="4">
        <f>('Reels'!D7/('Reels'!D4+'Reels'!D7+'Reels'!D10+'Reels'!D13+'Reels'!D16+'Reels'!D19))*('Reels'!D31/('Reels'!D22+'Reels'!D25+'Reels'!D28+'Reels'!D31+'Reels'!D34+'Reels'!D37+'Reels'!D40))*('Reels'!D59/('Reels'!D44+'Reels'!D47+'Reels'!D50+'Reels'!D53+'Reels'!D56+'Reels'!D59))</f>
        <v>0.0025252525252525255</v>
      </c>
      <c r="D67">
        <f>IF(OR('Reels'!D5="attack",'Reels'!D5="magic"),CHOOSE('Reels'!D6+1,'Slots'!D29,'Slots'!D30,'Slots'!D31,'Slots'!D32,'Slots'!D33),0)+IF(OR('Reels'!D29="attack",'Reels'!D29="magic"),CHOOSE('Reels'!D30+1,'Slots'!D29,'Slots'!D30,'Slots'!D31,'Slots'!D32,'Slots'!D33),0)+IF(OR('Reels'!D57="attack",'Reels'!D57="magic"),CHOOSE('Reels'!D58+1,'Slots'!D29,'Slots'!D30,'Slots'!D31,'Slots'!D32,'Slots'!D33),0)</f>
        <v>4</v>
      </c>
      <c r="E67">
        <f>IF('Reels'!D5="heal",'Reels'!D6*'Slots'!D24,0)+IF('Reels'!D29="heal",'Reels'!D30*'Slots'!D24,0)+IF('Reels'!D57="heal",'Reels'!D58*'Slots'!D24,0)</f>
        <v>0</v>
      </c>
      <c r="F67">
        <f>IF('Reels'!D5="block",'Reels'!D6*'Slots'!D25,0)+IF('Reels'!D29="block",'Reels'!D30*'Slots'!D25,0)+IF('Reels'!D57="block",'Reels'!D58*'Slots'!D25,0)</f>
        <v>2</v>
      </c>
      <c r="G67" t="b">
        <f>AND('Reels'!D5&lt;&gt;"blank",'Reels'!D5&lt;&gt;"class",'Reels'!D5='Reels'!D57,'Reels'!D6='Reels'!D58,OR('Reels'!D29="class",AND('Reels'!D29='Reels'!D5,'Reels'!D30='Reels'!D6)))</f>
        <v>0</v>
      </c>
      <c r="H67">
        <f>IF(G67,C67,0)</f>
        <v>0</v>
      </c>
    </row>
    <row r="68" spans="1:8" x14ac:dyDescent="0.25">
      <c r="A68" t="s">
        <v>225</v>
      </c>
      <c r="B68" t="s">
        <v>3431</v>
      </c>
      <c r="C68" s="4">
        <f>('Reels'!D7/('Reels'!D4+'Reels'!D7+'Reels'!D10+'Reels'!D13+'Reels'!D16+'Reels'!D19))*('Reels'!D34/('Reels'!D22+'Reels'!D25+'Reels'!D28+'Reels'!D31+'Reels'!D34+'Reels'!D37+'Reels'!D40))*('Reels'!D44/('Reels'!D44+'Reels'!D47+'Reels'!D50+'Reels'!D53+'Reels'!D56+'Reels'!D59))</f>
        <v>0.001515151515151515</v>
      </c>
      <c r="D68">
        <f>IF(OR('Reels'!D5="attack",'Reels'!D5="magic"),CHOOSE('Reels'!D6+1,'Slots'!D29,'Slots'!D30,'Slots'!D31,'Slots'!D32,'Slots'!D33),0)+IF(OR('Reels'!D32="attack",'Reels'!D32="magic"),CHOOSE('Reels'!D33+1,'Slots'!D29,'Slots'!D30,'Slots'!D31,'Slots'!D32,'Slots'!D33),0)+IF(OR('Reels'!D42="attack",'Reels'!D42="magic"),CHOOSE('Reels'!D43+1,'Slots'!D29,'Slots'!D30,'Slots'!D31,'Slots'!D32,'Slots'!D33),0)</f>
        <v>6</v>
      </c>
      <c r="E68">
        <f>IF('Reels'!D5="heal",'Reels'!D6*'Slots'!D24,0)+IF('Reels'!D32="heal",'Reels'!D33*'Slots'!D24,0)+IF('Reels'!D42="heal",'Reels'!D43*'Slots'!D24,0)</f>
        <v>2</v>
      </c>
      <c r="F68">
        <f>IF('Reels'!D5="block",'Reels'!D6*'Slots'!D25,0)+IF('Reels'!D32="block",'Reels'!D33*'Slots'!D25,0)+IF('Reels'!D42="block",'Reels'!D43*'Slots'!D25,0)</f>
        <v>0</v>
      </c>
      <c r="G68" t="b">
        <f>AND('Reels'!D5&lt;&gt;"blank",'Reels'!D5&lt;&gt;"class",'Reels'!D5='Reels'!D42,'Reels'!D6='Reels'!D43,OR('Reels'!D32="class",AND('Reels'!D32='Reels'!D5,'Reels'!D33='Reels'!D6)))</f>
        <v>0</v>
      </c>
      <c r="H68">
        <f>IF(G68,C68,0)</f>
        <v>0</v>
      </c>
    </row>
    <row r="69" spans="1:8" x14ac:dyDescent="0.25">
      <c r="A69" t="s">
        <v>225</v>
      </c>
      <c r="B69" t="s">
        <v>3432</v>
      </c>
      <c r="C69" s="4">
        <f>('Reels'!D7/('Reels'!D4+'Reels'!D7+'Reels'!D10+'Reels'!D13+'Reels'!D16+'Reels'!D19))*('Reels'!D34/('Reels'!D22+'Reels'!D25+'Reels'!D28+'Reels'!D31+'Reels'!D34+'Reels'!D37+'Reels'!D40))*('Reels'!D47/('Reels'!D44+'Reels'!D47+'Reels'!D50+'Reels'!D53+'Reels'!D56+'Reels'!D59))</f>
        <v>0.0008417508417508416</v>
      </c>
      <c r="D69">
        <f>IF(OR('Reels'!D5="attack",'Reels'!D5="magic"),CHOOSE('Reels'!D6+1,'Slots'!D29,'Slots'!D30,'Slots'!D31,'Slots'!D32,'Slots'!D33),0)+IF(OR('Reels'!D32="attack",'Reels'!D32="magic"),CHOOSE('Reels'!D33+1,'Slots'!D29,'Slots'!D30,'Slots'!D31,'Slots'!D32,'Slots'!D33),0)+IF(OR('Reels'!D45="attack",'Reels'!D45="magic"),CHOOSE('Reels'!D46+1,'Slots'!D29,'Slots'!D30,'Slots'!D31,'Slots'!D32,'Slots'!D33),0)</f>
        <v>8</v>
      </c>
      <c r="E69">
        <f>IF('Reels'!D5="heal",'Reels'!D6*'Slots'!D24,0)+IF('Reels'!D32="heal",'Reels'!D33*'Slots'!D24,0)+IF('Reels'!D45="heal",'Reels'!D46*'Slots'!D24,0)</f>
        <v>2</v>
      </c>
      <c r="F69">
        <f>IF('Reels'!D5="block",'Reels'!D6*'Slots'!D25,0)+IF('Reels'!D32="block",'Reels'!D33*'Slots'!D25,0)+IF('Reels'!D45="block",'Reels'!D46*'Slots'!D25,0)</f>
        <v>0</v>
      </c>
      <c r="G69" t="b">
        <f>AND('Reels'!D5&lt;&gt;"blank",'Reels'!D5&lt;&gt;"class",'Reels'!D5='Reels'!D45,'Reels'!D6='Reels'!D46,OR('Reels'!D32="class",AND('Reels'!D32='Reels'!D5,'Reels'!D33='Reels'!D6)))</f>
        <v>0</v>
      </c>
      <c r="H69">
        <f>IF(G69,C69,0)</f>
        <v>0</v>
      </c>
    </row>
    <row r="70" spans="1:8" x14ac:dyDescent="0.25">
      <c r="A70" t="s">
        <v>225</v>
      </c>
      <c r="B70" t="s">
        <v>3433</v>
      </c>
      <c r="C70" s="4">
        <f>('Reels'!D7/('Reels'!D4+'Reels'!D7+'Reels'!D10+'Reels'!D13+'Reels'!D16+'Reels'!D19))*('Reels'!D34/('Reels'!D22+'Reels'!D25+'Reels'!D28+'Reels'!D31+'Reels'!D34+'Reels'!D37+'Reels'!D40))*('Reels'!D50/('Reels'!D44+'Reels'!D47+'Reels'!D50+'Reels'!D53+'Reels'!D56+'Reels'!D59))</f>
        <v>0.0011784511784511784</v>
      </c>
      <c r="D70">
        <f>IF(OR('Reels'!D5="attack",'Reels'!D5="magic"),CHOOSE('Reels'!D6+1,'Slots'!D29,'Slots'!D30,'Slots'!D31,'Slots'!D32,'Slots'!D33),0)+IF(OR('Reels'!D32="attack",'Reels'!D32="magic"),CHOOSE('Reels'!D33+1,'Slots'!D29,'Slots'!D30,'Slots'!D31,'Slots'!D32,'Slots'!D33),0)+IF(OR('Reels'!D48="attack",'Reels'!D48="magic"),CHOOSE('Reels'!D49+1,'Slots'!D29,'Slots'!D30,'Slots'!D31,'Slots'!D32,'Slots'!D33),0)</f>
        <v>4</v>
      </c>
      <c r="E70">
        <f>IF('Reels'!D5="heal",'Reels'!D6*'Slots'!D24,0)+IF('Reels'!D32="heal",'Reels'!D33*'Slots'!D24,0)+IF('Reels'!D48="heal",'Reels'!D49*'Slots'!D24,0)</f>
        <v>2</v>
      </c>
      <c r="F70">
        <f>IF('Reels'!D5="block",'Reels'!D6*'Slots'!D25,0)+IF('Reels'!D32="block",'Reels'!D33*'Slots'!D25,0)+IF('Reels'!D48="block",'Reels'!D49*'Slots'!D25,0)</f>
        <v>1</v>
      </c>
      <c r="G70" t="b">
        <f>AND('Reels'!D5&lt;&gt;"blank",'Reels'!D5&lt;&gt;"class",'Reels'!D5='Reels'!D48,'Reels'!D6='Reels'!D49,OR('Reels'!D32="class",AND('Reels'!D32='Reels'!D5,'Reels'!D33='Reels'!D6)))</f>
        <v>0</v>
      </c>
      <c r="H70">
        <f>IF(G70,C70,0)</f>
        <v>0</v>
      </c>
    </row>
    <row r="71" spans="1:8" x14ac:dyDescent="0.25">
      <c r="A71" t="s">
        <v>225</v>
      </c>
      <c r="B71" t="s">
        <v>3434</v>
      </c>
      <c r="C71" s="4">
        <f>('Reels'!D7/('Reels'!D4+'Reels'!D7+'Reels'!D10+'Reels'!D13+'Reels'!D16+'Reels'!D19))*('Reels'!D34/('Reels'!D22+'Reels'!D25+'Reels'!D28+'Reels'!D31+'Reels'!D34+'Reels'!D37+'Reels'!D40))*('Reels'!D53/('Reels'!D44+'Reels'!D47+'Reels'!D50+'Reels'!D53+'Reels'!D56+'Reels'!D59))</f>
        <v>0.000505050505050505</v>
      </c>
      <c r="D71">
        <f>IF(OR('Reels'!D5="attack",'Reels'!D5="magic"),CHOOSE('Reels'!D6+1,'Slots'!D29,'Slots'!D30,'Slots'!D31,'Slots'!D32,'Slots'!D33),0)+IF(OR('Reels'!D32="attack",'Reels'!D32="magic"),CHOOSE('Reels'!D33+1,'Slots'!D29,'Slots'!D30,'Slots'!D31,'Slots'!D32,'Slots'!D33),0)+IF(OR('Reels'!D51="attack",'Reels'!D51="magic"),CHOOSE('Reels'!D52+1,'Slots'!D29,'Slots'!D30,'Slots'!D31,'Slots'!D32,'Slots'!D33),0)</f>
        <v>4</v>
      </c>
      <c r="E71">
        <f>IF('Reels'!D5="heal",'Reels'!D6*'Slots'!D24,0)+IF('Reels'!D32="heal",'Reels'!D33*'Slots'!D24,0)+IF('Reels'!D51="heal",'Reels'!D52*'Slots'!D24,0)</f>
        <v>2</v>
      </c>
      <c r="F71">
        <f>IF('Reels'!D5="block",'Reels'!D6*'Slots'!D25,0)+IF('Reels'!D32="block",'Reels'!D33*'Slots'!D25,0)+IF('Reels'!D51="block",'Reels'!D52*'Slots'!D25,0)</f>
        <v>2</v>
      </c>
      <c r="G71" t="b">
        <f>AND('Reels'!D5&lt;&gt;"blank",'Reels'!D5&lt;&gt;"class",'Reels'!D5='Reels'!D51,'Reels'!D6='Reels'!D52,OR('Reels'!D32="class",AND('Reels'!D32='Reels'!D5,'Reels'!D33='Reels'!D6)))</f>
        <v>0</v>
      </c>
      <c r="H71">
        <f>IF(G71,C71,0)</f>
        <v>0</v>
      </c>
    </row>
    <row r="72" spans="1:8" x14ac:dyDescent="0.25">
      <c r="A72" t="s">
        <v>225</v>
      </c>
      <c r="B72" t="s">
        <v>3435</v>
      </c>
      <c r="C72" s="4">
        <f>('Reels'!D7/('Reels'!D4+'Reels'!D7+'Reels'!D10+'Reels'!D13+'Reels'!D16+'Reels'!D19))*('Reels'!D34/('Reels'!D22+'Reels'!D25+'Reels'!D28+'Reels'!D31+'Reels'!D34+'Reels'!D37+'Reels'!D40))*('Reels'!D56/('Reels'!D44+'Reels'!D47+'Reels'!D50+'Reels'!D53+'Reels'!D56+'Reels'!D59))</f>
        <v>0.00016835016835016833</v>
      </c>
      <c r="D72">
        <f>IF(OR('Reels'!D5="attack",'Reels'!D5="magic"),CHOOSE('Reels'!D6+1,'Slots'!D29,'Slots'!D30,'Slots'!D31,'Slots'!D32,'Slots'!D33),0)+IF(OR('Reels'!D32="attack",'Reels'!D32="magic"),CHOOSE('Reels'!D33+1,'Slots'!D29,'Slots'!D30,'Slots'!D31,'Slots'!D32,'Slots'!D33),0)+IF(OR('Reels'!D54="attack",'Reels'!D54="magic"),CHOOSE('Reels'!D55+1,'Slots'!D29,'Slots'!D30,'Slots'!D31,'Slots'!D32,'Slots'!D33),0)</f>
        <v>4</v>
      </c>
      <c r="E72">
        <f>IF('Reels'!D5="heal",'Reels'!D6*'Slots'!D24,0)+IF('Reels'!D32="heal",'Reels'!D33*'Slots'!D24,0)+IF('Reels'!D54="heal",'Reels'!D55*'Slots'!D24,0)</f>
        <v>4</v>
      </c>
      <c r="F72">
        <f>IF('Reels'!D5="block",'Reels'!D6*'Slots'!D25,0)+IF('Reels'!D32="block",'Reels'!D33*'Slots'!D25,0)+IF('Reels'!D54="block",'Reels'!D55*'Slots'!D25,0)</f>
        <v>0</v>
      </c>
      <c r="G72" t="b">
        <f>AND('Reels'!D5&lt;&gt;"blank",'Reels'!D5&lt;&gt;"class",'Reels'!D5='Reels'!D54,'Reels'!D6='Reels'!D55,OR('Reels'!D32="class",AND('Reels'!D32='Reels'!D5,'Reels'!D33='Reels'!D6)))</f>
        <v>0</v>
      </c>
      <c r="H72">
        <f>IF(G72,C72,0)</f>
        <v>0</v>
      </c>
    </row>
    <row r="73" spans="1:8" x14ac:dyDescent="0.25">
      <c r="A73" t="s">
        <v>225</v>
      </c>
      <c r="B73" t="s">
        <v>3436</v>
      </c>
      <c r="C73" s="4">
        <f>('Reels'!D7/('Reels'!D4+'Reels'!D7+'Reels'!D10+'Reels'!D13+'Reels'!D16+'Reels'!D19))*('Reels'!D34/('Reels'!D22+'Reels'!D25+'Reels'!D28+'Reels'!D31+'Reels'!D34+'Reels'!D37+'Reels'!D40))*('Reels'!D59/('Reels'!D44+'Reels'!D47+'Reels'!D50+'Reels'!D53+'Reels'!D56+'Reels'!D59))</f>
        <v>0.0008417508417508416</v>
      </c>
      <c r="D73">
        <f>IF(OR('Reels'!D5="attack",'Reels'!D5="magic"),CHOOSE('Reels'!D6+1,'Slots'!D29,'Slots'!D30,'Slots'!D31,'Slots'!D32,'Slots'!D33),0)+IF(OR('Reels'!D32="attack",'Reels'!D32="magic"),CHOOSE('Reels'!D33+1,'Slots'!D29,'Slots'!D30,'Slots'!D31,'Slots'!D32,'Slots'!D33),0)+IF(OR('Reels'!D57="attack",'Reels'!D57="magic"),CHOOSE('Reels'!D58+1,'Slots'!D29,'Slots'!D30,'Slots'!D31,'Slots'!D32,'Slots'!D33),0)</f>
        <v>4</v>
      </c>
      <c r="E73">
        <f>IF('Reels'!D5="heal",'Reels'!D6*'Slots'!D24,0)+IF('Reels'!D32="heal",'Reels'!D33*'Slots'!D24,0)+IF('Reels'!D57="heal",'Reels'!D58*'Slots'!D24,0)</f>
        <v>2</v>
      </c>
      <c r="F73">
        <f>IF('Reels'!D5="block",'Reels'!D6*'Slots'!D25,0)+IF('Reels'!D32="block",'Reels'!D33*'Slots'!D25,0)+IF('Reels'!D57="block",'Reels'!D58*'Slots'!D25,0)</f>
        <v>0</v>
      </c>
      <c r="G73" t="b">
        <f>AND('Reels'!D5&lt;&gt;"blank",'Reels'!D5&lt;&gt;"class",'Reels'!D5='Reels'!D57,'Reels'!D6='Reels'!D58,OR('Reels'!D32="class",AND('Reels'!D32='Reels'!D5,'Reels'!D33='Reels'!D6)))</f>
        <v>0</v>
      </c>
      <c r="H73">
        <f>IF(G73,C73,0)</f>
        <v>0</v>
      </c>
    </row>
    <row r="74" spans="1:8" x14ac:dyDescent="0.25">
      <c r="A74" t="s">
        <v>225</v>
      </c>
      <c r="B74" t="s">
        <v>3437</v>
      </c>
      <c r="C74" s="4">
        <f>('Reels'!D7/('Reels'!D4+'Reels'!D7+'Reels'!D10+'Reels'!D13+'Reels'!D16+'Reels'!D19))*('Reels'!D37/('Reels'!D22+'Reels'!D25+'Reels'!D28+'Reels'!D31+'Reels'!D34+'Reels'!D37+'Reels'!D40))*('Reels'!D44/('Reels'!D44+'Reels'!D47+'Reels'!D50+'Reels'!D53+'Reels'!D56+'Reels'!D59))</f>
        <v>0.007575757575757574</v>
      </c>
      <c r="D74">
        <f>IF(OR('Reels'!D5="attack",'Reels'!D5="magic"),CHOOSE('Reels'!D6+1,'Slots'!D29,'Slots'!D30,'Slots'!D31,'Slots'!D32,'Slots'!D33),0)+IF(OR('Reels'!D35="attack",'Reels'!D35="magic"),CHOOSE('Reels'!D36+1,'Slots'!D29,'Slots'!D30,'Slots'!D31,'Slots'!D32,'Slots'!D33),0)+IF(OR('Reels'!D42="attack",'Reels'!D42="magic"),CHOOSE('Reels'!D43+1,'Slots'!D29,'Slots'!D30,'Slots'!D31,'Slots'!D32,'Slots'!D33),0)</f>
        <v>6</v>
      </c>
      <c r="E74">
        <f>IF('Reels'!D5="heal",'Reels'!D6*'Slots'!D24,0)+IF('Reels'!D35="heal",'Reels'!D36*'Slots'!D24,0)+IF('Reels'!D42="heal",'Reels'!D43*'Slots'!D24,0)</f>
        <v>0</v>
      </c>
      <c r="F74">
        <f>IF('Reels'!D5="block",'Reels'!D6*'Slots'!D25,0)+IF('Reels'!D35="block",'Reels'!D36*'Slots'!D25,0)+IF('Reels'!D42="block",'Reels'!D43*'Slots'!D25,0)</f>
        <v>0</v>
      </c>
      <c r="G74" t="b">
        <f>AND('Reels'!D5&lt;&gt;"blank",'Reels'!D5&lt;&gt;"class",'Reels'!D5='Reels'!D42,'Reels'!D6='Reels'!D43,OR('Reels'!D35="class",AND('Reels'!D35='Reels'!D5,'Reels'!D36='Reels'!D6)))</f>
        <v>0</v>
      </c>
      <c r="H74">
        <f>IF(G74,C74,0)</f>
        <v>0</v>
      </c>
    </row>
    <row r="75" spans="1:8" x14ac:dyDescent="0.25">
      <c r="A75" t="s">
        <v>225</v>
      </c>
      <c r="B75" t="s">
        <v>3438</v>
      </c>
      <c r="C75" s="4">
        <f>('Reels'!D7/('Reels'!D4+'Reels'!D7+'Reels'!D10+'Reels'!D13+'Reels'!D16+'Reels'!D19))*('Reels'!D37/('Reels'!D22+'Reels'!D25+'Reels'!D28+'Reels'!D31+'Reels'!D34+'Reels'!D37+'Reels'!D40))*('Reels'!D47/('Reels'!D44+'Reels'!D47+'Reels'!D50+'Reels'!D53+'Reels'!D56+'Reels'!D59))</f>
        <v>0.004208754208754208</v>
      </c>
      <c r="D75">
        <f>IF(OR('Reels'!D5="attack",'Reels'!D5="magic"),CHOOSE('Reels'!D6+1,'Slots'!D29,'Slots'!D30,'Slots'!D31,'Slots'!D32,'Slots'!D33),0)+IF(OR('Reels'!D35="attack",'Reels'!D35="magic"),CHOOSE('Reels'!D36+1,'Slots'!D29,'Slots'!D30,'Slots'!D31,'Slots'!D32,'Slots'!D33),0)+IF(OR('Reels'!D45="attack",'Reels'!D45="magic"),CHOOSE('Reels'!D46+1,'Slots'!D29,'Slots'!D30,'Slots'!D31,'Slots'!D32,'Slots'!D33),0)</f>
        <v>8</v>
      </c>
      <c r="E75">
        <f>IF('Reels'!D5="heal",'Reels'!D6*'Slots'!D24,0)+IF('Reels'!D35="heal",'Reels'!D36*'Slots'!D24,0)+IF('Reels'!D45="heal",'Reels'!D46*'Slots'!D24,0)</f>
        <v>0</v>
      </c>
      <c r="F75">
        <f>IF('Reels'!D5="block",'Reels'!D6*'Slots'!D25,0)+IF('Reels'!D35="block",'Reels'!D36*'Slots'!D25,0)+IF('Reels'!D45="block",'Reels'!D46*'Slots'!D25,0)</f>
        <v>0</v>
      </c>
      <c r="G75" t="b">
        <f>AND('Reels'!D5&lt;&gt;"blank",'Reels'!D5&lt;&gt;"class",'Reels'!D5='Reels'!D45,'Reels'!D6='Reels'!D46,OR('Reels'!D35="class",AND('Reels'!D35='Reels'!D5,'Reels'!D36='Reels'!D6)))</f>
        <v>0</v>
      </c>
      <c r="H75">
        <f>IF(G75,C75,0)</f>
        <v>0</v>
      </c>
    </row>
    <row r="76" spans="1:8" x14ac:dyDescent="0.25">
      <c r="A76" t="s">
        <v>225</v>
      </c>
      <c r="B76" t="s">
        <v>3439</v>
      </c>
      <c r="C76" s="4">
        <f>('Reels'!D7/('Reels'!D4+'Reels'!D7+'Reels'!D10+'Reels'!D13+'Reels'!D16+'Reels'!D19))*('Reels'!D37/('Reels'!D22+'Reels'!D25+'Reels'!D28+'Reels'!D31+'Reels'!D34+'Reels'!D37+'Reels'!D40))*('Reels'!D50/('Reels'!D44+'Reels'!D47+'Reels'!D50+'Reels'!D53+'Reels'!D56+'Reels'!D59))</f>
        <v>0.0058922558922558915</v>
      </c>
      <c r="D76">
        <f>IF(OR('Reels'!D5="attack",'Reels'!D5="magic"),CHOOSE('Reels'!D6+1,'Slots'!D29,'Slots'!D30,'Slots'!D31,'Slots'!D32,'Slots'!D33),0)+IF(OR('Reels'!D35="attack",'Reels'!D35="magic"),CHOOSE('Reels'!D36+1,'Slots'!D29,'Slots'!D30,'Slots'!D31,'Slots'!D32,'Slots'!D33),0)+IF(OR('Reels'!D48="attack",'Reels'!D48="magic"),CHOOSE('Reels'!D49+1,'Slots'!D29,'Slots'!D30,'Slots'!D31,'Slots'!D32,'Slots'!D33),0)</f>
        <v>4</v>
      </c>
      <c r="E76">
        <f>IF('Reels'!D5="heal",'Reels'!D6*'Slots'!D24,0)+IF('Reels'!D35="heal",'Reels'!D36*'Slots'!D24,0)+IF('Reels'!D48="heal",'Reels'!D49*'Slots'!D24,0)</f>
        <v>0</v>
      </c>
      <c r="F76">
        <f>IF('Reels'!D5="block",'Reels'!D6*'Slots'!D25,0)+IF('Reels'!D35="block",'Reels'!D36*'Slots'!D25,0)+IF('Reels'!D48="block",'Reels'!D49*'Slots'!D25,0)</f>
        <v>1</v>
      </c>
      <c r="G76" t="b">
        <f>AND('Reels'!D5&lt;&gt;"blank",'Reels'!D5&lt;&gt;"class",'Reels'!D5='Reels'!D48,'Reels'!D6='Reels'!D49,OR('Reels'!D35="class",AND('Reels'!D35='Reels'!D5,'Reels'!D36='Reels'!D6)))</f>
        <v>0</v>
      </c>
      <c r="H76">
        <f>IF(G76,C76,0)</f>
        <v>0</v>
      </c>
    </row>
    <row r="77" spans="1:8" x14ac:dyDescent="0.25">
      <c r="A77" t="s">
        <v>225</v>
      </c>
      <c r="B77" t="s">
        <v>3440</v>
      </c>
      <c r="C77" s="4">
        <f>('Reels'!D7/('Reels'!D4+'Reels'!D7+'Reels'!D10+'Reels'!D13+'Reels'!D16+'Reels'!D19))*('Reels'!D37/('Reels'!D22+'Reels'!D25+'Reels'!D28+'Reels'!D31+'Reels'!D34+'Reels'!D37+'Reels'!D40))*('Reels'!D53/('Reels'!D44+'Reels'!D47+'Reels'!D50+'Reels'!D53+'Reels'!D56+'Reels'!D59))</f>
        <v>0.002525252525252525</v>
      </c>
      <c r="D77">
        <f>IF(OR('Reels'!D5="attack",'Reels'!D5="magic"),CHOOSE('Reels'!D6+1,'Slots'!D29,'Slots'!D30,'Slots'!D31,'Slots'!D32,'Slots'!D33),0)+IF(OR('Reels'!D35="attack",'Reels'!D35="magic"),CHOOSE('Reels'!D36+1,'Slots'!D29,'Slots'!D30,'Slots'!D31,'Slots'!D32,'Slots'!D33),0)+IF(OR('Reels'!D51="attack",'Reels'!D51="magic"),CHOOSE('Reels'!D52+1,'Slots'!D29,'Slots'!D30,'Slots'!D31,'Slots'!D32,'Slots'!D33),0)</f>
        <v>4</v>
      </c>
      <c r="E77">
        <f>IF('Reels'!D5="heal",'Reels'!D6*'Slots'!D24,0)+IF('Reels'!D35="heal",'Reels'!D36*'Slots'!D24,0)+IF('Reels'!D51="heal",'Reels'!D52*'Slots'!D24,0)</f>
        <v>0</v>
      </c>
      <c r="F77">
        <f>IF('Reels'!D5="block",'Reels'!D6*'Slots'!D25,0)+IF('Reels'!D35="block",'Reels'!D36*'Slots'!D25,0)+IF('Reels'!D51="block",'Reels'!D52*'Slots'!D25,0)</f>
        <v>2</v>
      </c>
      <c r="G77" t="b">
        <f>AND('Reels'!D5&lt;&gt;"blank",'Reels'!D5&lt;&gt;"class",'Reels'!D5='Reels'!D51,'Reels'!D6='Reels'!D52,OR('Reels'!D35="class",AND('Reels'!D35='Reels'!D5,'Reels'!D36='Reels'!D6)))</f>
        <v>0</v>
      </c>
      <c r="H77">
        <f>IF(G77,C77,0)</f>
        <v>0</v>
      </c>
    </row>
    <row r="78" spans="1:8" x14ac:dyDescent="0.25">
      <c r="A78" t="s">
        <v>225</v>
      </c>
      <c r="B78" t="s">
        <v>3441</v>
      </c>
      <c r="C78" s="4">
        <f>('Reels'!D7/('Reels'!D4+'Reels'!D7+'Reels'!D10+'Reels'!D13+'Reels'!D16+'Reels'!D19))*('Reels'!D37/('Reels'!D22+'Reels'!D25+'Reels'!D28+'Reels'!D31+'Reels'!D34+'Reels'!D37+'Reels'!D40))*('Reels'!D56/('Reels'!D44+'Reels'!D47+'Reels'!D50+'Reels'!D53+'Reels'!D56+'Reels'!D59))</f>
        <v>0.0008417508417508416</v>
      </c>
      <c r="D78">
        <f>IF(OR('Reels'!D5="attack",'Reels'!D5="magic"),CHOOSE('Reels'!D6+1,'Slots'!D29,'Slots'!D30,'Slots'!D31,'Slots'!D32,'Slots'!D33),0)+IF(OR('Reels'!D35="attack",'Reels'!D35="magic"),CHOOSE('Reels'!D36+1,'Slots'!D29,'Slots'!D30,'Slots'!D31,'Slots'!D32,'Slots'!D33),0)+IF(OR('Reels'!D54="attack",'Reels'!D54="magic"),CHOOSE('Reels'!D55+1,'Slots'!D29,'Slots'!D30,'Slots'!D31,'Slots'!D32,'Slots'!D33),0)</f>
        <v>4</v>
      </c>
      <c r="E78">
        <f>IF('Reels'!D5="heal",'Reels'!D6*'Slots'!D24,0)+IF('Reels'!D35="heal",'Reels'!D36*'Slots'!D24,0)+IF('Reels'!D54="heal",'Reels'!D55*'Slots'!D24,0)</f>
        <v>2</v>
      </c>
      <c r="F78">
        <f>IF('Reels'!D5="block",'Reels'!D6*'Slots'!D25,0)+IF('Reels'!D35="block",'Reels'!D36*'Slots'!D25,0)+IF('Reels'!D54="block",'Reels'!D55*'Slots'!D25,0)</f>
        <v>0</v>
      </c>
      <c r="G78" t="b">
        <f>AND('Reels'!D5&lt;&gt;"blank",'Reels'!D5&lt;&gt;"class",'Reels'!D5='Reels'!D54,'Reels'!D6='Reels'!D55,OR('Reels'!D35="class",AND('Reels'!D35='Reels'!D5,'Reels'!D36='Reels'!D6)))</f>
        <v>0</v>
      </c>
      <c r="H78">
        <f>IF(G78,C78,0)</f>
        <v>0</v>
      </c>
    </row>
    <row r="79" spans="1:8" x14ac:dyDescent="0.25">
      <c r="A79" t="s">
        <v>225</v>
      </c>
      <c r="B79" t="s">
        <v>3442</v>
      </c>
      <c r="C79" s="4">
        <f>('Reels'!D7/('Reels'!D4+'Reels'!D7+'Reels'!D10+'Reels'!D13+'Reels'!D16+'Reels'!D19))*('Reels'!D37/('Reels'!D22+'Reels'!D25+'Reels'!D28+'Reels'!D31+'Reels'!D34+'Reels'!D37+'Reels'!D40))*('Reels'!D59/('Reels'!D44+'Reels'!D47+'Reels'!D50+'Reels'!D53+'Reels'!D56+'Reels'!D59))</f>
        <v>0.004208754208754208</v>
      </c>
      <c r="D79">
        <f>IF(OR('Reels'!D5="attack",'Reels'!D5="magic"),CHOOSE('Reels'!D6+1,'Slots'!D29,'Slots'!D30,'Slots'!D31,'Slots'!D32,'Slots'!D33),0)+IF(OR('Reels'!D35="attack",'Reels'!D35="magic"),CHOOSE('Reels'!D36+1,'Slots'!D29,'Slots'!D30,'Slots'!D31,'Slots'!D32,'Slots'!D33),0)+IF(OR('Reels'!D57="attack",'Reels'!D57="magic"),CHOOSE('Reels'!D58+1,'Slots'!D29,'Slots'!D30,'Slots'!D31,'Slots'!D32,'Slots'!D33),0)</f>
        <v>4</v>
      </c>
      <c r="E79">
        <f>IF('Reels'!D5="heal",'Reels'!D6*'Slots'!D24,0)+IF('Reels'!D35="heal",'Reels'!D36*'Slots'!D24,0)+IF('Reels'!D57="heal",'Reels'!D58*'Slots'!D24,0)</f>
        <v>0</v>
      </c>
      <c r="F79">
        <f>IF('Reels'!D5="block",'Reels'!D6*'Slots'!D25,0)+IF('Reels'!D35="block",'Reels'!D36*'Slots'!D25,0)+IF('Reels'!D57="block",'Reels'!D58*'Slots'!D25,0)</f>
        <v>0</v>
      </c>
      <c r="G79" t="b">
        <f>AND('Reels'!D5&lt;&gt;"blank",'Reels'!D5&lt;&gt;"class",'Reels'!D5='Reels'!D57,'Reels'!D6='Reels'!D58,OR('Reels'!D35="class",AND('Reels'!D35='Reels'!D5,'Reels'!D36='Reels'!D6)))</f>
        <v>0</v>
      </c>
      <c r="H79">
        <f>IF(G79,C79,0)</f>
        <v>0</v>
      </c>
    </row>
    <row r="80" spans="1:8" x14ac:dyDescent="0.25">
      <c r="A80" t="s">
        <v>225</v>
      </c>
      <c r="B80" t="s">
        <v>3443</v>
      </c>
      <c r="C80" s="4">
        <f>('Reels'!D7/('Reels'!D4+'Reels'!D7+'Reels'!D10+'Reels'!D13+'Reels'!D16+'Reels'!D19))*('Reels'!D40/('Reels'!D22+'Reels'!D25+'Reels'!D28+'Reels'!D31+'Reels'!D34+'Reels'!D37+'Reels'!D40))*('Reels'!D44/('Reels'!D44+'Reels'!D47+'Reels'!D50+'Reels'!D53+'Reels'!D56+'Reels'!D59))</f>
        <v>0.004545454545454545</v>
      </c>
      <c r="D80">
        <f>IF(OR('Reels'!D5="attack",'Reels'!D5="magic"),CHOOSE('Reels'!D6+1,'Slots'!D29,'Slots'!D30,'Slots'!D31,'Slots'!D32,'Slots'!D33),0)+IF(OR('Reels'!D38="attack",'Reels'!D38="magic"),CHOOSE('Reels'!D39+1,'Slots'!D29,'Slots'!D30,'Slots'!D31,'Slots'!D32,'Slots'!D33),0)+IF(OR('Reels'!D42="attack",'Reels'!D42="magic"),CHOOSE('Reels'!D43+1,'Slots'!D29,'Slots'!D30,'Slots'!D31,'Slots'!D32,'Slots'!D33),0)</f>
        <v>6</v>
      </c>
      <c r="E80">
        <f>IF('Reels'!D5="heal",'Reels'!D6*'Slots'!D24,0)+IF('Reels'!D38="heal",'Reels'!D39*'Slots'!D24,0)+IF('Reels'!D42="heal",'Reels'!D43*'Slots'!D24,0)</f>
        <v>0</v>
      </c>
      <c r="F80">
        <f>IF('Reels'!D5="block",'Reels'!D6*'Slots'!D25,0)+IF('Reels'!D38="block",'Reels'!D39*'Slots'!D25,0)+IF('Reels'!D42="block",'Reels'!D43*'Slots'!D25,0)</f>
        <v>0</v>
      </c>
      <c r="G80" t="b">
        <f>AND('Reels'!D5&lt;&gt;"blank",'Reels'!D5&lt;&gt;"class",'Reels'!D5='Reels'!D42,'Reels'!D6='Reels'!D43,OR('Reels'!D38="class",AND('Reels'!D38='Reels'!D5,'Reels'!D39='Reels'!D6)))</f>
        <v>0</v>
      </c>
      <c r="H80">
        <f>IF(G80,C80,0)</f>
        <v>0</v>
      </c>
    </row>
    <row r="81" spans="1:8" x14ac:dyDescent="0.25">
      <c r="A81" t="s">
        <v>225</v>
      </c>
      <c r="B81" t="s">
        <v>3444</v>
      </c>
      <c r="C81" s="4">
        <f>('Reels'!D7/('Reels'!D4+'Reels'!D7+'Reels'!D10+'Reels'!D13+'Reels'!D16+'Reels'!D19))*('Reels'!D40/('Reels'!D22+'Reels'!D25+'Reels'!D28+'Reels'!D31+'Reels'!D34+'Reels'!D37+'Reels'!D40))*('Reels'!D47/('Reels'!D44+'Reels'!D47+'Reels'!D50+'Reels'!D53+'Reels'!D56+'Reels'!D59))</f>
        <v>0.0025252525252525255</v>
      </c>
      <c r="D81">
        <f>IF(OR('Reels'!D5="attack",'Reels'!D5="magic"),CHOOSE('Reels'!D6+1,'Slots'!D29,'Slots'!D30,'Slots'!D31,'Slots'!D32,'Slots'!D33),0)+IF(OR('Reels'!D38="attack",'Reels'!D38="magic"),CHOOSE('Reels'!D39+1,'Slots'!D29,'Slots'!D30,'Slots'!D31,'Slots'!D32,'Slots'!D33),0)+IF(OR('Reels'!D45="attack",'Reels'!D45="magic"),CHOOSE('Reels'!D46+1,'Slots'!D29,'Slots'!D30,'Slots'!D31,'Slots'!D32,'Slots'!D33),0)</f>
        <v>8</v>
      </c>
      <c r="E81">
        <f>IF('Reels'!D5="heal",'Reels'!D6*'Slots'!D24,0)+IF('Reels'!D38="heal",'Reels'!D39*'Slots'!D24,0)+IF('Reels'!D45="heal",'Reels'!D46*'Slots'!D24,0)</f>
        <v>0</v>
      </c>
      <c r="F81">
        <f>IF('Reels'!D5="block",'Reels'!D6*'Slots'!D25,0)+IF('Reels'!D38="block",'Reels'!D39*'Slots'!D25,0)+IF('Reels'!D45="block",'Reels'!D46*'Slots'!D25,0)</f>
        <v>0</v>
      </c>
      <c r="G81" t="b">
        <f>AND('Reels'!D5&lt;&gt;"blank",'Reels'!D5&lt;&gt;"class",'Reels'!D5='Reels'!D45,'Reels'!D6='Reels'!D46,OR('Reels'!D38="class",AND('Reels'!D38='Reels'!D5,'Reels'!D39='Reels'!D6)))</f>
        <v>1</v>
      </c>
      <c r="H81">
        <f>IF(G81,C81,0)</f>
        <v>0.0025252525252525255</v>
      </c>
    </row>
    <row r="82" spans="1:8" x14ac:dyDescent="0.25">
      <c r="A82" t="s">
        <v>225</v>
      </c>
      <c r="B82" t="s">
        <v>3445</v>
      </c>
      <c r="C82" s="4">
        <f>('Reels'!D7/('Reels'!D4+'Reels'!D7+'Reels'!D10+'Reels'!D13+'Reels'!D16+'Reels'!D19))*('Reels'!D40/('Reels'!D22+'Reels'!D25+'Reels'!D28+'Reels'!D31+'Reels'!D34+'Reels'!D37+'Reels'!D40))*('Reels'!D50/('Reels'!D44+'Reels'!D47+'Reels'!D50+'Reels'!D53+'Reels'!D56+'Reels'!D59))</f>
        <v>0.0035353535353535356</v>
      </c>
      <c r="D82">
        <f>IF(OR('Reels'!D5="attack",'Reels'!D5="magic"),CHOOSE('Reels'!D6+1,'Slots'!D29,'Slots'!D30,'Slots'!D31,'Slots'!D32,'Slots'!D33),0)+IF(OR('Reels'!D38="attack",'Reels'!D38="magic"),CHOOSE('Reels'!D39+1,'Slots'!D29,'Slots'!D30,'Slots'!D31,'Slots'!D32,'Slots'!D33),0)+IF(OR('Reels'!D48="attack",'Reels'!D48="magic"),CHOOSE('Reels'!D49+1,'Slots'!D29,'Slots'!D30,'Slots'!D31,'Slots'!D32,'Slots'!D33),0)</f>
        <v>4</v>
      </c>
      <c r="E82">
        <f>IF('Reels'!D5="heal",'Reels'!D6*'Slots'!D24,0)+IF('Reels'!D38="heal",'Reels'!D39*'Slots'!D24,0)+IF('Reels'!D48="heal",'Reels'!D49*'Slots'!D24,0)</f>
        <v>0</v>
      </c>
      <c r="F82">
        <f>IF('Reels'!D5="block",'Reels'!D6*'Slots'!D25,0)+IF('Reels'!D38="block",'Reels'!D39*'Slots'!D25,0)+IF('Reels'!D48="block",'Reels'!D49*'Slots'!D25,0)</f>
        <v>1</v>
      </c>
      <c r="G82" t="b">
        <f>AND('Reels'!D5&lt;&gt;"blank",'Reels'!D5&lt;&gt;"class",'Reels'!D5='Reels'!D48,'Reels'!D6='Reels'!D49,OR('Reels'!D38="class",AND('Reels'!D38='Reels'!D5,'Reels'!D39='Reels'!D6)))</f>
        <v>0</v>
      </c>
      <c r="H82">
        <f>IF(G82,C82,0)</f>
        <v>0</v>
      </c>
    </row>
    <row r="83" spans="1:8" x14ac:dyDescent="0.25">
      <c r="A83" t="s">
        <v>225</v>
      </c>
      <c r="B83" t="s">
        <v>3446</v>
      </c>
      <c r="C83" s="4">
        <f>('Reels'!D7/('Reels'!D4+'Reels'!D7+'Reels'!D10+'Reels'!D13+'Reels'!D16+'Reels'!D19))*('Reels'!D40/('Reels'!D22+'Reels'!D25+'Reels'!D28+'Reels'!D31+'Reels'!D34+'Reels'!D37+'Reels'!D40))*('Reels'!D53/('Reels'!D44+'Reels'!D47+'Reels'!D50+'Reels'!D53+'Reels'!D56+'Reels'!D59))</f>
        <v>0.0015151515151515152</v>
      </c>
      <c r="D83">
        <f>IF(OR('Reels'!D5="attack",'Reels'!D5="magic"),CHOOSE('Reels'!D6+1,'Slots'!D29,'Slots'!D30,'Slots'!D31,'Slots'!D32,'Slots'!D33),0)+IF(OR('Reels'!D38="attack",'Reels'!D38="magic"),CHOOSE('Reels'!D39+1,'Slots'!D29,'Slots'!D30,'Slots'!D31,'Slots'!D32,'Slots'!D33),0)+IF(OR('Reels'!D51="attack",'Reels'!D51="magic"),CHOOSE('Reels'!D52+1,'Slots'!D29,'Slots'!D30,'Slots'!D31,'Slots'!D32,'Slots'!D33),0)</f>
        <v>4</v>
      </c>
      <c r="E83">
        <f>IF('Reels'!D5="heal",'Reels'!D6*'Slots'!D24,0)+IF('Reels'!D38="heal",'Reels'!D39*'Slots'!D24,0)+IF('Reels'!D51="heal",'Reels'!D52*'Slots'!D24,0)</f>
        <v>0</v>
      </c>
      <c r="F83">
        <f>IF('Reels'!D5="block",'Reels'!D6*'Slots'!D25,0)+IF('Reels'!D38="block",'Reels'!D39*'Slots'!D25,0)+IF('Reels'!D51="block",'Reels'!D52*'Slots'!D25,0)</f>
        <v>2</v>
      </c>
      <c r="G83" t="b">
        <f>AND('Reels'!D5&lt;&gt;"blank",'Reels'!D5&lt;&gt;"class",'Reels'!D5='Reels'!D51,'Reels'!D6='Reels'!D52,OR('Reels'!D38="class",AND('Reels'!D38='Reels'!D5,'Reels'!D39='Reels'!D6)))</f>
        <v>0</v>
      </c>
      <c r="H83">
        <f>IF(G83,C83,0)</f>
        <v>0</v>
      </c>
    </row>
    <row r="84" spans="1:8" x14ac:dyDescent="0.25">
      <c r="A84" t="s">
        <v>225</v>
      </c>
      <c r="B84" t="s">
        <v>3447</v>
      </c>
      <c r="C84" s="4">
        <f>('Reels'!D7/('Reels'!D4+'Reels'!D7+'Reels'!D10+'Reels'!D13+'Reels'!D16+'Reels'!D19))*('Reels'!D40/('Reels'!D22+'Reels'!D25+'Reels'!D28+'Reels'!D31+'Reels'!D34+'Reels'!D37+'Reels'!D40))*('Reels'!D56/('Reels'!D44+'Reels'!D47+'Reels'!D50+'Reels'!D53+'Reels'!D56+'Reels'!D59))</f>
        <v>0.000505050505050505</v>
      </c>
      <c r="D84">
        <f>IF(OR('Reels'!D5="attack",'Reels'!D5="magic"),CHOOSE('Reels'!D6+1,'Slots'!D29,'Slots'!D30,'Slots'!D31,'Slots'!D32,'Slots'!D33),0)+IF(OR('Reels'!D38="attack",'Reels'!D38="magic"),CHOOSE('Reels'!D39+1,'Slots'!D29,'Slots'!D30,'Slots'!D31,'Slots'!D32,'Slots'!D33),0)+IF(OR('Reels'!D54="attack",'Reels'!D54="magic"),CHOOSE('Reels'!D55+1,'Slots'!D29,'Slots'!D30,'Slots'!D31,'Slots'!D32,'Slots'!D33),0)</f>
        <v>4</v>
      </c>
      <c r="E84">
        <f>IF('Reels'!D5="heal",'Reels'!D6*'Slots'!D24,0)+IF('Reels'!D38="heal",'Reels'!D39*'Slots'!D24,0)+IF('Reels'!D54="heal",'Reels'!D55*'Slots'!D24,0)</f>
        <v>2</v>
      </c>
      <c r="F84">
        <f>IF('Reels'!D5="block",'Reels'!D6*'Slots'!D25,0)+IF('Reels'!D38="block",'Reels'!D39*'Slots'!D25,0)+IF('Reels'!D54="block",'Reels'!D55*'Slots'!D25,0)</f>
        <v>0</v>
      </c>
      <c r="G84" t="b">
        <f>AND('Reels'!D5&lt;&gt;"blank",'Reels'!D5&lt;&gt;"class",'Reels'!D5='Reels'!D54,'Reels'!D6='Reels'!D55,OR('Reels'!D38="class",AND('Reels'!D38='Reels'!D5,'Reels'!D39='Reels'!D6)))</f>
        <v>0</v>
      </c>
      <c r="H84">
        <f>IF(G84,C84,0)</f>
        <v>0</v>
      </c>
    </row>
    <row r="85" spans="1:8" x14ac:dyDescent="0.25">
      <c r="A85" t="s">
        <v>225</v>
      </c>
      <c r="B85" t="s">
        <v>3448</v>
      </c>
      <c r="C85" s="4">
        <f>('Reels'!D7/('Reels'!D4+'Reels'!D7+'Reels'!D10+'Reels'!D13+'Reels'!D16+'Reels'!D19))*('Reels'!D40/('Reels'!D22+'Reels'!D25+'Reels'!D28+'Reels'!D31+'Reels'!D34+'Reels'!D37+'Reels'!D40))*('Reels'!D59/('Reels'!D44+'Reels'!D47+'Reels'!D50+'Reels'!D53+'Reels'!D56+'Reels'!D59))</f>
        <v>0.0025252525252525255</v>
      </c>
      <c r="D85">
        <f>IF(OR('Reels'!D5="attack",'Reels'!D5="magic"),CHOOSE('Reels'!D6+1,'Slots'!D29,'Slots'!D30,'Slots'!D31,'Slots'!D32,'Slots'!D33),0)+IF(OR('Reels'!D38="attack",'Reels'!D38="magic"),CHOOSE('Reels'!D39+1,'Slots'!D29,'Slots'!D30,'Slots'!D31,'Slots'!D32,'Slots'!D33),0)+IF(OR('Reels'!D57="attack",'Reels'!D57="magic"),CHOOSE('Reels'!D58+1,'Slots'!D29,'Slots'!D30,'Slots'!D31,'Slots'!D32,'Slots'!D33),0)</f>
        <v>4</v>
      </c>
      <c r="E85">
        <f>IF('Reels'!D5="heal",'Reels'!D6*'Slots'!D24,0)+IF('Reels'!D38="heal",'Reels'!D39*'Slots'!D24,0)+IF('Reels'!D57="heal",'Reels'!D58*'Slots'!D24,0)</f>
        <v>0</v>
      </c>
      <c r="F85">
        <f>IF('Reels'!D5="block",'Reels'!D6*'Slots'!D25,0)+IF('Reels'!D38="block",'Reels'!D39*'Slots'!D25,0)+IF('Reels'!D57="block",'Reels'!D58*'Slots'!D25,0)</f>
        <v>0</v>
      </c>
      <c r="G85" t="b">
        <f>AND('Reels'!D5&lt;&gt;"blank",'Reels'!D5&lt;&gt;"class",'Reels'!D5='Reels'!D57,'Reels'!D6='Reels'!D58,OR('Reels'!D38="class",AND('Reels'!D38='Reels'!D5,'Reels'!D39='Reels'!D6)))</f>
        <v>0</v>
      </c>
      <c r="H85">
        <f>IF(G85,C85,0)</f>
        <v>0</v>
      </c>
    </row>
    <row r="86" spans="1:8" x14ac:dyDescent="0.25">
      <c r="A86" t="s">
        <v>225</v>
      </c>
      <c r="B86" t="s">
        <v>3449</v>
      </c>
      <c r="C86" s="4">
        <f>('Reels'!D10/('Reels'!D4+'Reels'!D7+'Reels'!D10+'Reels'!D13+'Reels'!D16+'Reels'!D19))*('Reels'!D22/('Reels'!D22+'Reels'!D25+'Reels'!D28+'Reels'!D31+'Reels'!D34+'Reels'!D37+'Reels'!D40))*('Reels'!D44/('Reels'!D44+'Reels'!D47+'Reels'!D50+'Reels'!D53+'Reels'!D56+'Reels'!D59))</f>
        <v>0.019090909090909092</v>
      </c>
      <c r="D86">
        <f>IF(OR('Reels'!D8="attack",'Reels'!D8="magic"),CHOOSE('Reels'!D9+1,'Slots'!D29,'Slots'!D30,'Slots'!D31,'Slots'!D32,'Slots'!D33),0)+IF(OR('Reels'!D20="attack",'Reels'!D20="magic"),CHOOSE('Reels'!D21+1,'Slots'!D29,'Slots'!D30,'Slots'!D31,'Slots'!D32,'Slots'!D33),0)+IF(OR('Reels'!D42="attack",'Reels'!D42="magic"),CHOOSE('Reels'!D43+1,'Slots'!D29,'Slots'!D30,'Slots'!D31,'Slots'!D32,'Slots'!D33),0)</f>
        <v>4</v>
      </c>
      <c r="E86">
        <f>IF('Reels'!D8="heal",'Reels'!D9*'Slots'!D24,0)+IF('Reels'!D20="heal",'Reels'!D21*'Slots'!D24,0)+IF('Reels'!D42="heal",'Reels'!D43*'Slots'!D24,0)</f>
        <v>0</v>
      </c>
      <c r="F86">
        <f>IF('Reels'!D8="block",'Reels'!D9*'Slots'!D25,0)+IF('Reels'!D20="block",'Reels'!D21*'Slots'!D25,0)+IF('Reels'!D42="block",'Reels'!D43*'Slots'!D25,0)</f>
        <v>1</v>
      </c>
      <c r="G86" t="b">
        <f>AND('Reels'!D8&lt;&gt;"blank",'Reels'!D8&lt;&gt;"class",'Reels'!D8='Reels'!D42,'Reels'!D9='Reels'!D43,OR('Reels'!D20="class",AND('Reels'!D20='Reels'!D8,'Reels'!D21='Reels'!D9)))</f>
        <v>0</v>
      </c>
      <c r="H86">
        <f>IF(G86,C86,0)</f>
        <v>0</v>
      </c>
    </row>
    <row r="87" spans="1:8" x14ac:dyDescent="0.25">
      <c r="A87" t="s">
        <v>225</v>
      </c>
      <c r="B87" t="s">
        <v>3450</v>
      </c>
      <c r="C87" s="4">
        <f>('Reels'!D10/('Reels'!D4+'Reels'!D7+'Reels'!D10+'Reels'!D13+'Reels'!D16+'Reels'!D19))*('Reels'!D22/('Reels'!D22+'Reels'!D25+'Reels'!D28+'Reels'!D31+'Reels'!D34+'Reels'!D37+'Reels'!D40))*('Reels'!D47/('Reels'!D44+'Reels'!D47+'Reels'!D50+'Reels'!D53+'Reels'!D56+'Reels'!D59))</f>
        <v>0.010606060606060608</v>
      </c>
      <c r="D87">
        <f>IF(OR('Reels'!D8="attack",'Reels'!D8="magic"),CHOOSE('Reels'!D9+1,'Slots'!D29,'Slots'!D30,'Slots'!D31,'Slots'!D32,'Slots'!D33),0)+IF(OR('Reels'!D20="attack",'Reels'!D20="magic"),CHOOSE('Reels'!D21+1,'Slots'!D29,'Slots'!D30,'Slots'!D31,'Slots'!D32,'Slots'!D33),0)+IF(OR('Reels'!D45="attack",'Reels'!D45="magic"),CHOOSE('Reels'!D46+1,'Slots'!D29,'Slots'!D30,'Slots'!D31,'Slots'!D32,'Slots'!D33),0)</f>
        <v>6</v>
      </c>
      <c r="E87">
        <f>IF('Reels'!D8="heal",'Reels'!D9*'Slots'!D24,0)+IF('Reels'!D20="heal",'Reels'!D21*'Slots'!D24,0)+IF('Reels'!D45="heal",'Reels'!D46*'Slots'!D24,0)</f>
        <v>0</v>
      </c>
      <c r="F87">
        <f>IF('Reels'!D8="block",'Reels'!D9*'Slots'!D25,0)+IF('Reels'!D20="block",'Reels'!D21*'Slots'!D25,0)+IF('Reels'!D45="block",'Reels'!D46*'Slots'!D25,0)</f>
        <v>1</v>
      </c>
      <c r="G87" t="b">
        <f>AND('Reels'!D8&lt;&gt;"blank",'Reels'!D8&lt;&gt;"class",'Reels'!D8='Reels'!D45,'Reels'!D9='Reels'!D46,OR('Reels'!D20="class",AND('Reels'!D20='Reels'!D8,'Reels'!D21='Reels'!D9)))</f>
        <v>0</v>
      </c>
      <c r="H87">
        <f>IF(G87,C87,0)</f>
        <v>0</v>
      </c>
    </row>
    <row r="88" spans="1:8" x14ac:dyDescent="0.25">
      <c r="A88" t="s">
        <v>225</v>
      </c>
      <c r="B88" t="s">
        <v>3451</v>
      </c>
      <c r="C88" s="4">
        <f>('Reels'!D10/('Reels'!D4+'Reels'!D7+'Reels'!D10+'Reels'!D13+'Reels'!D16+'Reels'!D19))*('Reels'!D22/('Reels'!D22+'Reels'!D25+'Reels'!D28+'Reels'!D31+'Reels'!D34+'Reels'!D37+'Reels'!D40))*('Reels'!D50/('Reels'!D44+'Reels'!D47+'Reels'!D50+'Reels'!D53+'Reels'!D56+'Reels'!D59))</f>
        <v>0.01484848484848485</v>
      </c>
      <c r="D88">
        <f>IF(OR('Reels'!D8="attack",'Reels'!D8="magic"),CHOOSE('Reels'!D9+1,'Slots'!D29,'Slots'!D30,'Slots'!D31,'Slots'!D32,'Slots'!D33),0)+IF(OR('Reels'!D20="attack",'Reels'!D20="magic"),CHOOSE('Reels'!D21+1,'Slots'!D29,'Slots'!D30,'Slots'!D31,'Slots'!D32,'Slots'!D33),0)+IF(OR('Reels'!D48="attack",'Reels'!D48="magic"),CHOOSE('Reels'!D49+1,'Slots'!D29,'Slots'!D30,'Slots'!D31,'Slots'!D32,'Slots'!D33),0)</f>
        <v>2</v>
      </c>
      <c r="E88">
        <f>IF('Reels'!D8="heal",'Reels'!D9*'Slots'!D24,0)+IF('Reels'!D20="heal",'Reels'!D21*'Slots'!D24,0)+IF('Reels'!D48="heal",'Reels'!D49*'Slots'!D24,0)</f>
        <v>0</v>
      </c>
      <c r="F88">
        <f>IF('Reels'!D8="block",'Reels'!D9*'Slots'!D25,0)+IF('Reels'!D20="block",'Reels'!D21*'Slots'!D25,0)+IF('Reels'!D48="block",'Reels'!D49*'Slots'!D25,0)</f>
        <v>2</v>
      </c>
      <c r="G88" t="b">
        <f>AND('Reels'!D8&lt;&gt;"blank",'Reels'!D8&lt;&gt;"class",'Reels'!D8='Reels'!D48,'Reels'!D9='Reels'!D49,OR('Reels'!D20="class",AND('Reels'!D20='Reels'!D8,'Reels'!D21='Reels'!D9)))</f>
        <v>0</v>
      </c>
      <c r="H88">
        <f>IF(G88,C88,0)</f>
        <v>0</v>
      </c>
    </row>
    <row r="89" spans="1:8" x14ac:dyDescent="0.25">
      <c r="A89" t="s">
        <v>225</v>
      </c>
      <c r="B89" t="s">
        <v>3452</v>
      </c>
      <c r="C89" s="4">
        <f>('Reels'!D10/('Reels'!D4+'Reels'!D7+'Reels'!D10+'Reels'!D13+'Reels'!D16+'Reels'!D19))*('Reels'!D22/('Reels'!D22+'Reels'!D25+'Reels'!D28+'Reels'!D31+'Reels'!D34+'Reels'!D37+'Reels'!D40))*('Reels'!D53/('Reels'!D44+'Reels'!D47+'Reels'!D50+'Reels'!D53+'Reels'!D56+'Reels'!D59))</f>
        <v>0.006363636363636364</v>
      </c>
      <c r="D89">
        <f>IF(OR('Reels'!D8="attack",'Reels'!D8="magic"),CHOOSE('Reels'!D9+1,'Slots'!D29,'Slots'!D30,'Slots'!D31,'Slots'!D32,'Slots'!D33),0)+IF(OR('Reels'!D20="attack",'Reels'!D20="magic"),CHOOSE('Reels'!D21+1,'Slots'!D29,'Slots'!D30,'Slots'!D31,'Slots'!D32,'Slots'!D33),0)+IF(OR('Reels'!D51="attack",'Reels'!D51="magic"),CHOOSE('Reels'!D52+1,'Slots'!D29,'Slots'!D30,'Slots'!D31,'Slots'!D32,'Slots'!D33),0)</f>
        <v>2</v>
      </c>
      <c r="E89">
        <f>IF('Reels'!D8="heal",'Reels'!D9*'Slots'!D24,0)+IF('Reels'!D20="heal",'Reels'!D21*'Slots'!D24,0)+IF('Reels'!D51="heal",'Reels'!D52*'Slots'!D24,0)</f>
        <v>0</v>
      </c>
      <c r="F89">
        <f>IF('Reels'!D8="block",'Reels'!D9*'Slots'!D25,0)+IF('Reels'!D20="block",'Reels'!D21*'Slots'!D25,0)+IF('Reels'!D51="block",'Reels'!D52*'Slots'!D25,0)</f>
        <v>3</v>
      </c>
      <c r="G89" t="b">
        <f>AND('Reels'!D8&lt;&gt;"blank",'Reels'!D8&lt;&gt;"class",'Reels'!D8='Reels'!D51,'Reels'!D9='Reels'!D52,OR('Reels'!D20="class",AND('Reels'!D20='Reels'!D8,'Reels'!D21='Reels'!D9)))</f>
        <v>0</v>
      </c>
      <c r="H89">
        <f>IF(G89,C89,0)</f>
        <v>0</v>
      </c>
    </row>
    <row r="90" spans="1:8" x14ac:dyDescent="0.25">
      <c r="A90" t="s">
        <v>225</v>
      </c>
      <c r="B90" t="s">
        <v>3453</v>
      </c>
      <c r="C90" s="4">
        <f>('Reels'!D10/('Reels'!D4+'Reels'!D7+'Reels'!D10+'Reels'!D13+'Reels'!D16+'Reels'!D19))*('Reels'!D22/('Reels'!D22+'Reels'!D25+'Reels'!D28+'Reels'!D31+'Reels'!D34+'Reels'!D37+'Reels'!D40))*('Reels'!D56/('Reels'!D44+'Reels'!D47+'Reels'!D50+'Reels'!D53+'Reels'!D56+'Reels'!D59))</f>
        <v>0.0021212121212121214</v>
      </c>
      <c r="D90">
        <f>IF(OR('Reels'!D8="attack",'Reels'!D8="magic"),CHOOSE('Reels'!D9+1,'Slots'!D29,'Slots'!D30,'Slots'!D31,'Slots'!D32,'Slots'!D33),0)+IF(OR('Reels'!D20="attack",'Reels'!D20="magic"),CHOOSE('Reels'!D21+1,'Slots'!D29,'Slots'!D30,'Slots'!D31,'Slots'!D32,'Slots'!D33),0)+IF(OR('Reels'!D54="attack",'Reels'!D54="magic"),CHOOSE('Reels'!D55+1,'Slots'!D29,'Slots'!D30,'Slots'!D31,'Slots'!D32,'Slots'!D33),0)</f>
        <v>2</v>
      </c>
      <c r="E90">
        <f>IF('Reels'!D8="heal",'Reels'!D9*'Slots'!D24,0)+IF('Reels'!D20="heal",'Reels'!D21*'Slots'!D24,0)+IF('Reels'!D54="heal",'Reels'!D55*'Slots'!D24,0)</f>
        <v>2</v>
      </c>
      <c r="F90">
        <f>IF('Reels'!D8="block",'Reels'!D9*'Slots'!D25,0)+IF('Reels'!D20="block",'Reels'!D21*'Slots'!D25,0)+IF('Reels'!D54="block",'Reels'!D55*'Slots'!D25,0)</f>
        <v>1</v>
      </c>
      <c r="G90" t="b">
        <f>AND('Reels'!D8&lt;&gt;"blank",'Reels'!D8&lt;&gt;"class",'Reels'!D8='Reels'!D54,'Reels'!D9='Reels'!D55,OR('Reels'!D20="class",AND('Reels'!D20='Reels'!D8,'Reels'!D21='Reels'!D9)))</f>
        <v>0</v>
      </c>
      <c r="H90">
        <f>IF(G90,C90,0)</f>
        <v>0</v>
      </c>
    </row>
    <row r="91" spans="1:8" x14ac:dyDescent="0.25">
      <c r="A91" t="s">
        <v>225</v>
      </c>
      <c r="B91" t="s">
        <v>3454</v>
      </c>
      <c r="C91" s="4">
        <f>('Reels'!D10/('Reels'!D4+'Reels'!D7+'Reels'!D10+'Reels'!D13+'Reels'!D16+'Reels'!D19))*('Reels'!D22/('Reels'!D22+'Reels'!D25+'Reels'!D28+'Reels'!D31+'Reels'!D34+'Reels'!D37+'Reels'!D40))*('Reels'!D59/('Reels'!D44+'Reels'!D47+'Reels'!D50+'Reels'!D53+'Reels'!D56+'Reels'!D59))</f>
        <v>0.010606060606060608</v>
      </c>
      <c r="D91">
        <f>IF(OR('Reels'!D8="attack",'Reels'!D8="magic"),CHOOSE('Reels'!D9+1,'Slots'!D29,'Slots'!D30,'Slots'!D31,'Slots'!D32,'Slots'!D33),0)+IF(OR('Reels'!D20="attack",'Reels'!D20="magic"),CHOOSE('Reels'!D21+1,'Slots'!D29,'Slots'!D30,'Slots'!D31,'Slots'!D32,'Slots'!D33),0)+IF(OR('Reels'!D57="attack",'Reels'!D57="magic"),CHOOSE('Reels'!D58+1,'Slots'!D29,'Slots'!D30,'Slots'!D31,'Slots'!D32,'Slots'!D33),0)</f>
        <v>2</v>
      </c>
      <c r="E91">
        <f>IF('Reels'!D8="heal",'Reels'!D9*'Slots'!D24,0)+IF('Reels'!D20="heal",'Reels'!D21*'Slots'!D24,0)+IF('Reels'!D57="heal",'Reels'!D58*'Slots'!D24,0)</f>
        <v>0</v>
      </c>
      <c r="F91">
        <f>IF('Reels'!D8="block",'Reels'!D9*'Slots'!D25,0)+IF('Reels'!D20="block",'Reels'!D21*'Slots'!D25,0)+IF('Reels'!D57="block",'Reels'!D58*'Slots'!D25,0)</f>
        <v>1</v>
      </c>
      <c r="G91" t="b">
        <f>AND('Reels'!D8&lt;&gt;"blank",'Reels'!D8&lt;&gt;"class",'Reels'!D8='Reels'!D57,'Reels'!D9='Reels'!D58,OR('Reels'!D20="class",AND('Reels'!D20='Reels'!D8,'Reels'!D21='Reels'!D9)))</f>
        <v>0</v>
      </c>
      <c r="H91">
        <f>IF(G91,C91,0)</f>
        <v>0</v>
      </c>
    </row>
    <row r="92" spans="1:8" x14ac:dyDescent="0.25">
      <c r="A92" t="s">
        <v>225</v>
      </c>
      <c r="B92" t="s">
        <v>3455</v>
      </c>
      <c r="C92" s="4">
        <f>('Reels'!D10/('Reels'!D4+'Reels'!D7+'Reels'!D10+'Reels'!D13+'Reels'!D16+'Reels'!D19))*('Reels'!D25/('Reels'!D22+'Reels'!D25+'Reels'!D28+'Reels'!D31+'Reels'!D34+'Reels'!D37+'Reels'!D40))*('Reels'!D44/('Reels'!D44+'Reels'!D47+'Reels'!D50+'Reels'!D53+'Reels'!D56+'Reels'!D59))</f>
        <v>0.010606060606060608</v>
      </c>
      <c r="D92">
        <f>IF(OR('Reels'!D8="attack",'Reels'!D8="magic"),CHOOSE('Reels'!D9+1,'Slots'!D29,'Slots'!D30,'Slots'!D31,'Slots'!D32,'Slots'!D33),0)+IF(OR('Reels'!D23="attack",'Reels'!D23="magic"),CHOOSE('Reels'!D24+1,'Slots'!D29,'Slots'!D30,'Slots'!D31,'Slots'!D32,'Slots'!D33),0)+IF(OR('Reels'!D42="attack",'Reels'!D42="magic"),CHOOSE('Reels'!D43+1,'Slots'!D29,'Slots'!D30,'Slots'!D31,'Slots'!D32,'Slots'!D33),0)</f>
        <v>6</v>
      </c>
      <c r="E92">
        <f>IF('Reels'!D8="heal",'Reels'!D9*'Slots'!D24,0)+IF('Reels'!D23="heal",'Reels'!D24*'Slots'!D24,0)+IF('Reels'!D42="heal",'Reels'!D43*'Slots'!D24,0)</f>
        <v>0</v>
      </c>
      <c r="F92">
        <f>IF('Reels'!D8="block",'Reels'!D9*'Slots'!D25,0)+IF('Reels'!D23="block",'Reels'!D24*'Slots'!D25,0)+IF('Reels'!D42="block",'Reels'!D43*'Slots'!D25,0)</f>
        <v>1</v>
      </c>
      <c r="G92" t="b">
        <f>AND('Reels'!D8&lt;&gt;"blank",'Reels'!D8&lt;&gt;"class",'Reels'!D8='Reels'!D42,'Reels'!D9='Reels'!D43,OR('Reels'!D23="class",AND('Reels'!D23='Reels'!D8,'Reels'!D24='Reels'!D9)))</f>
        <v>0</v>
      </c>
      <c r="H92">
        <f>IF(G92,C92,0)</f>
        <v>0</v>
      </c>
    </row>
    <row r="93" spans="1:8" x14ac:dyDescent="0.25">
      <c r="A93" t="s">
        <v>225</v>
      </c>
      <c r="B93" t="s">
        <v>3456</v>
      </c>
      <c r="C93" s="4">
        <f>('Reels'!D10/('Reels'!D4+'Reels'!D7+'Reels'!D10+'Reels'!D13+'Reels'!D16+'Reels'!D19))*('Reels'!D25/('Reels'!D22+'Reels'!D25+'Reels'!D28+'Reels'!D31+'Reels'!D34+'Reels'!D37+'Reels'!D40))*('Reels'!D47/('Reels'!D44+'Reels'!D47+'Reels'!D50+'Reels'!D53+'Reels'!D56+'Reels'!D59))</f>
        <v>0.005892255892255893</v>
      </c>
      <c r="D93">
        <f>IF(OR('Reels'!D8="attack",'Reels'!D8="magic"),CHOOSE('Reels'!D9+1,'Slots'!D29,'Slots'!D30,'Slots'!D31,'Slots'!D32,'Slots'!D33),0)+IF(OR('Reels'!D23="attack",'Reels'!D23="magic"),CHOOSE('Reels'!D24+1,'Slots'!D29,'Slots'!D30,'Slots'!D31,'Slots'!D32,'Slots'!D33),0)+IF(OR('Reels'!D45="attack",'Reels'!D45="magic"),CHOOSE('Reels'!D46+1,'Slots'!D29,'Slots'!D30,'Slots'!D31,'Slots'!D32,'Slots'!D33),0)</f>
        <v>8</v>
      </c>
      <c r="E93">
        <f>IF('Reels'!D8="heal",'Reels'!D9*'Slots'!D24,0)+IF('Reels'!D23="heal",'Reels'!D24*'Slots'!D24,0)+IF('Reels'!D45="heal",'Reels'!D46*'Slots'!D24,0)</f>
        <v>0</v>
      </c>
      <c r="F93">
        <f>IF('Reels'!D8="block",'Reels'!D9*'Slots'!D25,0)+IF('Reels'!D23="block",'Reels'!D24*'Slots'!D25,0)+IF('Reels'!D45="block",'Reels'!D46*'Slots'!D25,0)</f>
        <v>1</v>
      </c>
      <c r="G93" t="b">
        <f>AND('Reels'!D8&lt;&gt;"blank",'Reels'!D8&lt;&gt;"class",'Reels'!D8='Reels'!D45,'Reels'!D9='Reels'!D46,OR('Reels'!D23="class",AND('Reels'!D23='Reels'!D8,'Reels'!D24='Reels'!D9)))</f>
        <v>0</v>
      </c>
      <c r="H93">
        <f>IF(G93,C93,0)</f>
        <v>0</v>
      </c>
    </row>
    <row r="94" spans="1:8" x14ac:dyDescent="0.25">
      <c r="A94" t="s">
        <v>225</v>
      </c>
      <c r="B94" t="s">
        <v>3457</v>
      </c>
      <c r="C94" s="4">
        <f>('Reels'!D10/('Reels'!D4+'Reels'!D7+'Reels'!D10+'Reels'!D13+'Reels'!D16+'Reels'!D19))*('Reels'!D25/('Reels'!D22+'Reels'!D25+'Reels'!D28+'Reels'!D31+'Reels'!D34+'Reels'!D37+'Reels'!D40))*('Reels'!D50/('Reels'!D44+'Reels'!D47+'Reels'!D50+'Reels'!D53+'Reels'!D56+'Reels'!D59))</f>
        <v>0.00824915824915825</v>
      </c>
      <c r="D94">
        <f>IF(OR('Reels'!D8="attack",'Reels'!D8="magic"),CHOOSE('Reels'!D9+1,'Slots'!D29,'Slots'!D30,'Slots'!D31,'Slots'!D32,'Slots'!D33),0)+IF(OR('Reels'!D23="attack",'Reels'!D23="magic"),CHOOSE('Reels'!D24+1,'Slots'!D29,'Slots'!D30,'Slots'!D31,'Slots'!D32,'Slots'!D33),0)+IF(OR('Reels'!D48="attack",'Reels'!D48="magic"),CHOOSE('Reels'!D49+1,'Slots'!D29,'Slots'!D30,'Slots'!D31,'Slots'!D32,'Slots'!D33),0)</f>
        <v>4</v>
      </c>
      <c r="E94">
        <f>IF('Reels'!D8="heal",'Reels'!D9*'Slots'!D24,0)+IF('Reels'!D23="heal",'Reels'!D24*'Slots'!D24,0)+IF('Reels'!D48="heal",'Reels'!D49*'Slots'!D24,0)</f>
        <v>0</v>
      </c>
      <c r="F94">
        <f>IF('Reels'!D8="block",'Reels'!D9*'Slots'!D25,0)+IF('Reels'!D23="block",'Reels'!D24*'Slots'!D25,0)+IF('Reels'!D48="block",'Reels'!D49*'Slots'!D25,0)</f>
        <v>2</v>
      </c>
      <c r="G94" t="b">
        <f>AND('Reels'!D8&lt;&gt;"blank",'Reels'!D8&lt;&gt;"class",'Reels'!D8='Reels'!D48,'Reels'!D9='Reels'!D49,OR('Reels'!D23="class",AND('Reels'!D23='Reels'!D8,'Reels'!D24='Reels'!D9)))</f>
        <v>0</v>
      </c>
      <c r="H94">
        <f>IF(G94,C94,0)</f>
        <v>0</v>
      </c>
    </row>
    <row r="95" spans="1:8" x14ac:dyDescent="0.25">
      <c r="A95" t="s">
        <v>225</v>
      </c>
      <c r="B95" t="s">
        <v>3458</v>
      </c>
      <c r="C95" s="4">
        <f>('Reels'!D10/('Reels'!D4+'Reels'!D7+'Reels'!D10+'Reels'!D13+'Reels'!D16+'Reels'!D19))*('Reels'!D25/('Reels'!D22+'Reels'!D25+'Reels'!D28+'Reels'!D31+'Reels'!D34+'Reels'!D37+'Reels'!D40))*('Reels'!D53/('Reels'!D44+'Reels'!D47+'Reels'!D50+'Reels'!D53+'Reels'!D56+'Reels'!D59))</f>
        <v>0.003535353535353536</v>
      </c>
      <c r="D95">
        <f>IF(OR('Reels'!D8="attack",'Reels'!D8="magic"),CHOOSE('Reels'!D9+1,'Slots'!D29,'Slots'!D30,'Slots'!D31,'Slots'!D32,'Slots'!D33),0)+IF(OR('Reels'!D23="attack",'Reels'!D23="magic"),CHOOSE('Reels'!D24+1,'Slots'!D29,'Slots'!D30,'Slots'!D31,'Slots'!D32,'Slots'!D33),0)+IF(OR('Reels'!D51="attack",'Reels'!D51="magic"),CHOOSE('Reels'!D52+1,'Slots'!D29,'Slots'!D30,'Slots'!D31,'Slots'!D32,'Slots'!D33),0)</f>
        <v>4</v>
      </c>
      <c r="E95">
        <f>IF('Reels'!D8="heal",'Reels'!D9*'Slots'!D24,0)+IF('Reels'!D23="heal",'Reels'!D24*'Slots'!D24,0)+IF('Reels'!D51="heal",'Reels'!D52*'Slots'!D24,0)</f>
        <v>0</v>
      </c>
      <c r="F95">
        <f>IF('Reels'!D8="block",'Reels'!D9*'Slots'!D25,0)+IF('Reels'!D23="block",'Reels'!D24*'Slots'!D25,0)+IF('Reels'!D51="block",'Reels'!D52*'Slots'!D25,0)</f>
        <v>3</v>
      </c>
      <c r="G95" t="b">
        <f>AND('Reels'!D8&lt;&gt;"blank",'Reels'!D8&lt;&gt;"class",'Reels'!D8='Reels'!D51,'Reels'!D9='Reels'!D52,OR('Reels'!D23="class",AND('Reels'!D23='Reels'!D8,'Reels'!D24='Reels'!D9)))</f>
        <v>0</v>
      </c>
      <c r="H95">
        <f>IF(G95,C95,0)</f>
        <v>0</v>
      </c>
    </row>
    <row r="96" spans="1:8" x14ac:dyDescent="0.25">
      <c r="A96" t="s">
        <v>225</v>
      </c>
      <c r="B96" t="s">
        <v>3459</v>
      </c>
      <c r="C96" s="4">
        <f>('Reels'!D10/('Reels'!D4+'Reels'!D7+'Reels'!D10+'Reels'!D13+'Reels'!D16+'Reels'!D19))*('Reels'!D25/('Reels'!D22+'Reels'!D25+'Reels'!D28+'Reels'!D31+'Reels'!D34+'Reels'!D37+'Reels'!D40))*('Reels'!D56/('Reels'!D44+'Reels'!D47+'Reels'!D50+'Reels'!D53+'Reels'!D56+'Reels'!D59))</f>
        <v>0.0011784511784511786</v>
      </c>
      <c r="D96">
        <f>IF(OR('Reels'!D8="attack",'Reels'!D8="magic"),CHOOSE('Reels'!D9+1,'Slots'!D29,'Slots'!D30,'Slots'!D31,'Slots'!D32,'Slots'!D33),0)+IF(OR('Reels'!D23="attack",'Reels'!D23="magic"),CHOOSE('Reels'!D24+1,'Slots'!D29,'Slots'!D30,'Slots'!D31,'Slots'!D32,'Slots'!D33),0)+IF(OR('Reels'!D54="attack",'Reels'!D54="magic"),CHOOSE('Reels'!D55+1,'Slots'!D29,'Slots'!D30,'Slots'!D31,'Slots'!D32,'Slots'!D33),0)</f>
        <v>4</v>
      </c>
      <c r="E96">
        <f>IF('Reels'!D8="heal",'Reels'!D9*'Slots'!D24,0)+IF('Reels'!D23="heal",'Reels'!D24*'Slots'!D24,0)+IF('Reels'!D54="heal",'Reels'!D55*'Slots'!D24,0)</f>
        <v>2</v>
      </c>
      <c r="F96">
        <f>IF('Reels'!D8="block",'Reels'!D9*'Slots'!D25,0)+IF('Reels'!D23="block",'Reels'!D24*'Slots'!D25,0)+IF('Reels'!D54="block",'Reels'!D55*'Slots'!D25,0)</f>
        <v>1</v>
      </c>
      <c r="G96" t="b">
        <f>AND('Reels'!D8&lt;&gt;"blank",'Reels'!D8&lt;&gt;"class",'Reels'!D8='Reels'!D54,'Reels'!D9='Reels'!D55,OR('Reels'!D23="class",AND('Reels'!D23='Reels'!D8,'Reels'!D24='Reels'!D9)))</f>
        <v>0</v>
      </c>
      <c r="H96">
        <f>IF(G96,C96,0)</f>
        <v>0</v>
      </c>
    </row>
    <row r="97" spans="1:8" x14ac:dyDescent="0.25">
      <c r="A97" t="s">
        <v>225</v>
      </c>
      <c r="B97" t="s">
        <v>3460</v>
      </c>
      <c r="C97" s="4">
        <f>('Reels'!D10/('Reels'!D4+'Reels'!D7+'Reels'!D10+'Reels'!D13+'Reels'!D16+'Reels'!D19))*('Reels'!D25/('Reels'!D22+'Reels'!D25+'Reels'!D28+'Reels'!D31+'Reels'!D34+'Reels'!D37+'Reels'!D40))*('Reels'!D59/('Reels'!D44+'Reels'!D47+'Reels'!D50+'Reels'!D53+'Reels'!D56+'Reels'!D59))</f>
        <v>0.005892255892255893</v>
      </c>
      <c r="D97">
        <f>IF(OR('Reels'!D8="attack",'Reels'!D8="magic"),CHOOSE('Reels'!D9+1,'Slots'!D29,'Slots'!D30,'Slots'!D31,'Slots'!D32,'Slots'!D33),0)+IF(OR('Reels'!D23="attack",'Reels'!D23="magic"),CHOOSE('Reels'!D24+1,'Slots'!D29,'Slots'!D30,'Slots'!D31,'Slots'!D32,'Slots'!D33),0)+IF(OR('Reels'!D57="attack",'Reels'!D57="magic"),CHOOSE('Reels'!D58+1,'Slots'!D29,'Slots'!D30,'Slots'!D31,'Slots'!D32,'Slots'!D33),0)</f>
        <v>4</v>
      </c>
      <c r="E97">
        <f>IF('Reels'!D8="heal",'Reels'!D9*'Slots'!D24,0)+IF('Reels'!D23="heal",'Reels'!D24*'Slots'!D24,0)+IF('Reels'!D57="heal",'Reels'!D58*'Slots'!D24,0)</f>
        <v>0</v>
      </c>
      <c r="F97">
        <f>IF('Reels'!D8="block",'Reels'!D9*'Slots'!D25,0)+IF('Reels'!D23="block",'Reels'!D24*'Slots'!D25,0)+IF('Reels'!D57="block",'Reels'!D58*'Slots'!D25,0)</f>
        <v>1</v>
      </c>
      <c r="G97" t="b">
        <f>AND('Reels'!D8&lt;&gt;"blank",'Reels'!D8&lt;&gt;"class",'Reels'!D8='Reels'!D57,'Reels'!D9='Reels'!D58,OR('Reels'!D23="class",AND('Reels'!D23='Reels'!D8,'Reels'!D24='Reels'!D9)))</f>
        <v>0</v>
      </c>
      <c r="H97">
        <f>IF(G97,C97,0)</f>
        <v>0</v>
      </c>
    </row>
    <row r="98" spans="1:8" x14ac:dyDescent="0.25">
      <c r="A98" t="s">
        <v>225</v>
      </c>
      <c r="B98" t="s">
        <v>3461</v>
      </c>
      <c r="C98" s="4">
        <f>('Reels'!D10/('Reels'!D4+'Reels'!D7+'Reels'!D10+'Reels'!D13+'Reels'!D16+'Reels'!D19))*('Reels'!D28/('Reels'!D22+'Reels'!D25+'Reels'!D28+'Reels'!D31+'Reels'!D34+'Reels'!D37+'Reels'!D40))*('Reels'!D44/('Reels'!D44+'Reels'!D47+'Reels'!D50+'Reels'!D53+'Reels'!D56+'Reels'!D59))</f>
        <v>0.014848484848484849</v>
      </c>
      <c r="D98">
        <f>IF(OR('Reels'!D8="attack",'Reels'!D8="magic"),CHOOSE('Reels'!D9+1,'Slots'!D29,'Slots'!D30,'Slots'!D31,'Slots'!D32,'Slots'!D33),0)+IF(OR('Reels'!D26="attack",'Reels'!D26="magic"),CHOOSE('Reels'!D27+1,'Slots'!D29,'Slots'!D30,'Slots'!D31,'Slots'!D32,'Slots'!D33),0)+IF(OR('Reels'!D42="attack",'Reels'!D42="magic"),CHOOSE('Reels'!D43+1,'Slots'!D29,'Slots'!D30,'Slots'!D31,'Slots'!D32,'Slots'!D33),0)</f>
        <v>2</v>
      </c>
      <c r="E98">
        <f>IF('Reels'!D8="heal",'Reels'!D9*'Slots'!D24,0)+IF('Reels'!D26="heal",'Reels'!D27*'Slots'!D24,0)+IF('Reels'!D42="heal",'Reels'!D43*'Slots'!D24,0)</f>
        <v>0</v>
      </c>
      <c r="F98">
        <f>IF('Reels'!D8="block",'Reels'!D9*'Slots'!D25,0)+IF('Reels'!D26="block",'Reels'!D27*'Slots'!D25,0)+IF('Reels'!D42="block",'Reels'!D43*'Slots'!D25,0)</f>
        <v>2</v>
      </c>
      <c r="G98" t="b">
        <f>AND('Reels'!D8&lt;&gt;"blank",'Reels'!D8&lt;&gt;"class",'Reels'!D8='Reels'!D42,'Reels'!D9='Reels'!D43,OR('Reels'!D26="class",AND('Reels'!D26='Reels'!D8,'Reels'!D27='Reels'!D9)))</f>
        <v>0</v>
      </c>
      <c r="H98">
        <f>IF(G98,C98,0)</f>
        <v>0</v>
      </c>
    </row>
    <row r="99" spans="1:8" x14ac:dyDescent="0.25">
      <c r="A99" t="s">
        <v>225</v>
      </c>
      <c r="B99" t="s">
        <v>3462</v>
      </c>
      <c r="C99" s="4">
        <f>('Reels'!D10/('Reels'!D4+'Reels'!D7+'Reels'!D10+'Reels'!D13+'Reels'!D16+'Reels'!D19))*('Reels'!D28/('Reels'!D22+'Reels'!D25+'Reels'!D28+'Reels'!D31+'Reels'!D34+'Reels'!D37+'Reels'!D40))*('Reels'!D47/('Reels'!D44+'Reels'!D47+'Reels'!D50+'Reels'!D53+'Reels'!D56+'Reels'!D59))</f>
        <v>0.008249158249158249</v>
      </c>
      <c r="D99">
        <f>IF(OR('Reels'!D8="attack",'Reels'!D8="magic"),CHOOSE('Reels'!D9+1,'Slots'!D29,'Slots'!D30,'Slots'!D31,'Slots'!D32,'Slots'!D33),0)+IF(OR('Reels'!D26="attack",'Reels'!D26="magic"),CHOOSE('Reels'!D27+1,'Slots'!D29,'Slots'!D30,'Slots'!D31,'Slots'!D32,'Slots'!D33),0)+IF(OR('Reels'!D45="attack",'Reels'!D45="magic"),CHOOSE('Reels'!D46+1,'Slots'!D29,'Slots'!D30,'Slots'!D31,'Slots'!D32,'Slots'!D33),0)</f>
        <v>4</v>
      </c>
      <c r="E99">
        <f>IF('Reels'!D8="heal",'Reels'!D9*'Slots'!D24,0)+IF('Reels'!D26="heal",'Reels'!D27*'Slots'!D24,0)+IF('Reels'!D45="heal",'Reels'!D46*'Slots'!D24,0)</f>
        <v>0</v>
      </c>
      <c r="F99">
        <f>IF('Reels'!D8="block",'Reels'!D9*'Slots'!D25,0)+IF('Reels'!D26="block",'Reels'!D27*'Slots'!D25,0)+IF('Reels'!D45="block",'Reels'!D46*'Slots'!D25,0)</f>
        <v>2</v>
      </c>
      <c r="G99" t="b">
        <f>AND('Reels'!D8&lt;&gt;"blank",'Reels'!D8&lt;&gt;"class",'Reels'!D8='Reels'!D45,'Reels'!D9='Reels'!D46,OR('Reels'!D26="class",AND('Reels'!D26='Reels'!D8,'Reels'!D27='Reels'!D9)))</f>
        <v>0</v>
      </c>
      <c r="H99">
        <f>IF(G99,C99,0)</f>
        <v>0</v>
      </c>
    </row>
    <row r="100" spans="1:8" x14ac:dyDescent="0.25">
      <c r="A100" t="s">
        <v>225</v>
      </c>
      <c r="B100" t="s">
        <v>3463</v>
      </c>
      <c r="C100" s="4">
        <f>('Reels'!D10/('Reels'!D4+'Reels'!D7+'Reels'!D10+'Reels'!D13+'Reels'!D16+'Reels'!D19))*('Reels'!D28/('Reels'!D22+'Reels'!D25+'Reels'!D28+'Reels'!D31+'Reels'!D34+'Reels'!D37+'Reels'!D40))*('Reels'!D50/('Reels'!D44+'Reels'!D47+'Reels'!D50+'Reels'!D53+'Reels'!D56+'Reels'!D59))</f>
        <v>0.01154882154882155</v>
      </c>
      <c r="D100">
        <f>IF(OR('Reels'!D8="attack",'Reels'!D8="magic"),CHOOSE('Reels'!D9+1,'Slots'!D29,'Slots'!D30,'Slots'!D31,'Slots'!D32,'Slots'!D33),0)+IF(OR('Reels'!D26="attack",'Reels'!D26="magic"),CHOOSE('Reels'!D27+1,'Slots'!D29,'Slots'!D30,'Slots'!D31,'Slots'!D32,'Slots'!D33),0)+IF(OR('Reels'!D48="attack",'Reels'!D48="magic"),CHOOSE('Reels'!D49+1,'Slots'!D29,'Slots'!D30,'Slots'!D31,'Slots'!D32,'Slots'!D33),0)</f>
        <v>0</v>
      </c>
      <c r="E100">
        <f>IF('Reels'!D8="heal",'Reels'!D9*'Slots'!D24,0)+IF('Reels'!D26="heal",'Reels'!D27*'Slots'!D24,0)+IF('Reels'!D48="heal",'Reels'!D49*'Slots'!D24,0)</f>
        <v>0</v>
      </c>
      <c r="F100">
        <f>IF('Reels'!D8="block",'Reels'!D9*'Slots'!D25,0)+IF('Reels'!D26="block",'Reels'!D27*'Slots'!D25,0)+IF('Reels'!D48="block",'Reels'!D49*'Slots'!D25,0)</f>
        <v>3</v>
      </c>
      <c r="G100" t="b">
        <f>AND('Reels'!D8&lt;&gt;"blank",'Reels'!D8&lt;&gt;"class",'Reels'!D8='Reels'!D48,'Reels'!D9='Reels'!D49,OR('Reels'!D26="class",AND('Reels'!D26='Reels'!D8,'Reels'!D27='Reels'!D9)))</f>
        <v>1</v>
      </c>
      <c r="H100">
        <f>IF(G100,C100,0)</f>
        <v>0.01154882154882155</v>
      </c>
    </row>
    <row r="101" spans="1:8" x14ac:dyDescent="0.25">
      <c r="A101" t="s">
        <v>225</v>
      </c>
      <c r="B101" t="s">
        <v>3464</v>
      </c>
      <c r="C101" s="4">
        <f>('Reels'!D10/('Reels'!D4+'Reels'!D7+'Reels'!D10+'Reels'!D13+'Reels'!D16+'Reels'!D19))*('Reels'!D28/('Reels'!D22+'Reels'!D25+'Reels'!D28+'Reels'!D31+'Reels'!D34+'Reels'!D37+'Reels'!D40))*('Reels'!D53/('Reels'!D44+'Reels'!D47+'Reels'!D50+'Reels'!D53+'Reels'!D56+'Reels'!D59))</f>
        <v>0.00494949494949495</v>
      </c>
      <c r="D101">
        <f>IF(OR('Reels'!D8="attack",'Reels'!D8="magic"),CHOOSE('Reels'!D9+1,'Slots'!D29,'Slots'!D30,'Slots'!D31,'Slots'!D32,'Slots'!D33),0)+IF(OR('Reels'!D26="attack",'Reels'!D26="magic"),CHOOSE('Reels'!D27+1,'Slots'!D29,'Slots'!D30,'Slots'!D31,'Slots'!D32,'Slots'!D33),0)+IF(OR('Reels'!D51="attack",'Reels'!D51="magic"),CHOOSE('Reels'!D52+1,'Slots'!D29,'Slots'!D30,'Slots'!D31,'Slots'!D32,'Slots'!D33),0)</f>
        <v>0</v>
      </c>
      <c r="E101">
        <f>IF('Reels'!D8="heal",'Reels'!D9*'Slots'!D24,0)+IF('Reels'!D26="heal",'Reels'!D27*'Slots'!D24,0)+IF('Reels'!D51="heal",'Reels'!D52*'Slots'!D24,0)</f>
        <v>0</v>
      </c>
      <c r="F101">
        <f>IF('Reels'!D8="block",'Reels'!D9*'Slots'!D25,0)+IF('Reels'!D26="block",'Reels'!D27*'Slots'!D25,0)+IF('Reels'!D51="block",'Reels'!D52*'Slots'!D25,0)</f>
        <v>4</v>
      </c>
      <c r="G101" t="b">
        <f>AND('Reels'!D8&lt;&gt;"blank",'Reels'!D8&lt;&gt;"class",'Reels'!D8='Reels'!D51,'Reels'!D9='Reels'!D52,OR('Reels'!D26="class",AND('Reels'!D26='Reels'!D8,'Reels'!D27='Reels'!D9)))</f>
        <v>0</v>
      </c>
      <c r="H101">
        <f>IF(G101,C101,0)</f>
        <v>0</v>
      </c>
    </row>
    <row r="102" spans="1:8" x14ac:dyDescent="0.25">
      <c r="A102" t="s">
        <v>225</v>
      </c>
      <c r="B102" t="s">
        <v>3465</v>
      </c>
      <c r="C102" s="4">
        <f>('Reels'!D10/('Reels'!D4+'Reels'!D7+'Reels'!D10+'Reels'!D13+'Reels'!D16+'Reels'!D19))*('Reels'!D28/('Reels'!D22+'Reels'!D25+'Reels'!D28+'Reels'!D31+'Reels'!D34+'Reels'!D37+'Reels'!D40))*('Reels'!D56/('Reels'!D44+'Reels'!D47+'Reels'!D50+'Reels'!D53+'Reels'!D56+'Reels'!D59))</f>
        <v>0.00164983164983165</v>
      </c>
      <c r="D102">
        <f>IF(OR('Reels'!D8="attack",'Reels'!D8="magic"),CHOOSE('Reels'!D9+1,'Slots'!D29,'Slots'!D30,'Slots'!D31,'Slots'!D32,'Slots'!D33),0)+IF(OR('Reels'!D26="attack",'Reels'!D26="magic"),CHOOSE('Reels'!D27+1,'Slots'!D29,'Slots'!D30,'Slots'!D31,'Slots'!D32,'Slots'!D33),0)+IF(OR('Reels'!D54="attack",'Reels'!D54="magic"),CHOOSE('Reels'!D55+1,'Slots'!D29,'Slots'!D30,'Slots'!D31,'Slots'!D32,'Slots'!D33),0)</f>
        <v>0</v>
      </c>
      <c r="E102">
        <f>IF('Reels'!D8="heal",'Reels'!D9*'Slots'!D24,0)+IF('Reels'!D26="heal",'Reels'!D27*'Slots'!D24,0)+IF('Reels'!D54="heal",'Reels'!D55*'Slots'!D24,0)</f>
        <v>2</v>
      </c>
      <c r="F102">
        <f>IF('Reels'!D8="block",'Reels'!D9*'Slots'!D25,0)+IF('Reels'!D26="block",'Reels'!D27*'Slots'!D25,0)+IF('Reels'!D54="block",'Reels'!D55*'Slots'!D25,0)</f>
        <v>2</v>
      </c>
      <c r="G102" t="b">
        <f>AND('Reels'!D8&lt;&gt;"blank",'Reels'!D8&lt;&gt;"class",'Reels'!D8='Reels'!D54,'Reels'!D9='Reels'!D55,OR('Reels'!D26="class",AND('Reels'!D26='Reels'!D8,'Reels'!D27='Reels'!D9)))</f>
        <v>0</v>
      </c>
      <c r="H102">
        <f>IF(G102,C102,0)</f>
        <v>0</v>
      </c>
    </row>
    <row r="103" spans="1:8" x14ac:dyDescent="0.25">
      <c r="A103" t="s">
        <v>225</v>
      </c>
      <c r="B103" t="s">
        <v>3466</v>
      </c>
      <c r="C103" s="4">
        <f>('Reels'!D10/('Reels'!D4+'Reels'!D7+'Reels'!D10+'Reels'!D13+'Reels'!D16+'Reels'!D19))*('Reels'!D28/('Reels'!D22+'Reels'!D25+'Reels'!D28+'Reels'!D31+'Reels'!D34+'Reels'!D37+'Reels'!D40))*('Reels'!D59/('Reels'!D44+'Reels'!D47+'Reels'!D50+'Reels'!D53+'Reels'!D56+'Reels'!D59))</f>
        <v>0.008249158249158249</v>
      </c>
      <c r="D103">
        <f>IF(OR('Reels'!D8="attack",'Reels'!D8="magic"),CHOOSE('Reels'!D9+1,'Slots'!D29,'Slots'!D30,'Slots'!D31,'Slots'!D32,'Slots'!D33),0)+IF(OR('Reels'!D26="attack",'Reels'!D26="magic"),CHOOSE('Reels'!D27+1,'Slots'!D29,'Slots'!D30,'Slots'!D31,'Slots'!D32,'Slots'!D33),0)+IF(OR('Reels'!D57="attack",'Reels'!D57="magic"),CHOOSE('Reels'!D58+1,'Slots'!D29,'Slots'!D30,'Slots'!D31,'Slots'!D32,'Slots'!D33),0)</f>
        <v>0</v>
      </c>
      <c r="E103">
        <f>IF('Reels'!D8="heal",'Reels'!D9*'Slots'!D24,0)+IF('Reels'!D26="heal",'Reels'!D27*'Slots'!D24,0)+IF('Reels'!D57="heal",'Reels'!D58*'Slots'!D24,0)</f>
        <v>0</v>
      </c>
      <c r="F103">
        <f>IF('Reels'!D8="block",'Reels'!D9*'Slots'!D25,0)+IF('Reels'!D26="block",'Reels'!D27*'Slots'!D25,0)+IF('Reels'!D57="block",'Reels'!D58*'Slots'!D25,0)</f>
        <v>2</v>
      </c>
      <c r="G103" t="b">
        <f>AND('Reels'!D8&lt;&gt;"blank",'Reels'!D8&lt;&gt;"class",'Reels'!D8='Reels'!D57,'Reels'!D9='Reels'!D58,OR('Reels'!D26="class",AND('Reels'!D26='Reels'!D8,'Reels'!D27='Reels'!D9)))</f>
        <v>0</v>
      </c>
      <c r="H103">
        <f>IF(G103,C103,0)</f>
        <v>0</v>
      </c>
    </row>
    <row r="104" spans="1:8" x14ac:dyDescent="0.25">
      <c r="A104" t="s">
        <v>225</v>
      </c>
      <c r="B104" t="s">
        <v>3467</v>
      </c>
      <c r="C104" s="4">
        <f>('Reels'!D10/('Reels'!D4+'Reels'!D7+'Reels'!D10+'Reels'!D13+'Reels'!D16+'Reels'!D19))*('Reels'!D31/('Reels'!D22+'Reels'!D25+'Reels'!D28+'Reels'!D31+'Reels'!D34+'Reels'!D37+'Reels'!D40))*('Reels'!D44/('Reels'!D44+'Reels'!D47+'Reels'!D50+'Reels'!D53+'Reels'!D56+'Reels'!D59))</f>
        <v>0.006363636363636363</v>
      </c>
      <c r="D104">
        <f>IF(OR('Reels'!D8="attack",'Reels'!D8="magic"),CHOOSE('Reels'!D9+1,'Slots'!D29,'Slots'!D30,'Slots'!D31,'Slots'!D32,'Slots'!D33),0)+IF(OR('Reels'!D29="attack",'Reels'!D29="magic"),CHOOSE('Reels'!D30+1,'Slots'!D29,'Slots'!D30,'Slots'!D31,'Slots'!D32,'Slots'!D33),0)+IF(OR('Reels'!D42="attack",'Reels'!D42="magic"),CHOOSE('Reels'!D43+1,'Slots'!D29,'Slots'!D30,'Slots'!D31,'Slots'!D32,'Slots'!D33),0)</f>
        <v>2</v>
      </c>
      <c r="E104">
        <f>IF('Reels'!D8="heal",'Reels'!D9*'Slots'!D24,0)+IF('Reels'!D29="heal",'Reels'!D30*'Slots'!D24,0)+IF('Reels'!D42="heal",'Reels'!D43*'Slots'!D24,0)</f>
        <v>0</v>
      </c>
      <c r="F104">
        <f>IF('Reels'!D8="block",'Reels'!D9*'Slots'!D25,0)+IF('Reels'!D29="block",'Reels'!D30*'Slots'!D25,0)+IF('Reels'!D42="block",'Reels'!D43*'Slots'!D25,0)</f>
        <v>3</v>
      </c>
      <c r="G104" t="b">
        <f>AND('Reels'!D8&lt;&gt;"blank",'Reels'!D8&lt;&gt;"class",'Reels'!D8='Reels'!D42,'Reels'!D9='Reels'!D43,OR('Reels'!D29="class",AND('Reels'!D29='Reels'!D8,'Reels'!D30='Reels'!D9)))</f>
        <v>0</v>
      </c>
      <c r="H104">
        <f>IF(G104,C104,0)</f>
        <v>0</v>
      </c>
    </row>
    <row r="105" spans="1:8" x14ac:dyDescent="0.25">
      <c r="A105" t="s">
        <v>225</v>
      </c>
      <c r="B105" t="s">
        <v>3468</v>
      </c>
      <c r="C105" s="4">
        <f>('Reels'!D10/('Reels'!D4+'Reels'!D7+'Reels'!D10+'Reels'!D13+'Reels'!D16+'Reels'!D19))*('Reels'!D31/('Reels'!D22+'Reels'!D25+'Reels'!D28+'Reels'!D31+'Reels'!D34+'Reels'!D37+'Reels'!D40))*('Reels'!D47/('Reels'!D44+'Reels'!D47+'Reels'!D50+'Reels'!D53+'Reels'!D56+'Reels'!D59))</f>
        <v>0.003535353535353535</v>
      </c>
      <c r="D105">
        <f>IF(OR('Reels'!D8="attack",'Reels'!D8="magic"),CHOOSE('Reels'!D9+1,'Slots'!D29,'Slots'!D30,'Slots'!D31,'Slots'!D32,'Slots'!D33),0)+IF(OR('Reels'!D29="attack",'Reels'!D29="magic"),CHOOSE('Reels'!D30+1,'Slots'!D29,'Slots'!D30,'Slots'!D31,'Slots'!D32,'Slots'!D33),0)+IF(OR('Reels'!D45="attack",'Reels'!D45="magic"),CHOOSE('Reels'!D46+1,'Slots'!D29,'Slots'!D30,'Slots'!D31,'Slots'!D32,'Slots'!D33),0)</f>
        <v>4</v>
      </c>
      <c r="E105">
        <f>IF('Reels'!D8="heal",'Reels'!D9*'Slots'!D24,0)+IF('Reels'!D29="heal",'Reels'!D30*'Slots'!D24,0)+IF('Reels'!D45="heal",'Reels'!D46*'Slots'!D24,0)</f>
        <v>0</v>
      </c>
      <c r="F105">
        <f>IF('Reels'!D8="block",'Reels'!D9*'Slots'!D25,0)+IF('Reels'!D29="block",'Reels'!D30*'Slots'!D25,0)+IF('Reels'!D45="block",'Reels'!D46*'Slots'!D25,0)</f>
        <v>3</v>
      </c>
      <c r="G105" t="b">
        <f>AND('Reels'!D8&lt;&gt;"blank",'Reels'!D8&lt;&gt;"class",'Reels'!D8='Reels'!D45,'Reels'!D9='Reels'!D46,OR('Reels'!D29="class",AND('Reels'!D29='Reels'!D8,'Reels'!D30='Reels'!D9)))</f>
        <v>0</v>
      </c>
      <c r="H105">
        <f>IF(G105,C105,0)</f>
        <v>0</v>
      </c>
    </row>
    <row r="106" spans="1:8" x14ac:dyDescent="0.25">
      <c r="A106" t="s">
        <v>225</v>
      </c>
      <c r="B106" t="s">
        <v>3469</v>
      </c>
      <c r="C106" s="4">
        <f>('Reels'!D10/('Reels'!D4+'Reels'!D7+'Reels'!D10+'Reels'!D13+'Reels'!D16+'Reels'!D19))*('Reels'!D31/('Reels'!D22+'Reels'!D25+'Reels'!D28+'Reels'!D31+'Reels'!D34+'Reels'!D37+'Reels'!D40))*('Reels'!D50/('Reels'!D44+'Reels'!D47+'Reels'!D50+'Reels'!D53+'Reels'!D56+'Reels'!D59))</f>
        <v>0.004949494949494949</v>
      </c>
      <c r="D106">
        <f>IF(OR('Reels'!D8="attack",'Reels'!D8="magic"),CHOOSE('Reels'!D9+1,'Slots'!D29,'Slots'!D30,'Slots'!D31,'Slots'!D32,'Slots'!D33),0)+IF(OR('Reels'!D29="attack",'Reels'!D29="magic"),CHOOSE('Reels'!D30+1,'Slots'!D29,'Slots'!D30,'Slots'!D31,'Slots'!D32,'Slots'!D33),0)+IF(OR('Reels'!D48="attack",'Reels'!D48="magic"),CHOOSE('Reels'!D49+1,'Slots'!D29,'Slots'!D30,'Slots'!D31,'Slots'!D32,'Slots'!D33),0)</f>
        <v>0</v>
      </c>
      <c r="E106">
        <f>IF('Reels'!D8="heal",'Reels'!D9*'Slots'!D24,0)+IF('Reels'!D29="heal",'Reels'!D30*'Slots'!D24,0)+IF('Reels'!D48="heal",'Reels'!D49*'Slots'!D24,0)</f>
        <v>0</v>
      </c>
      <c r="F106">
        <f>IF('Reels'!D8="block",'Reels'!D9*'Slots'!D25,0)+IF('Reels'!D29="block",'Reels'!D30*'Slots'!D25,0)+IF('Reels'!D48="block",'Reels'!D49*'Slots'!D25,0)</f>
        <v>4</v>
      </c>
      <c r="G106" t="b">
        <f>AND('Reels'!D8&lt;&gt;"blank",'Reels'!D8&lt;&gt;"class",'Reels'!D8='Reels'!D48,'Reels'!D9='Reels'!D49,OR('Reels'!D29="class",AND('Reels'!D29='Reels'!D8,'Reels'!D30='Reels'!D9)))</f>
        <v>0</v>
      </c>
      <c r="H106">
        <f>IF(G106,C106,0)</f>
        <v>0</v>
      </c>
    </row>
    <row r="107" spans="1:8" x14ac:dyDescent="0.25">
      <c r="A107" t="s">
        <v>225</v>
      </c>
      <c r="B107" t="s">
        <v>3470</v>
      </c>
      <c r="C107" s="4">
        <f>('Reels'!D10/('Reels'!D4+'Reels'!D7+'Reels'!D10+'Reels'!D13+'Reels'!D16+'Reels'!D19))*('Reels'!D31/('Reels'!D22+'Reels'!D25+'Reels'!D28+'Reels'!D31+'Reels'!D34+'Reels'!D37+'Reels'!D40))*('Reels'!D53/('Reels'!D44+'Reels'!D47+'Reels'!D50+'Reels'!D53+'Reels'!D56+'Reels'!D59))</f>
        <v>0.002121212121212121</v>
      </c>
      <c r="D107">
        <f>IF(OR('Reels'!D8="attack",'Reels'!D8="magic"),CHOOSE('Reels'!D9+1,'Slots'!D29,'Slots'!D30,'Slots'!D31,'Slots'!D32,'Slots'!D33),0)+IF(OR('Reels'!D29="attack",'Reels'!D29="magic"),CHOOSE('Reels'!D30+1,'Slots'!D29,'Slots'!D30,'Slots'!D31,'Slots'!D32,'Slots'!D33),0)+IF(OR('Reels'!D51="attack",'Reels'!D51="magic"),CHOOSE('Reels'!D52+1,'Slots'!D29,'Slots'!D30,'Slots'!D31,'Slots'!D32,'Slots'!D33),0)</f>
        <v>0</v>
      </c>
      <c r="E107">
        <f>IF('Reels'!D8="heal",'Reels'!D9*'Slots'!D24,0)+IF('Reels'!D29="heal",'Reels'!D30*'Slots'!D24,0)+IF('Reels'!D51="heal",'Reels'!D52*'Slots'!D24,0)</f>
        <v>0</v>
      </c>
      <c r="F107">
        <f>IF('Reels'!D8="block",'Reels'!D9*'Slots'!D25,0)+IF('Reels'!D29="block",'Reels'!D30*'Slots'!D25,0)+IF('Reels'!D51="block",'Reels'!D52*'Slots'!D25,0)</f>
        <v>5</v>
      </c>
      <c r="G107" t="b">
        <f>AND('Reels'!D8&lt;&gt;"blank",'Reels'!D8&lt;&gt;"class",'Reels'!D8='Reels'!D51,'Reels'!D9='Reels'!D52,OR('Reels'!D29="class",AND('Reels'!D29='Reels'!D8,'Reels'!D30='Reels'!D9)))</f>
        <v>0</v>
      </c>
      <c r="H107">
        <f>IF(G107,C107,0)</f>
        <v>0</v>
      </c>
    </row>
    <row r="108" spans="1:8" x14ac:dyDescent="0.25">
      <c r="A108" t="s">
        <v>225</v>
      </c>
      <c r="B108" t="s">
        <v>3471</v>
      </c>
      <c r="C108" s="4">
        <f>('Reels'!D10/('Reels'!D4+'Reels'!D7+'Reels'!D10+'Reels'!D13+'Reels'!D16+'Reels'!D19))*('Reels'!D31/('Reels'!D22+'Reels'!D25+'Reels'!D28+'Reels'!D31+'Reels'!D34+'Reels'!D37+'Reels'!D40))*('Reels'!D56/('Reels'!D44+'Reels'!D47+'Reels'!D50+'Reels'!D53+'Reels'!D56+'Reels'!D59))</f>
        <v>0.000707070707070707</v>
      </c>
      <c r="D108">
        <f>IF(OR('Reels'!D8="attack",'Reels'!D8="magic"),CHOOSE('Reels'!D9+1,'Slots'!D29,'Slots'!D30,'Slots'!D31,'Slots'!D32,'Slots'!D33),0)+IF(OR('Reels'!D29="attack",'Reels'!D29="magic"),CHOOSE('Reels'!D30+1,'Slots'!D29,'Slots'!D30,'Slots'!D31,'Slots'!D32,'Slots'!D33),0)+IF(OR('Reels'!D54="attack",'Reels'!D54="magic"),CHOOSE('Reels'!D55+1,'Slots'!D29,'Slots'!D30,'Slots'!D31,'Slots'!D32,'Slots'!D33),0)</f>
        <v>0</v>
      </c>
      <c r="E108">
        <f>IF('Reels'!D8="heal",'Reels'!D9*'Slots'!D24,0)+IF('Reels'!D29="heal",'Reels'!D30*'Slots'!D24,0)+IF('Reels'!D54="heal",'Reels'!D55*'Slots'!D24,0)</f>
        <v>2</v>
      </c>
      <c r="F108">
        <f>IF('Reels'!D8="block",'Reels'!D9*'Slots'!D25,0)+IF('Reels'!D29="block",'Reels'!D30*'Slots'!D25,0)+IF('Reels'!D54="block",'Reels'!D55*'Slots'!D25,0)</f>
        <v>3</v>
      </c>
      <c r="G108" t="b">
        <f>AND('Reels'!D8&lt;&gt;"blank",'Reels'!D8&lt;&gt;"class",'Reels'!D8='Reels'!D54,'Reels'!D9='Reels'!D55,OR('Reels'!D29="class",AND('Reels'!D29='Reels'!D8,'Reels'!D30='Reels'!D9)))</f>
        <v>0</v>
      </c>
      <c r="H108">
        <f>IF(G108,C108,0)</f>
        <v>0</v>
      </c>
    </row>
    <row r="109" spans="1:8" x14ac:dyDescent="0.25">
      <c r="A109" t="s">
        <v>225</v>
      </c>
      <c r="B109" t="s">
        <v>3472</v>
      </c>
      <c r="C109" s="4">
        <f>('Reels'!D10/('Reels'!D4+'Reels'!D7+'Reels'!D10+'Reels'!D13+'Reels'!D16+'Reels'!D19))*('Reels'!D31/('Reels'!D22+'Reels'!D25+'Reels'!D28+'Reels'!D31+'Reels'!D34+'Reels'!D37+'Reels'!D40))*('Reels'!D59/('Reels'!D44+'Reels'!D47+'Reels'!D50+'Reels'!D53+'Reels'!D56+'Reels'!D59))</f>
        <v>0.003535353535353535</v>
      </c>
      <c r="D109">
        <f>IF(OR('Reels'!D8="attack",'Reels'!D8="magic"),CHOOSE('Reels'!D9+1,'Slots'!D29,'Slots'!D30,'Slots'!D31,'Slots'!D32,'Slots'!D33),0)+IF(OR('Reels'!D29="attack",'Reels'!D29="magic"),CHOOSE('Reels'!D30+1,'Slots'!D29,'Slots'!D30,'Slots'!D31,'Slots'!D32,'Slots'!D33),0)+IF(OR('Reels'!D57="attack",'Reels'!D57="magic"),CHOOSE('Reels'!D58+1,'Slots'!D29,'Slots'!D30,'Slots'!D31,'Slots'!D32,'Slots'!D33),0)</f>
        <v>0</v>
      </c>
      <c r="E109">
        <f>IF('Reels'!D8="heal",'Reels'!D9*'Slots'!D24,0)+IF('Reels'!D29="heal",'Reels'!D30*'Slots'!D24,0)+IF('Reels'!D57="heal",'Reels'!D58*'Slots'!D24,0)</f>
        <v>0</v>
      </c>
      <c r="F109">
        <f>IF('Reels'!D8="block",'Reels'!D9*'Slots'!D25,0)+IF('Reels'!D29="block",'Reels'!D30*'Slots'!D25,0)+IF('Reels'!D57="block",'Reels'!D58*'Slots'!D25,0)</f>
        <v>3</v>
      </c>
      <c r="G109" t="b">
        <f>AND('Reels'!D8&lt;&gt;"blank",'Reels'!D8&lt;&gt;"class",'Reels'!D8='Reels'!D57,'Reels'!D9='Reels'!D58,OR('Reels'!D29="class",AND('Reels'!D29='Reels'!D8,'Reels'!D30='Reels'!D9)))</f>
        <v>0</v>
      </c>
      <c r="H109">
        <f>IF(G109,C109,0)</f>
        <v>0</v>
      </c>
    </row>
    <row r="110" spans="1:8" x14ac:dyDescent="0.25">
      <c r="A110" t="s">
        <v>225</v>
      </c>
      <c r="B110" t="s">
        <v>3473</v>
      </c>
      <c r="C110" s="4">
        <f>('Reels'!D10/('Reels'!D4+'Reels'!D7+'Reels'!D10+'Reels'!D13+'Reels'!D16+'Reels'!D19))*('Reels'!D34/('Reels'!D22+'Reels'!D25+'Reels'!D28+'Reels'!D31+'Reels'!D34+'Reels'!D37+'Reels'!D40))*('Reels'!D44/('Reels'!D44+'Reels'!D47+'Reels'!D50+'Reels'!D53+'Reels'!D56+'Reels'!D59))</f>
        <v>0.0021212121212121214</v>
      </c>
      <c r="D110">
        <f>IF(OR('Reels'!D8="attack",'Reels'!D8="magic"),CHOOSE('Reels'!D9+1,'Slots'!D29,'Slots'!D30,'Slots'!D31,'Slots'!D32,'Slots'!D33),0)+IF(OR('Reels'!D32="attack",'Reels'!D32="magic"),CHOOSE('Reels'!D33+1,'Slots'!D29,'Slots'!D30,'Slots'!D31,'Slots'!D32,'Slots'!D33),0)+IF(OR('Reels'!D42="attack",'Reels'!D42="magic"),CHOOSE('Reels'!D43+1,'Slots'!D29,'Slots'!D30,'Slots'!D31,'Slots'!D32,'Slots'!D33),0)</f>
        <v>2</v>
      </c>
      <c r="E110">
        <f>IF('Reels'!D8="heal",'Reels'!D9*'Slots'!D24,0)+IF('Reels'!D32="heal",'Reels'!D33*'Slots'!D24,0)+IF('Reels'!D42="heal",'Reels'!D43*'Slots'!D24,0)</f>
        <v>2</v>
      </c>
      <c r="F110">
        <f>IF('Reels'!D8="block",'Reels'!D9*'Slots'!D25,0)+IF('Reels'!D32="block",'Reels'!D33*'Slots'!D25,0)+IF('Reels'!D42="block",'Reels'!D43*'Slots'!D25,0)</f>
        <v>1</v>
      </c>
      <c r="G110" t="b">
        <f>AND('Reels'!D8&lt;&gt;"blank",'Reels'!D8&lt;&gt;"class",'Reels'!D8='Reels'!D42,'Reels'!D9='Reels'!D43,OR('Reels'!D32="class",AND('Reels'!D32='Reels'!D8,'Reels'!D33='Reels'!D9)))</f>
        <v>0</v>
      </c>
      <c r="H110">
        <f>IF(G110,C110,0)</f>
        <v>0</v>
      </c>
    </row>
    <row r="111" spans="1:8" x14ac:dyDescent="0.25">
      <c r="A111" t="s">
        <v>225</v>
      </c>
      <c r="B111" t="s">
        <v>3474</v>
      </c>
      <c r="C111" s="4">
        <f>('Reels'!D10/('Reels'!D4+'Reels'!D7+'Reels'!D10+'Reels'!D13+'Reels'!D16+'Reels'!D19))*('Reels'!D34/('Reels'!D22+'Reels'!D25+'Reels'!D28+'Reels'!D31+'Reels'!D34+'Reels'!D37+'Reels'!D40))*('Reels'!D47/('Reels'!D44+'Reels'!D47+'Reels'!D50+'Reels'!D53+'Reels'!D56+'Reels'!D59))</f>
        <v>0.0011784511784511786</v>
      </c>
      <c r="D111">
        <f>IF(OR('Reels'!D8="attack",'Reels'!D8="magic"),CHOOSE('Reels'!D9+1,'Slots'!D29,'Slots'!D30,'Slots'!D31,'Slots'!D32,'Slots'!D33),0)+IF(OR('Reels'!D32="attack",'Reels'!D32="magic"),CHOOSE('Reels'!D33+1,'Slots'!D29,'Slots'!D30,'Slots'!D31,'Slots'!D32,'Slots'!D33),0)+IF(OR('Reels'!D45="attack",'Reels'!D45="magic"),CHOOSE('Reels'!D46+1,'Slots'!D29,'Slots'!D30,'Slots'!D31,'Slots'!D32,'Slots'!D33),0)</f>
        <v>4</v>
      </c>
      <c r="E111">
        <f>IF('Reels'!D8="heal",'Reels'!D9*'Slots'!D24,0)+IF('Reels'!D32="heal",'Reels'!D33*'Slots'!D24,0)+IF('Reels'!D45="heal",'Reels'!D46*'Slots'!D24,0)</f>
        <v>2</v>
      </c>
      <c r="F111">
        <f>IF('Reels'!D8="block",'Reels'!D9*'Slots'!D25,0)+IF('Reels'!D32="block",'Reels'!D33*'Slots'!D25,0)+IF('Reels'!D45="block",'Reels'!D46*'Slots'!D25,0)</f>
        <v>1</v>
      </c>
      <c r="G111" t="b">
        <f>AND('Reels'!D8&lt;&gt;"blank",'Reels'!D8&lt;&gt;"class",'Reels'!D8='Reels'!D45,'Reels'!D9='Reels'!D46,OR('Reels'!D32="class",AND('Reels'!D32='Reels'!D8,'Reels'!D33='Reels'!D9)))</f>
        <v>0</v>
      </c>
      <c r="H111">
        <f>IF(G111,C111,0)</f>
        <v>0</v>
      </c>
    </row>
    <row r="112" spans="1:8" x14ac:dyDescent="0.25">
      <c r="A112" t="s">
        <v>225</v>
      </c>
      <c r="B112" t="s">
        <v>3475</v>
      </c>
      <c r="C112" s="4">
        <f>('Reels'!D10/('Reels'!D4+'Reels'!D7+'Reels'!D10+'Reels'!D13+'Reels'!D16+'Reels'!D19))*('Reels'!D34/('Reels'!D22+'Reels'!D25+'Reels'!D28+'Reels'!D31+'Reels'!D34+'Reels'!D37+'Reels'!D40))*('Reels'!D50/('Reels'!D44+'Reels'!D47+'Reels'!D50+'Reels'!D53+'Reels'!D56+'Reels'!D59))</f>
        <v>0.00164983164983165</v>
      </c>
      <c r="D112">
        <f>IF(OR('Reels'!D8="attack",'Reels'!D8="magic"),CHOOSE('Reels'!D9+1,'Slots'!D29,'Slots'!D30,'Slots'!D31,'Slots'!D32,'Slots'!D33),0)+IF(OR('Reels'!D32="attack",'Reels'!D32="magic"),CHOOSE('Reels'!D33+1,'Slots'!D29,'Slots'!D30,'Slots'!D31,'Slots'!D32,'Slots'!D33),0)+IF(OR('Reels'!D48="attack",'Reels'!D48="magic"),CHOOSE('Reels'!D49+1,'Slots'!D29,'Slots'!D30,'Slots'!D31,'Slots'!D32,'Slots'!D33),0)</f>
        <v>0</v>
      </c>
      <c r="E112">
        <f>IF('Reels'!D8="heal",'Reels'!D9*'Slots'!D24,0)+IF('Reels'!D32="heal",'Reels'!D33*'Slots'!D24,0)+IF('Reels'!D48="heal",'Reels'!D49*'Slots'!D24,0)</f>
        <v>2</v>
      </c>
      <c r="F112">
        <f>IF('Reels'!D8="block",'Reels'!D9*'Slots'!D25,0)+IF('Reels'!D32="block",'Reels'!D33*'Slots'!D25,0)+IF('Reels'!D48="block",'Reels'!D49*'Slots'!D25,0)</f>
        <v>2</v>
      </c>
      <c r="G112" t="b">
        <f>AND('Reels'!D8&lt;&gt;"blank",'Reels'!D8&lt;&gt;"class",'Reels'!D8='Reels'!D48,'Reels'!D9='Reels'!D49,OR('Reels'!D32="class",AND('Reels'!D32='Reels'!D8,'Reels'!D33='Reels'!D9)))</f>
        <v>0</v>
      </c>
      <c r="H112">
        <f>IF(G112,C112,0)</f>
        <v>0</v>
      </c>
    </row>
    <row r="113" spans="1:8" x14ac:dyDescent="0.25">
      <c r="A113" t="s">
        <v>225</v>
      </c>
      <c r="B113" t="s">
        <v>3476</v>
      </c>
      <c r="C113" s="4">
        <f>('Reels'!D10/('Reels'!D4+'Reels'!D7+'Reels'!D10+'Reels'!D13+'Reels'!D16+'Reels'!D19))*('Reels'!D34/('Reels'!D22+'Reels'!D25+'Reels'!D28+'Reels'!D31+'Reels'!D34+'Reels'!D37+'Reels'!D40))*('Reels'!D53/('Reels'!D44+'Reels'!D47+'Reels'!D50+'Reels'!D53+'Reels'!D56+'Reels'!D59))</f>
        <v>0.0007070707070707071</v>
      </c>
      <c r="D113">
        <f>IF(OR('Reels'!D8="attack",'Reels'!D8="magic"),CHOOSE('Reels'!D9+1,'Slots'!D29,'Slots'!D30,'Slots'!D31,'Slots'!D32,'Slots'!D33),0)+IF(OR('Reels'!D32="attack",'Reels'!D32="magic"),CHOOSE('Reels'!D33+1,'Slots'!D29,'Slots'!D30,'Slots'!D31,'Slots'!D32,'Slots'!D33),0)+IF(OR('Reels'!D51="attack",'Reels'!D51="magic"),CHOOSE('Reels'!D52+1,'Slots'!D29,'Slots'!D30,'Slots'!D31,'Slots'!D32,'Slots'!D33),0)</f>
        <v>0</v>
      </c>
      <c r="E113">
        <f>IF('Reels'!D8="heal",'Reels'!D9*'Slots'!D24,0)+IF('Reels'!D32="heal",'Reels'!D33*'Slots'!D24,0)+IF('Reels'!D51="heal",'Reels'!D52*'Slots'!D24,0)</f>
        <v>2</v>
      </c>
      <c r="F113">
        <f>IF('Reels'!D8="block",'Reels'!D9*'Slots'!D25,0)+IF('Reels'!D32="block",'Reels'!D33*'Slots'!D25,0)+IF('Reels'!D51="block",'Reels'!D52*'Slots'!D25,0)</f>
        <v>3</v>
      </c>
      <c r="G113" t="b">
        <f>AND('Reels'!D8&lt;&gt;"blank",'Reels'!D8&lt;&gt;"class",'Reels'!D8='Reels'!D51,'Reels'!D9='Reels'!D52,OR('Reels'!D32="class",AND('Reels'!D32='Reels'!D8,'Reels'!D33='Reels'!D9)))</f>
        <v>0</v>
      </c>
      <c r="H113">
        <f>IF(G113,C113,0)</f>
        <v>0</v>
      </c>
    </row>
    <row r="114" spans="1:8" x14ac:dyDescent="0.25">
      <c r="A114" t="s">
        <v>225</v>
      </c>
      <c r="B114" t="s">
        <v>3477</v>
      </c>
      <c r="C114" s="4">
        <f>('Reels'!D10/('Reels'!D4+'Reels'!D7+'Reels'!D10+'Reels'!D13+'Reels'!D16+'Reels'!D19))*('Reels'!D34/('Reels'!D22+'Reels'!D25+'Reels'!D28+'Reels'!D31+'Reels'!D34+'Reels'!D37+'Reels'!D40))*('Reels'!D56/('Reels'!D44+'Reels'!D47+'Reels'!D50+'Reels'!D53+'Reels'!D56+'Reels'!D59))</f>
        <v>0.0002356902356902357</v>
      </c>
      <c r="D114">
        <f>IF(OR('Reels'!D8="attack",'Reels'!D8="magic"),CHOOSE('Reels'!D9+1,'Slots'!D29,'Slots'!D30,'Slots'!D31,'Slots'!D32,'Slots'!D33),0)+IF(OR('Reels'!D32="attack",'Reels'!D32="magic"),CHOOSE('Reels'!D33+1,'Slots'!D29,'Slots'!D30,'Slots'!D31,'Slots'!D32,'Slots'!D33),0)+IF(OR('Reels'!D54="attack",'Reels'!D54="magic"),CHOOSE('Reels'!D55+1,'Slots'!D29,'Slots'!D30,'Slots'!D31,'Slots'!D32,'Slots'!D33),0)</f>
        <v>0</v>
      </c>
      <c r="E114">
        <f>IF('Reels'!D8="heal",'Reels'!D9*'Slots'!D24,0)+IF('Reels'!D32="heal",'Reels'!D33*'Slots'!D24,0)+IF('Reels'!D54="heal",'Reels'!D55*'Slots'!D24,0)</f>
        <v>4</v>
      </c>
      <c r="F114">
        <f>IF('Reels'!D8="block",'Reels'!D9*'Slots'!D25,0)+IF('Reels'!D32="block",'Reels'!D33*'Slots'!D25,0)+IF('Reels'!D54="block",'Reels'!D55*'Slots'!D25,0)</f>
        <v>1</v>
      </c>
      <c r="G114" t="b">
        <f>AND('Reels'!D8&lt;&gt;"blank",'Reels'!D8&lt;&gt;"class",'Reels'!D8='Reels'!D54,'Reels'!D9='Reels'!D55,OR('Reels'!D32="class",AND('Reels'!D32='Reels'!D8,'Reels'!D33='Reels'!D9)))</f>
        <v>0</v>
      </c>
      <c r="H114">
        <f>IF(G114,C114,0)</f>
        <v>0</v>
      </c>
    </row>
    <row r="115" spans="1:8" x14ac:dyDescent="0.25">
      <c r="A115" t="s">
        <v>225</v>
      </c>
      <c r="B115" t="s">
        <v>3478</v>
      </c>
      <c r="C115" s="4">
        <f>('Reels'!D10/('Reels'!D4+'Reels'!D7+'Reels'!D10+'Reels'!D13+'Reels'!D16+'Reels'!D19))*('Reels'!D34/('Reels'!D22+'Reels'!D25+'Reels'!D28+'Reels'!D31+'Reels'!D34+'Reels'!D37+'Reels'!D40))*('Reels'!D59/('Reels'!D44+'Reels'!D47+'Reels'!D50+'Reels'!D53+'Reels'!D56+'Reels'!D59))</f>
        <v>0.0011784511784511786</v>
      </c>
      <c r="D115">
        <f>IF(OR('Reels'!D8="attack",'Reels'!D8="magic"),CHOOSE('Reels'!D9+1,'Slots'!D29,'Slots'!D30,'Slots'!D31,'Slots'!D32,'Slots'!D33),0)+IF(OR('Reels'!D32="attack",'Reels'!D32="magic"),CHOOSE('Reels'!D33+1,'Slots'!D29,'Slots'!D30,'Slots'!D31,'Slots'!D32,'Slots'!D33),0)+IF(OR('Reels'!D57="attack",'Reels'!D57="magic"),CHOOSE('Reels'!D58+1,'Slots'!D29,'Slots'!D30,'Slots'!D31,'Slots'!D32,'Slots'!D33),0)</f>
        <v>0</v>
      </c>
      <c r="E115">
        <f>IF('Reels'!D8="heal",'Reels'!D9*'Slots'!D24,0)+IF('Reels'!D32="heal",'Reels'!D33*'Slots'!D24,0)+IF('Reels'!D57="heal",'Reels'!D58*'Slots'!D24,0)</f>
        <v>2</v>
      </c>
      <c r="F115">
        <f>IF('Reels'!D8="block",'Reels'!D9*'Slots'!D25,0)+IF('Reels'!D32="block",'Reels'!D33*'Slots'!D25,0)+IF('Reels'!D57="block",'Reels'!D58*'Slots'!D25,0)</f>
        <v>1</v>
      </c>
      <c r="G115" t="b">
        <f>AND('Reels'!D8&lt;&gt;"blank",'Reels'!D8&lt;&gt;"class",'Reels'!D8='Reels'!D57,'Reels'!D9='Reels'!D58,OR('Reels'!D32="class",AND('Reels'!D32='Reels'!D8,'Reels'!D33='Reels'!D9)))</f>
        <v>0</v>
      </c>
      <c r="H115">
        <f>IF(G115,C115,0)</f>
        <v>0</v>
      </c>
    </row>
    <row r="116" spans="1:8" x14ac:dyDescent="0.25">
      <c r="A116" t="s">
        <v>225</v>
      </c>
      <c r="B116" t="s">
        <v>3479</v>
      </c>
      <c r="C116" s="4">
        <f>('Reels'!D10/('Reels'!D4+'Reels'!D7+'Reels'!D10+'Reels'!D13+'Reels'!D16+'Reels'!D19))*('Reels'!D37/('Reels'!D22+'Reels'!D25+'Reels'!D28+'Reels'!D31+'Reels'!D34+'Reels'!D37+'Reels'!D40))*('Reels'!D44/('Reels'!D44+'Reels'!D47+'Reels'!D50+'Reels'!D53+'Reels'!D56+'Reels'!D59))</f>
        <v>0.010606060606060608</v>
      </c>
      <c r="D116">
        <f>IF(OR('Reels'!D8="attack",'Reels'!D8="magic"),CHOOSE('Reels'!D9+1,'Slots'!D29,'Slots'!D30,'Slots'!D31,'Slots'!D32,'Slots'!D33),0)+IF(OR('Reels'!D35="attack",'Reels'!D35="magic"),CHOOSE('Reels'!D36+1,'Slots'!D29,'Slots'!D30,'Slots'!D31,'Slots'!D32,'Slots'!D33),0)+IF(OR('Reels'!D42="attack",'Reels'!D42="magic"),CHOOSE('Reels'!D43+1,'Slots'!D29,'Slots'!D30,'Slots'!D31,'Slots'!D32,'Slots'!D33),0)</f>
        <v>2</v>
      </c>
      <c r="E116">
        <f>IF('Reels'!D8="heal",'Reels'!D9*'Slots'!D24,0)+IF('Reels'!D35="heal",'Reels'!D36*'Slots'!D24,0)+IF('Reels'!D42="heal",'Reels'!D43*'Slots'!D24,0)</f>
        <v>0</v>
      </c>
      <c r="F116">
        <f>IF('Reels'!D8="block",'Reels'!D9*'Slots'!D25,0)+IF('Reels'!D35="block",'Reels'!D36*'Slots'!D25,0)+IF('Reels'!D42="block",'Reels'!D43*'Slots'!D25,0)</f>
        <v>1</v>
      </c>
      <c r="G116" t="b">
        <f>AND('Reels'!D8&lt;&gt;"blank",'Reels'!D8&lt;&gt;"class",'Reels'!D8='Reels'!D42,'Reels'!D9='Reels'!D43,OR('Reels'!D35="class",AND('Reels'!D35='Reels'!D8,'Reels'!D36='Reels'!D9)))</f>
        <v>0</v>
      </c>
      <c r="H116">
        <f>IF(G116,C116,0)</f>
        <v>0</v>
      </c>
    </row>
    <row r="117" spans="1:8" x14ac:dyDescent="0.25">
      <c r="A117" t="s">
        <v>225</v>
      </c>
      <c r="B117" t="s">
        <v>3480</v>
      </c>
      <c r="C117" s="4">
        <f>('Reels'!D10/('Reels'!D4+'Reels'!D7+'Reels'!D10+'Reels'!D13+'Reels'!D16+'Reels'!D19))*('Reels'!D37/('Reels'!D22+'Reels'!D25+'Reels'!D28+'Reels'!D31+'Reels'!D34+'Reels'!D37+'Reels'!D40))*('Reels'!D47/('Reels'!D44+'Reels'!D47+'Reels'!D50+'Reels'!D53+'Reels'!D56+'Reels'!D59))</f>
        <v>0.005892255892255893</v>
      </c>
      <c r="D117">
        <f>IF(OR('Reels'!D8="attack",'Reels'!D8="magic"),CHOOSE('Reels'!D9+1,'Slots'!D29,'Slots'!D30,'Slots'!D31,'Slots'!D32,'Slots'!D33),0)+IF(OR('Reels'!D35="attack",'Reels'!D35="magic"),CHOOSE('Reels'!D36+1,'Slots'!D29,'Slots'!D30,'Slots'!D31,'Slots'!D32,'Slots'!D33),0)+IF(OR('Reels'!D45="attack",'Reels'!D45="magic"),CHOOSE('Reels'!D46+1,'Slots'!D29,'Slots'!D30,'Slots'!D31,'Slots'!D32,'Slots'!D33),0)</f>
        <v>4</v>
      </c>
      <c r="E117">
        <f>IF('Reels'!D8="heal",'Reels'!D9*'Slots'!D24,0)+IF('Reels'!D35="heal",'Reels'!D36*'Slots'!D24,0)+IF('Reels'!D45="heal",'Reels'!D46*'Slots'!D24,0)</f>
        <v>0</v>
      </c>
      <c r="F117">
        <f>IF('Reels'!D8="block",'Reels'!D9*'Slots'!D25,0)+IF('Reels'!D35="block",'Reels'!D36*'Slots'!D25,0)+IF('Reels'!D45="block",'Reels'!D46*'Slots'!D25,0)</f>
        <v>1</v>
      </c>
      <c r="G117" t="b">
        <f>AND('Reels'!D8&lt;&gt;"blank",'Reels'!D8&lt;&gt;"class",'Reels'!D8='Reels'!D45,'Reels'!D9='Reels'!D46,OR('Reels'!D35="class",AND('Reels'!D35='Reels'!D8,'Reels'!D36='Reels'!D9)))</f>
        <v>0</v>
      </c>
      <c r="H117">
        <f>IF(G117,C117,0)</f>
        <v>0</v>
      </c>
    </row>
    <row r="118" spans="1:8" x14ac:dyDescent="0.25">
      <c r="A118" t="s">
        <v>225</v>
      </c>
      <c r="B118" t="s">
        <v>3481</v>
      </c>
      <c r="C118" s="4">
        <f>('Reels'!D10/('Reels'!D4+'Reels'!D7+'Reels'!D10+'Reels'!D13+'Reels'!D16+'Reels'!D19))*('Reels'!D37/('Reels'!D22+'Reels'!D25+'Reels'!D28+'Reels'!D31+'Reels'!D34+'Reels'!D37+'Reels'!D40))*('Reels'!D50/('Reels'!D44+'Reels'!D47+'Reels'!D50+'Reels'!D53+'Reels'!D56+'Reels'!D59))</f>
        <v>0.00824915824915825</v>
      </c>
      <c r="D118">
        <f>IF(OR('Reels'!D8="attack",'Reels'!D8="magic"),CHOOSE('Reels'!D9+1,'Slots'!D29,'Slots'!D30,'Slots'!D31,'Slots'!D32,'Slots'!D33),0)+IF(OR('Reels'!D35="attack",'Reels'!D35="magic"),CHOOSE('Reels'!D36+1,'Slots'!D29,'Slots'!D30,'Slots'!D31,'Slots'!D32,'Slots'!D33),0)+IF(OR('Reels'!D48="attack",'Reels'!D48="magic"),CHOOSE('Reels'!D49+1,'Slots'!D29,'Slots'!D30,'Slots'!D31,'Slots'!D32,'Slots'!D33),0)</f>
        <v>0</v>
      </c>
      <c r="E118">
        <f>IF('Reels'!D8="heal",'Reels'!D9*'Slots'!D24,0)+IF('Reels'!D35="heal",'Reels'!D36*'Slots'!D24,0)+IF('Reels'!D48="heal",'Reels'!D49*'Slots'!D24,0)</f>
        <v>0</v>
      </c>
      <c r="F118">
        <f>IF('Reels'!D8="block",'Reels'!D9*'Slots'!D25,0)+IF('Reels'!D35="block",'Reels'!D36*'Slots'!D25,0)+IF('Reels'!D48="block",'Reels'!D49*'Slots'!D25,0)</f>
        <v>2</v>
      </c>
      <c r="G118" t="b">
        <f>AND('Reels'!D8&lt;&gt;"blank",'Reels'!D8&lt;&gt;"class",'Reels'!D8='Reels'!D48,'Reels'!D9='Reels'!D49,OR('Reels'!D35="class",AND('Reels'!D35='Reels'!D8,'Reels'!D36='Reels'!D9)))</f>
        <v>0</v>
      </c>
      <c r="H118">
        <f>IF(G118,C118,0)</f>
        <v>0</v>
      </c>
    </row>
    <row r="119" spans="1:8" x14ac:dyDescent="0.25">
      <c r="A119" t="s">
        <v>225</v>
      </c>
      <c r="B119" t="s">
        <v>3482</v>
      </c>
      <c r="C119" s="4">
        <f>('Reels'!D10/('Reels'!D4+'Reels'!D7+'Reels'!D10+'Reels'!D13+'Reels'!D16+'Reels'!D19))*('Reels'!D37/('Reels'!D22+'Reels'!D25+'Reels'!D28+'Reels'!D31+'Reels'!D34+'Reels'!D37+'Reels'!D40))*('Reels'!D53/('Reels'!D44+'Reels'!D47+'Reels'!D50+'Reels'!D53+'Reels'!D56+'Reels'!D59))</f>
        <v>0.003535353535353536</v>
      </c>
      <c r="D119">
        <f>IF(OR('Reels'!D8="attack",'Reels'!D8="magic"),CHOOSE('Reels'!D9+1,'Slots'!D29,'Slots'!D30,'Slots'!D31,'Slots'!D32,'Slots'!D33),0)+IF(OR('Reels'!D35="attack",'Reels'!D35="magic"),CHOOSE('Reels'!D36+1,'Slots'!D29,'Slots'!D30,'Slots'!D31,'Slots'!D32,'Slots'!D33),0)+IF(OR('Reels'!D51="attack",'Reels'!D51="magic"),CHOOSE('Reels'!D52+1,'Slots'!D29,'Slots'!D30,'Slots'!D31,'Slots'!D32,'Slots'!D33),0)</f>
        <v>0</v>
      </c>
      <c r="E119">
        <f>IF('Reels'!D8="heal",'Reels'!D9*'Slots'!D24,0)+IF('Reels'!D35="heal",'Reels'!D36*'Slots'!D24,0)+IF('Reels'!D51="heal",'Reels'!D52*'Slots'!D24,0)</f>
        <v>0</v>
      </c>
      <c r="F119">
        <f>IF('Reels'!D8="block",'Reels'!D9*'Slots'!D25,0)+IF('Reels'!D35="block",'Reels'!D36*'Slots'!D25,0)+IF('Reels'!D51="block",'Reels'!D52*'Slots'!D25,0)</f>
        <v>3</v>
      </c>
      <c r="G119" t="b">
        <f>AND('Reels'!D8&lt;&gt;"blank",'Reels'!D8&lt;&gt;"class",'Reels'!D8='Reels'!D51,'Reels'!D9='Reels'!D52,OR('Reels'!D35="class",AND('Reels'!D35='Reels'!D8,'Reels'!D36='Reels'!D9)))</f>
        <v>0</v>
      </c>
      <c r="H119">
        <f>IF(G119,C119,0)</f>
        <v>0</v>
      </c>
    </row>
    <row r="120" spans="1:8" x14ac:dyDescent="0.25">
      <c r="A120" t="s">
        <v>225</v>
      </c>
      <c r="B120" t="s">
        <v>3483</v>
      </c>
      <c r="C120" s="4">
        <f>('Reels'!D10/('Reels'!D4+'Reels'!D7+'Reels'!D10+'Reels'!D13+'Reels'!D16+'Reels'!D19))*('Reels'!D37/('Reels'!D22+'Reels'!D25+'Reels'!D28+'Reels'!D31+'Reels'!D34+'Reels'!D37+'Reels'!D40))*('Reels'!D56/('Reels'!D44+'Reels'!D47+'Reels'!D50+'Reels'!D53+'Reels'!D56+'Reels'!D59))</f>
        <v>0.0011784511784511786</v>
      </c>
      <c r="D120">
        <f>IF(OR('Reels'!D8="attack",'Reels'!D8="magic"),CHOOSE('Reels'!D9+1,'Slots'!D29,'Slots'!D30,'Slots'!D31,'Slots'!D32,'Slots'!D33),0)+IF(OR('Reels'!D35="attack",'Reels'!D35="magic"),CHOOSE('Reels'!D36+1,'Slots'!D29,'Slots'!D30,'Slots'!D31,'Slots'!D32,'Slots'!D33),0)+IF(OR('Reels'!D54="attack",'Reels'!D54="magic"),CHOOSE('Reels'!D55+1,'Slots'!D29,'Slots'!D30,'Slots'!D31,'Slots'!D32,'Slots'!D33),0)</f>
        <v>0</v>
      </c>
      <c r="E120">
        <f>IF('Reels'!D8="heal",'Reels'!D9*'Slots'!D24,0)+IF('Reels'!D35="heal",'Reels'!D36*'Slots'!D24,0)+IF('Reels'!D54="heal",'Reels'!D55*'Slots'!D24,0)</f>
        <v>2</v>
      </c>
      <c r="F120">
        <f>IF('Reels'!D8="block",'Reels'!D9*'Slots'!D25,0)+IF('Reels'!D35="block",'Reels'!D36*'Slots'!D25,0)+IF('Reels'!D54="block",'Reels'!D55*'Slots'!D25,0)</f>
        <v>1</v>
      </c>
      <c r="G120" t="b">
        <f>AND('Reels'!D8&lt;&gt;"blank",'Reels'!D8&lt;&gt;"class",'Reels'!D8='Reels'!D54,'Reels'!D9='Reels'!D55,OR('Reels'!D35="class",AND('Reels'!D35='Reels'!D8,'Reels'!D36='Reels'!D9)))</f>
        <v>0</v>
      </c>
      <c r="H120">
        <f>IF(G120,C120,0)</f>
        <v>0</v>
      </c>
    </row>
    <row r="121" spans="1:8" x14ac:dyDescent="0.25">
      <c r="A121" t="s">
        <v>225</v>
      </c>
      <c r="B121" t="s">
        <v>3484</v>
      </c>
      <c r="C121" s="4">
        <f>('Reels'!D10/('Reels'!D4+'Reels'!D7+'Reels'!D10+'Reels'!D13+'Reels'!D16+'Reels'!D19))*('Reels'!D37/('Reels'!D22+'Reels'!D25+'Reels'!D28+'Reels'!D31+'Reels'!D34+'Reels'!D37+'Reels'!D40))*('Reels'!D59/('Reels'!D44+'Reels'!D47+'Reels'!D50+'Reels'!D53+'Reels'!D56+'Reels'!D59))</f>
        <v>0.005892255892255893</v>
      </c>
      <c r="D121">
        <f>IF(OR('Reels'!D8="attack",'Reels'!D8="magic"),CHOOSE('Reels'!D9+1,'Slots'!D29,'Slots'!D30,'Slots'!D31,'Slots'!D32,'Slots'!D33),0)+IF(OR('Reels'!D35="attack",'Reels'!D35="magic"),CHOOSE('Reels'!D36+1,'Slots'!D29,'Slots'!D30,'Slots'!D31,'Slots'!D32,'Slots'!D33),0)+IF(OR('Reels'!D57="attack",'Reels'!D57="magic"),CHOOSE('Reels'!D58+1,'Slots'!D29,'Slots'!D30,'Slots'!D31,'Slots'!D32,'Slots'!D33),0)</f>
        <v>0</v>
      </c>
      <c r="E121">
        <f>IF('Reels'!D8="heal",'Reels'!D9*'Slots'!D24,0)+IF('Reels'!D35="heal",'Reels'!D36*'Slots'!D24,0)+IF('Reels'!D57="heal",'Reels'!D58*'Slots'!D24,0)</f>
        <v>0</v>
      </c>
      <c r="F121">
        <f>IF('Reels'!D8="block",'Reels'!D9*'Slots'!D25,0)+IF('Reels'!D35="block",'Reels'!D36*'Slots'!D25,0)+IF('Reels'!D57="block",'Reels'!D58*'Slots'!D25,0)</f>
        <v>1</v>
      </c>
      <c r="G121" t="b">
        <f>AND('Reels'!D8&lt;&gt;"blank",'Reels'!D8&lt;&gt;"class",'Reels'!D8='Reels'!D57,'Reels'!D9='Reels'!D58,OR('Reels'!D35="class",AND('Reels'!D35='Reels'!D8,'Reels'!D36='Reels'!D9)))</f>
        <v>0</v>
      </c>
      <c r="H121">
        <f>IF(G121,C121,0)</f>
        <v>0</v>
      </c>
    </row>
    <row r="122" spans="1:8" x14ac:dyDescent="0.25">
      <c r="A122" t="s">
        <v>225</v>
      </c>
      <c r="B122" t="s">
        <v>3485</v>
      </c>
      <c r="C122" s="4">
        <f>('Reels'!D10/('Reels'!D4+'Reels'!D7+'Reels'!D10+'Reels'!D13+'Reels'!D16+'Reels'!D19))*('Reels'!D40/('Reels'!D22+'Reels'!D25+'Reels'!D28+'Reels'!D31+'Reels'!D34+'Reels'!D37+'Reels'!D40))*('Reels'!D44/('Reels'!D44+'Reels'!D47+'Reels'!D50+'Reels'!D53+'Reels'!D56+'Reels'!D59))</f>
        <v>0.006363636363636363</v>
      </c>
      <c r="D122">
        <f>IF(OR('Reels'!D8="attack",'Reels'!D8="magic"),CHOOSE('Reels'!D9+1,'Slots'!D29,'Slots'!D30,'Slots'!D31,'Slots'!D32,'Slots'!D33),0)+IF(OR('Reels'!D38="attack",'Reels'!D38="magic"),CHOOSE('Reels'!D39+1,'Slots'!D29,'Slots'!D30,'Slots'!D31,'Slots'!D32,'Slots'!D33),0)+IF(OR('Reels'!D42="attack",'Reels'!D42="magic"),CHOOSE('Reels'!D43+1,'Slots'!D29,'Slots'!D30,'Slots'!D31,'Slots'!D32,'Slots'!D33),0)</f>
        <v>2</v>
      </c>
      <c r="E122">
        <f>IF('Reels'!D8="heal",'Reels'!D9*'Slots'!D24,0)+IF('Reels'!D38="heal",'Reels'!D39*'Slots'!D24,0)+IF('Reels'!D42="heal",'Reels'!D43*'Slots'!D24,0)</f>
        <v>0</v>
      </c>
      <c r="F122">
        <f>IF('Reels'!D8="block",'Reels'!D9*'Slots'!D25,0)+IF('Reels'!D38="block",'Reels'!D39*'Slots'!D25,0)+IF('Reels'!D42="block",'Reels'!D43*'Slots'!D25,0)</f>
        <v>1</v>
      </c>
      <c r="G122" t="b">
        <f>AND('Reels'!D8&lt;&gt;"blank",'Reels'!D8&lt;&gt;"class",'Reels'!D8='Reels'!D42,'Reels'!D9='Reels'!D43,OR('Reels'!D38="class",AND('Reels'!D38='Reels'!D8,'Reels'!D39='Reels'!D9)))</f>
        <v>0</v>
      </c>
      <c r="H122">
        <f>IF(G122,C122,0)</f>
        <v>0</v>
      </c>
    </row>
    <row r="123" spans="1:8" x14ac:dyDescent="0.25">
      <c r="A123" t="s">
        <v>225</v>
      </c>
      <c r="B123" t="s">
        <v>3486</v>
      </c>
      <c r="C123" s="4">
        <f>('Reels'!D10/('Reels'!D4+'Reels'!D7+'Reels'!D10+'Reels'!D13+'Reels'!D16+'Reels'!D19))*('Reels'!D40/('Reels'!D22+'Reels'!D25+'Reels'!D28+'Reels'!D31+'Reels'!D34+'Reels'!D37+'Reels'!D40))*('Reels'!D47/('Reels'!D44+'Reels'!D47+'Reels'!D50+'Reels'!D53+'Reels'!D56+'Reels'!D59))</f>
        <v>0.003535353535353535</v>
      </c>
      <c r="D123">
        <f>IF(OR('Reels'!D8="attack",'Reels'!D8="magic"),CHOOSE('Reels'!D9+1,'Slots'!D29,'Slots'!D30,'Slots'!D31,'Slots'!D32,'Slots'!D33),0)+IF(OR('Reels'!D38="attack",'Reels'!D38="magic"),CHOOSE('Reels'!D39+1,'Slots'!D29,'Slots'!D30,'Slots'!D31,'Slots'!D32,'Slots'!D33),0)+IF(OR('Reels'!D45="attack",'Reels'!D45="magic"),CHOOSE('Reels'!D46+1,'Slots'!D29,'Slots'!D30,'Slots'!D31,'Slots'!D32,'Slots'!D33),0)</f>
        <v>4</v>
      </c>
      <c r="E123">
        <f>IF('Reels'!D8="heal",'Reels'!D9*'Slots'!D24,0)+IF('Reels'!D38="heal",'Reels'!D39*'Slots'!D24,0)+IF('Reels'!D45="heal",'Reels'!D46*'Slots'!D24,0)</f>
        <v>0</v>
      </c>
      <c r="F123">
        <f>IF('Reels'!D8="block",'Reels'!D9*'Slots'!D25,0)+IF('Reels'!D38="block",'Reels'!D39*'Slots'!D25,0)+IF('Reels'!D45="block",'Reels'!D46*'Slots'!D25,0)</f>
        <v>1</v>
      </c>
      <c r="G123" t="b">
        <f>AND('Reels'!D8&lt;&gt;"blank",'Reels'!D8&lt;&gt;"class",'Reels'!D8='Reels'!D45,'Reels'!D9='Reels'!D46,OR('Reels'!D38="class",AND('Reels'!D38='Reels'!D8,'Reels'!D39='Reels'!D9)))</f>
        <v>0</v>
      </c>
      <c r="H123">
        <f>IF(G123,C123,0)</f>
        <v>0</v>
      </c>
    </row>
    <row r="124" spans="1:8" x14ac:dyDescent="0.25">
      <c r="A124" t="s">
        <v>225</v>
      </c>
      <c r="B124" t="s">
        <v>3487</v>
      </c>
      <c r="C124" s="4">
        <f>('Reels'!D10/('Reels'!D4+'Reels'!D7+'Reels'!D10+'Reels'!D13+'Reels'!D16+'Reels'!D19))*('Reels'!D40/('Reels'!D22+'Reels'!D25+'Reels'!D28+'Reels'!D31+'Reels'!D34+'Reels'!D37+'Reels'!D40))*('Reels'!D50/('Reels'!D44+'Reels'!D47+'Reels'!D50+'Reels'!D53+'Reels'!D56+'Reels'!D59))</f>
        <v>0.004949494949494949</v>
      </c>
      <c r="D124">
        <f>IF(OR('Reels'!D8="attack",'Reels'!D8="magic"),CHOOSE('Reels'!D9+1,'Slots'!D29,'Slots'!D30,'Slots'!D31,'Slots'!D32,'Slots'!D33),0)+IF(OR('Reels'!D38="attack",'Reels'!D38="magic"),CHOOSE('Reels'!D39+1,'Slots'!D29,'Slots'!D30,'Slots'!D31,'Slots'!D32,'Slots'!D33),0)+IF(OR('Reels'!D48="attack",'Reels'!D48="magic"),CHOOSE('Reels'!D49+1,'Slots'!D29,'Slots'!D30,'Slots'!D31,'Slots'!D32,'Slots'!D33),0)</f>
        <v>0</v>
      </c>
      <c r="E124">
        <f>IF('Reels'!D8="heal",'Reels'!D9*'Slots'!D24,0)+IF('Reels'!D38="heal",'Reels'!D39*'Slots'!D24,0)+IF('Reels'!D48="heal",'Reels'!D49*'Slots'!D24,0)</f>
        <v>0</v>
      </c>
      <c r="F124">
        <f>IF('Reels'!D8="block",'Reels'!D9*'Slots'!D25,0)+IF('Reels'!D38="block",'Reels'!D39*'Slots'!D25,0)+IF('Reels'!D48="block",'Reels'!D49*'Slots'!D25,0)</f>
        <v>2</v>
      </c>
      <c r="G124" t="b">
        <f>AND('Reels'!D8&lt;&gt;"blank",'Reels'!D8&lt;&gt;"class",'Reels'!D8='Reels'!D48,'Reels'!D9='Reels'!D49,OR('Reels'!D38="class",AND('Reels'!D38='Reels'!D8,'Reels'!D39='Reels'!D9)))</f>
        <v>1</v>
      </c>
      <c r="H124">
        <f>IF(G124,C124,0)</f>
        <v>0.004949494949494949</v>
      </c>
    </row>
    <row r="125" spans="1:8" x14ac:dyDescent="0.25">
      <c r="A125" t="s">
        <v>225</v>
      </c>
      <c r="B125" t="s">
        <v>3488</v>
      </c>
      <c r="C125" s="4">
        <f>('Reels'!D10/('Reels'!D4+'Reels'!D7+'Reels'!D10+'Reels'!D13+'Reels'!D16+'Reels'!D19))*('Reels'!D40/('Reels'!D22+'Reels'!D25+'Reels'!D28+'Reels'!D31+'Reels'!D34+'Reels'!D37+'Reels'!D40))*('Reels'!D53/('Reels'!D44+'Reels'!D47+'Reels'!D50+'Reels'!D53+'Reels'!D56+'Reels'!D59))</f>
        <v>0.002121212121212121</v>
      </c>
      <c r="D125">
        <f>IF(OR('Reels'!D8="attack",'Reels'!D8="magic"),CHOOSE('Reels'!D9+1,'Slots'!D29,'Slots'!D30,'Slots'!D31,'Slots'!D32,'Slots'!D33),0)+IF(OR('Reels'!D38="attack",'Reels'!D38="magic"),CHOOSE('Reels'!D39+1,'Slots'!D29,'Slots'!D30,'Slots'!D31,'Slots'!D32,'Slots'!D33),0)+IF(OR('Reels'!D51="attack",'Reels'!D51="magic"),CHOOSE('Reels'!D52+1,'Slots'!D29,'Slots'!D30,'Slots'!D31,'Slots'!D32,'Slots'!D33),0)</f>
        <v>0</v>
      </c>
      <c r="E125">
        <f>IF('Reels'!D8="heal",'Reels'!D9*'Slots'!D24,0)+IF('Reels'!D38="heal",'Reels'!D39*'Slots'!D24,0)+IF('Reels'!D51="heal",'Reels'!D52*'Slots'!D24,0)</f>
        <v>0</v>
      </c>
      <c r="F125">
        <f>IF('Reels'!D8="block",'Reels'!D9*'Slots'!D25,0)+IF('Reels'!D38="block",'Reels'!D39*'Slots'!D25,0)+IF('Reels'!D51="block",'Reels'!D52*'Slots'!D25,0)</f>
        <v>3</v>
      </c>
      <c r="G125" t="b">
        <f>AND('Reels'!D8&lt;&gt;"blank",'Reels'!D8&lt;&gt;"class",'Reels'!D8='Reels'!D51,'Reels'!D9='Reels'!D52,OR('Reels'!D38="class",AND('Reels'!D38='Reels'!D8,'Reels'!D39='Reels'!D9)))</f>
        <v>0</v>
      </c>
      <c r="H125">
        <f>IF(G125,C125,0)</f>
        <v>0</v>
      </c>
    </row>
    <row r="126" spans="1:8" x14ac:dyDescent="0.25">
      <c r="A126" t="s">
        <v>225</v>
      </c>
      <c r="B126" t="s">
        <v>3489</v>
      </c>
      <c r="C126" s="4">
        <f>('Reels'!D10/('Reels'!D4+'Reels'!D7+'Reels'!D10+'Reels'!D13+'Reels'!D16+'Reels'!D19))*('Reels'!D40/('Reels'!D22+'Reels'!D25+'Reels'!D28+'Reels'!D31+'Reels'!D34+'Reels'!D37+'Reels'!D40))*('Reels'!D56/('Reels'!D44+'Reels'!D47+'Reels'!D50+'Reels'!D53+'Reels'!D56+'Reels'!D59))</f>
        <v>0.000707070707070707</v>
      </c>
      <c r="D126">
        <f>IF(OR('Reels'!D8="attack",'Reels'!D8="magic"),CHOOSE('Reels'!D9+1,'Slots'!D29,'Slots'!D30,'Slots'!D31,'Slots'!D32,'Slots'!D33),0)+IF(OR('Reels'!D38="attack",'Reels'!D38="magic"),CHOOSE('Reels'!D39+1,'Slots'!D29,'Slots'!D30,'Slots'!D31,'Slots'!D32,'Slots'!D33),0)+IF(OR('Reels'!D54="attack",'Reels'!D54="magic"),CHOOSE('Reels'!D55+1,'Slots'!D29,'Slots'!D30,'Slots'!D31,'Slots'!D32,'Slots'!D33),0)</f>
        <v>0</v>
      </c>
      <c r="E126">
        <f>IF('Reels'!D8="heal",'Reels'!D9*'Slots'!D24,0)+IF('Reels'!D38="heal",'Reels'!D39*'Slots'!D24,0)+IF('Reels'!D54="heal",'Reels'!D55*'Slots'!D24,0)</f>
        <v>2</v>
      </c>
      <c r="F126">
        <f>IF('Reels'!D8="block",'Reels'!D9*'Slots'!D25,0)+IF('Reels'!D38="block",'Reels'!D39*'Slots'!D25,0)+IF('Reels'!D54="block",'Reels'!D55*'Slots'!D25,0)</f>
        <v>1</v>
      </c>
      <c r="G126" t="b">
        <f>AND('Reels'!D8&lt;&gt;"blank",'Reels'!D8&lt;&gt;"class",'Reels'!D8='Reels'!D54,'Reels'!D9='Reels'!D55,OR('Reels'!D38="class",AND('Reels'!D38='Reels'!D8,'Reels'!D39='Reels'!D9)))</f>
        <v>0</v>
      </c>
      <c r="H126">
        <f>IF(G126,C126,0)</f>
        <v>0</v>
      </c>
    </row>
    <row r="127" spans="1:8" x14ac:dyDescent="0.25">
      <c r="A127" t="s">
        <v>225</v>
      </c>
      <c r="B127" t="s">
        <v>3490</v>
      </c>
      <c r="C127" s="4">
        <f>('Reels'!D10/('Reels'!D4+'Reels'!D7+'Reels'!D10+'Reels'!D13+'Reels'!D16+'Reels'!D19))*('Reels'!D40/('Reels'!D22+'Reels'!D25+'Reels'!D28+'Reels'!D31+'Reels'!D34+'Reels'!D37+'Reels'!D40))*('Reels'!D59/('Reels'!D44+'Reels'!D47+'Reels'!D50+'Reels'!D53+'Reels'!D56+'Reels'!D59))</f>
        <v>0.003535353535353535</v>
      </c>
      <c r="D127">
        <f>IF(OR('Reels'!D8="attack",'Reels'!D8="magic"),CHOOSE('Reels'!D9+1,'Slots'!D29,'Slots'!D30,'Slots'!D31,'Slots'!D32,'Slots'!D33),0)+IF(OR('Reels'!D38="attack",'Reels'!D38="magic"),CHOOSE('Reels'!D39+1,'Slots'!D29,'Slots'!D30,'Slots'!D31,'Slots'!D32,'Slots'!D33),0)+IF(OR('Reels'!D57="attack",'Reels'!D57="magic"),CHOOSE('Reels'!D58+1,'Slots'!D29,'Slots'!D30,'Slots'!D31,'Slots'!D32,'Slots'!D33),0)</f>
        <v>0</v>
      </c>
      <c r="E127">
        <f>IF('Reels'!D8="heal",'Reels'!D9*'Slots'!D24,0)+IF('Reels'!D38="heal",'Reels'!D39*'Slots'!D24,0)+IF('Reels'!D57="heal",'Reels'!D58*'Slots'!D24,0)</f>
        <v>0</v>
      </c>
      <c r="F127">
        <f>IF('Reels'!D8="block",'Reels'!D9*'Slots'!D25,0)+IF('Reels'!D38="block",'Reels'!D39*'Slots'!D25,0)+IF('Reels'!D57="block",'Reels'!D58*'Slots'!D25,0)</f>
        <v>1</v>
      </c>
      <c r="G127" t="b">
        <f>AND('Reels'!D8&lt;&gt;"blank",'Reels'!D8&lt;&gt;"class",'Reels'!D8='Reels'!D57,'Reels'!D9='Reels'!D58,OR('Reels'!D38="class",AND('Reels'!D38='Reels'!D8,'Reels'!D39='Reels'!D9)))</f>
        <v>0</v>
      </c>
      <c r="H127">
        <f>IF(G127,C127,0)</f>
        <v>0</v>
      </c>
    </row>
    <row r="128" spans="1:8" x14ac:dyDescent="0.25">
      <c r="A128" t="s">
        <v>225</v>
      </c>
      <c r="B128" t="s">
        <v>3491</v>
      </c>
      <c r="C128" s="4">
        <f>('Reels'!D13/('Reels'!D4+'Reels'!D7+'Reels'!D10+'Reels'!D13+'Reels'!D16+'Reels'!D19))*('Reels'!D22/('Reels'!D22+'Reels'!D25+'Reels'!D28+'Reels'!D31+'Reels'!D34+'Reels'!D37+'Reels'!D40))*('Reels'!D44/('Reels'!D44+'Reels'!D47+'Reels'!D50+'Reels'!D53+'Reels'!D56+'Reels'!D59))</f>
        <v>0.008181818181818182</v>
      </c>
      <c r="D128">
        <f>IF(OR('Reels'!D11="attack",'Reels'!D11="magic"),CHOOSE('Reels'!D12+1,'Slots'!D29,'Slots'!D30,'Slots'!D31,'Slots'!D32,'Slots'!D33),0)+IF(OR('Reels'!D20="attack",'Reels'!D20="magic"),CHOOSE('Reels'!D21+1,'Slots'!D29,'Slots'!D30,'Slots'!D31,'Slots'!D32,'Slots'!D33),0)+IF(OR('Reels'!D42="attack",'Reels'!D42="magic"),CHOOSE('Reels'!D43+1,'Slots'!D29,'Slots'!D30,'Slots'!D31,'Slots'!D32,'Slots'!D33),0)</f>
        <v>4</v>
      </c>
      <c r="E128">
        <f>IF('Reels'!D11="heal",'Reels'!D12*'Slots'!D24,0)+IF('Reels'!D20="heal",'Reels'!D21*'Slots'!D24,0)+IF('Reels'!D42="heal",'Reels'!D43*'Slots'!D24,0)</f>
        <v>0</v>
      </c>
      <c r="F128">
        <f>IF('Reels'!D11="block",'Reels'!D12*'Slots'!D25,0)+IF('Reels'!D20="block",'Reels'!D21*'Slots'!D25,0)+IF('Reels'!D42="block",'Reels'!D43*'Slots'!D25,0)</f>
        <v>2</v>
      </c>
      <c r="G128" t="b">
        <f>AND('Reels'!D11&lt;&gt;"blank",'Reels'!D11&lt;&gt;"class",'Reels'!D11='Reels'!D42,'Reels'!D12='Reels'!D43,OR('Reels'!D20="class",AND('Reels'!D20='Reels'!D11,'Reels'!D21='Reels'!D12)))</f>
        <v>0</v>
      </c>
      <c r="H128">
        <f>IF(G128,C128,0)</f>
        <v>0</v>
      </c>
    </row>
    <row r="129" spans="1:8" x14ac:dyDescent="0.25">
      <c r="A129" t="s">
        <v>225</v>
      </c>
      <c r="B129" t="s">
        <v>3492</v>
      </c>
      <c r="C129" s="4">
        <f>('Reels'!D13/('Reels'!D4+'Reels'!D7+'Reels'!D10+'Reels'!D13+'Reels'!D16+'Reels'!D19))*('Reels'!D22/('Reels'!D22+'Reels'!D25+'Reels'!D28+'Reels'!D31+'Reels'!D34+'Reels'!D37+'Reels'!D40))*('Reels'!D47/('Reels'!D44+'Reels'!D47+'Reels'!D50+'Reels'!D53+'Reels'!D56+'Reels'!D59))</f>
        <v>0.004545454545454546</v>
      </c>
      <c r="D129">
        <f>IF(OR('Reels'!D11="attack",'Reels'!D11="magic"),CHOOSE('Reels'!D12+1,'Slots'!D29,'Slots'!D30,'Slots'!D31,'Slots'!D32,'Slots'!D33),0)+IF(OR('Reels'!D20="attack",'Reels'!D20="magic"),CHOOSE('Reels'!D21+1,'Slots'!D29,'Slots'!D30,'Slots'!D31,'Slots'!D32,'Slots'!D33),0)+IF(OR('Reels'!D45="attack",'Reels'!D45="magic"),CHOOSE('Reels'!D46+1,'Slots'!D29,'Slots'!D30,'Slots'!D31,'Slots'!D32,'Slots'!D33),0)</f>
        <v>6</v>
      </c>
      <c r="E129">
        <f>IF('Reels'!D11="heal",'Reels'!D12*'Slots'!D24,0)+IF('Reels'!D20="heal",'Reels'!D21*'Slots'!D24,0)+IF('Reels'!D45="heal",'Reels'!D46*'Slots'!D24,0)</f>
        <v>0</v>
      </c>
      <c r="F129">
        <f>IF('Reels'!D11="block",'Reels'!D12*'Slots'!D25,0)+IF('Reels'!D20="block",'Reels'!D21*'Slots'!D25,0)+IF('Reels'!D45="block",'Reels'!D46*'Slots'!D25,0)</f>
        <v>2</v>
      </c>
      <c r="G129" t="b">
        <f>AND('Reels'!D11&lt;&gt;"blank",'Reels'!D11&lt;&gt;"class",'Reels'!D11='Reels'!D45,'Reels'!D12='Reels'!D46,OR('Reels'!D20="class",AND('Reels'!D20='Reels'!D11,'Reels'!D21='Reels'!D12)))</f>
        <v>0</v>
      </c>
      <c r="H129">
        <f>IF(G129,C129,0)</f>
        <v>0</v>
      </c>
    </row>
    <row r="130" spans="1:8" x14ac:dyDescent="0.25">
      <c r="A130" t="s">
        <v>225</v>
      </c>
      <c r="B130" t="s">
        <v>3493</v>
      </c>
      <c r="C130" s="4">
        <f>('Reels'!D13/('Reels'!D4+'Reels'!D7+'Reels'!D10+'Reels'!D13+'Reels'!D16+'Reels'!D19))*('Reels'!D22/('Reels'!D22+'Reels'!D25+'Reels'!D28+'Reels'!D31+'Reels'!D34+'Reels'!D37+'Reels'!D40))*('Reels'!D50/('Reels'!D44+'Reels'!D47+'Reels'!D50+'Reels'!D53+'Reels'!D56+'Reels'!D59))</f>
        <v>0.006363636363636364</v>
      </c>
      <c r="D130">
        <f>IF(OR('Reels'!D11="attack",'Reels'!D11="magic"),CHOOSE('Reels'!D12+1,'Slots'!D29,'Slots'!D30,'Slots'!D31,'Slots'!D32,'Slots'!D33),0)+IF(OR('Reels'!D20="attack",'Reels'!D20="magic"),CHOOSE('Reels'!D21+1,'Slots'!D29,'Slots'!D30,'Slots'!D31,'Slots'!D32,'Slots'!D33),0)+IF(OR('Reels'!D48="attack",'Reels'!D48="magic"),CHOOSE('Reels'!D49+1,'Slots'!D29,'Slots'!D30,'Slots'!D31,'Slots'!D32,'Slots'!D33),0)</f>
        <v>2</v>
      </c>
      <c r="E130">
        <f>IF('Reels'!D11="heal",'Reels'!D12*'Slots'!D24,0)+IF('Reels'!D20="heal",'Reels'!D21*'Slots'!D24,0)+IF('Reels'!D48="heal",'Reels'!D49*'Slots'!D24,0)</f>
        <v>0</v>
      </c>
      <c r="F130">
        <f>IF('Reels'!D11="block",'Reels'!D12*'Slots'!D25,0)+IF('Reels'!D20="block",'Reels'!D21*'Slots'!D25,0)+IF('Reels'!D48="block",'Reels'!D49*'Slots'!D25,0)</f>
        <v>3</v>
      </c>
      <c r="G130" t="b">
        <f>AND('Reels'!D11&lt;&gt;"blank",'Reels'!D11&lt;&gt;"class",'Reels'!D11='Reels'!D48,'Reels'!D12='Reels'!D49,OR('Reels'!D20="class",AND('Reels'!D20='Reels'!D11,'Reels'!D21='Reels'!D12)))</f>
        <v>0</v>
      </c>
      <c r="H130">
        <f>IF(G130,C130,0)</f>
        <v>0</v>
      </c>
    </row>
    <row r="131" spans="1:8" x14ac:dyDescent="0.25">
      <c r="A131" t="s">
        <v>225</v>
      </c>
      <c r="B131" t="s">
        <v>3494</v>
      </c>
      <c r="C131" s="4">
        <f>('Reels'!D13/('Reels'!D4+'Reels'!D7+'Reels'!D10+'Reels'!D13+'Reels'!D16+'Reels'!D19))*('Reels'!D22/('Reels'!D22+'Reels'!D25+'Reels'!D28+'Reels'!D31+'Reels'!D34+'Reels'!D37+'Reels'!D40))*('Reels'!D53/('Reels'!D44+'Reels'!D47+'Reels'!D50+'Reels'!D53+'Reels'!D56+'Reels'!D59))</f>
        <v>0.002727272727272727</v>
      </c>
      <c r="D131">
        <f>IF(OR('Reels'!D11="attack",'Reels'!D11="magic"),CHOOSE('Reels'!D12+1,'Slots'!D29,'Slots'!D30,'Slots'!D31,'Slots'!D32,'Slots'!D33),0)+IF(OR('Reels'!D20="attack",'Reels'!D20="magic"),CHOOSE('Reels'!D21+1,'Slots'!D29,'Slots'!D30,'Slots'!D31,'Slots'!D32,'Slots'!D33),0)+IF(OR('Reels'!D51="attack",'Reels'!D51="magic"),CHOOSE('Reels'!D52+1,'Slots'!D29,'Slots'!D30,'Slots'!D31,'Slots'!D32,'Slots'!D33),0)</f>
        <v>2</v>
      </c>
      <c r="E131">
        <f>IF('Reels'!D11="heal",'Reels'!D12*'Slots'!D24,0)+IF('Reels'!D20="heal",'Reels'!D21*'Slots'!D24,0)+IF('Reels'!D51="heal",'Reels'!D52*'Slots'!D24,0)</f>
        <v>0</v>
      </c>
      <c r="F131">
        <f>IF('Reels'!D11="block",'Reels'!D12*'Slots'!D25,0)+IF('Reels'!D20="block",'Reels'!D21*'Slots'!D25,0)+IF('Reels'!D51="block",'Reels'!D52*'Slots'!D25,0)</f>
        <v>4</v>
      </c>
      <c r="G131" t="b">
        <f>AND('Reels'!D11&lt;&gt;"blank",'Reels'!D11&lt;&gt;"class",'Reels'!D11='Reels'!D51,'Reels'!D12='Reels'!D52,OR('Reels'!D20="class",AND('Reels'!D20='Reels'!D11,'Reels'!D21='Reels'!D12)))</f>
        <v>0</v>
      </c>
      <c r="H131">
        <f>IF(G131,C131,0)</f>
        <v>0</v>
      </c>
    </row>
    <row r="132" spans="1:8" x14ac:dyDescent="0.25">
      <c r="A132" t="s">
        <v>225</v>
      </c>
      <c r="B132" t="s">
        <v>3495</v>
      </c>
      <c r="C132" s="4">
        <f>('Reels'!D13/('Reels'!D4+'Reels'!D7+'Reels'!D10+'Reels'!D13+'Reels'!D16+'Reels'!D19))*('Reels'!D22/('Reels'!D22+'Reels'!D25+'Reels'!D28+'Reels'!D31+'Reels'!D34+'Reels'!D37+'Reels'!D40))*('Reels'!D56/('Reels'!D44+'Reels'!D47+'Reels'!D50+'Reels'!D53+'Reels'!D56+'Reels'!D59))</f>
        <v>0.0009090909090909092</v>
      </c>
      <c r="D132">
        <f>IF(OR('Reels'!D11="attack",'Reels'!D11="magic"),CHOOSE('Reels'!D12+1,'Slots'!D29,'Slots'!D30,'Slots'!D31,'Slots'!D32,'Slots'!D33),0)+IF(OR('Reels'!D20="attack",'Reels'!D20="magic"),CHOOSE('Reels'!D21+1,'Slots'!D29,'Slots'!D30,'Slots'!D31,'Slots'!D32,'Slots'!D33),0)+IF(OR('Reels'!D54="attack",'Reels'!D54="magic"),CHOOSE('Reels'!D55+1,'Slots'!D29,'Slots'!D30,'Slots'!D31,'Slots'!D32,'Slots'!D33),0)</f>
        <v>2</v>
      </c>
      <c r="E132">
        <f>IF('Reels'!D11="heal",'Reels'!D12*'Slots'!D24,0)+IF('Reels'!D20="heal",'Reels'!D21*'Slots'!D24,0)+IF('Reels'!D54="heal",'Reels'!D55*'Slots'!D24,0)</f>
        <v>2</v>
      </c>
      <c r="F132">
        <f>IF('Reels'!D11="block",'Reels'!D12*'Slots'!D25,0)+IF('Reels'!D20="block",'Reels'!D21*'Slots'!D25,0)+IF('Reels'!D54="block",'Reels'!D55*'Slots'!D25,0)</f>
        <v>2</v>
      </c>
      <c r="G132" t="b">
        <f>AND('Reels'!D11&lt;&gt;"blank",'Reels'!D11&lt;&gt;"class",'Reels'!D11='Reels'!D54,'Reels'!D12='Reels'!D55,OR('Reels'!D20="class",AND('Reels'!D20='Reels'!D11,'Reels'!D21='Reels'!D12)))</f>
        <v>0</v>
      </c>
      <c r="H132">
        <f>IF(G132,C132,0)</f>
        <v>0</v>
      </c>
    </row>
    <row r="133" spans="1:8" x14ac:dyDescent="0.25">
      <c r="A133" t="s">
        <v>225</v>
      </c>
      <c r="B133" t="s">
        <v>3496</v>
      </c>
      <c r="C133" s="4">
        <f>('Reels'!D13/('Reels'!D4+'Reels'!D7+'Reels'!D10+'Reels'!D13+'Reels'!D16+'Reels'!D19))*('Reels'!D22/('Reels'!D22+'Reels'!D25+'Reels'!D28+'Reels'!D31+'Reels'!D34+'Reels'!D37+'Reels'!D40))*('Reels'!D59/('Reels'!D44+'Reels'!D47+'Reels'!D50+'Reels'!D53+'Reels'!D56+'Reels'!D59))</f>
        <v>0.004545454545454546</v>
      </c>
      <c r="D133">
        <f>IF(OR('Reels'!D11="attack",'Reels'!D11="magic"),CHOOSE('Reels'!D12+1,'Slots'!D29,'Slots'!D30,'Slots'!D31,'Slots'!D32,'Slots'!D33),0)+IF(OR('Reels'!D20="attack",'Reels'!D20="magic"),CHOOSE('Reels'!D21+1,'Slots'!D29,'Slots'!D30,'Slots'!D31,'Slots'!D32,'Slots'!D33),0)+IF(OR('Reels'!D57="attack",'Reels'!D57="magic"),CHOOSE('Reels'!D58+1,'Slots'!D29,'Slots'!D30,'Slots'!D31,'Slots'!D32,'Slots'!D33),0)</f>
        <v>2</v>
      </c>
      <c r="E133">
        <f>IF('Reels'!D11="heal",'Reels'!D12*'Slots'!D24,0)+IF('Reels'!D20="heal",'Reels'!D21*'Slots'!D24,0)+IF('Reels'!D57="heal",'Reels'!D58*'Slots'!D24,0)</f>
        <v>0</v>
      </c>
      <c r="F133">
        <f>IF('Reels'!D11="block",'Reels'!D12*'Slots'!D25,0)+IF('Reels'!D20="block",'Reels'!D21*'Slots'!D25,0)+IF('Reels'!D57="block",'Reels'!D58*'Slots'!D25,0)</f>
        <v>2</v>
      </c>
      <c r="G133" t="b">
        <f>AND('Reels'!D11&lt;&gt;"blank",'Reels'!D11&lt;&gt;"class",'Reels'!D11='Reels'!D57,'Reels'!D12='Reels'!D58,OR('Reels'!D20="class",AND('Reels'!D20='Reels'!D11,'Reels'!D21='Reels'!D12)))</f>
        <v>0</v>
      </c>
      <c r="H133">
        <f>IF(G133,C133,0)</f>
        <v>0</v>
      </c>
    </row>
    <row r="134" spans="1:8" x14ac:dyDescent="0.25">
      <c r="A134" t="s">
        <v>225</v>
      </c>
      <c r="B134" t="s">
        <v>3497</v>
      </c>
      <c r="C134" s="4">
        <f>('Reels'!D13/('Reels'!D4+'Reels'!D7+'Reels'!D10+'Reels'!D13+'Reels'!D16+'Reels'!D19))*('Reels'!D25/('Reels'!D22+'Reels'!D25+'Reels'!D28+'Reels'!D31+'Reels'!D34+'Reels'!D37+'Reels'!D40))*('Reels'!D44/('Reels'!D44+'Reels'!D47+'Reels'!D50+'Reels'!D53+'Reels'!D56+'Reels'!D59))</f>
        <v>0.004545454545454545</v>
      </c>
      <c r="D134">
        <f>IF(OR('Reels'!D11="attack",'Reels'!D11="magic"),CHOOSE('Reels'!D12+1,'Slots'!D29,'Slots'!D30,'Slots'!D31,'Slots'!D32,'Slots'!D33),0)+IF(OR('Reels'!D23="attack",'Reels'!D23="magic"),CHOOSE('Reels'!D24+1,'Slots'!D29,'Slots'!D30,'Slots'!D31,'Slots'!D32,'Slots'!D33),0)+IF(OR('Reels'!D42="attack",'Reels'!D42="magic"),CHOOSE('Reels'!D43+1,'Slots'!D29,'Slots'!D30,'Slots'!D31,'Slots'!D32,'Slots'!D33),0)</f>
        <v>6</v>
      </c>
      <c r="E134">
        <f>IF('Reels'!D11="heal",'Reels'!D12*'Slots'!D24,0)+IF('Reels'!D23="heal",'Reels'!D24*'Slots'!D24,0)+IF('Reels'!D42="heal",'Reels'!D43*'Slots'!D24,0)</f>
        <v>0</v>
      </c>
      <c r="F134">
        <f>IF('Reels'!D11="block",'Reels'!D12*'Slots'!D25,0)+IF('Reels'!D23="block",'Reels'!D24*'Slots'!D25,0)+IF('Reels'!D42="block",'Reels'!D43*'Slots'!D25,0)</f>
        <v>2</v>
      </c>
      <c r="G134" t="b">
        <f>AND('Reels'!D11&lt;&gt;"blank",'Reels'!D11&lt;&gt;"class",'Reels'!D11='Reels'!D42,'Reels'!D12='Reels'!D43,OR('Reels'!D23="class",AND('Reels'!D23='Reels'!D11,'Reels'!D24='Reels'!D12)))</f>
        <v>0</v>
      </c>
      <c r="H134">
        <f>IF(G134,C134,0)</f>
        <v>0</v>
      </c>
    </row>
    <row r="135" spans="1:8" x14ac:dyDescent="0.25">
      <c r="A135" t="s">
        <v>225</v>
      </c>
      <c r="B135" t="s">
        <v>3498</v>
      </c>
      <c r="C135" s="4">
        <f>('Reels'!D13/('Reels'!D4+'Reels'!D7+'Reels'!D10+'Reels'!D13+'Reels'!D16+'Reels'!D19))*('Reels'!D25/('Reels'!D22+'Reels'!D25+'Reels'!D28+'Reels'!D31+'Reels'!D34+'Reels'!D37+'Reels'!D40))*('Reels'!D47/('Reels'!D44+'Reels'!D47+'Reels'!D50+'Reels'!D53+'Reels'!D56+'Reels'!D59))</f>
        <v>0.0025252525252525255</v>
      </c>
      <c r="D135">
        <f>IF(OR('Reels'!D11="attack",'Reels'!D11="magic"),CHOOSE('Reels'!D12+1,'Slots'!D29,'Slots'!D30,'Slots'!D31,'Slots'!D32,'Slots'!D33),0)+IF(OR('Reels'!D23="attack",'Reels'!D23="magic"),CHOOSE('Reels'!D24+1,'Slots'!D29,'Slots'!D30,'Slots'!D31,'Slots'!D32,'Slots'!D33),0)+IF(OR('Reels'!D45="attack",'Reels'!D45="magic"),CHOOSE('Reels'!D46+1,'Slots'!D29,'Slots'!D30,'Slots'!D31,'Slots'!D32,'Slots'!D33),0)</f>
        <v>8</v>
      </c>
      <c r="E135">
        <f>IF('Reels'!D11="heal",'Reels'!D12*'Slots'!D24,0)+IF('Reels'!D23="heal",'Reels'!D24*'Slots'!D24,0)+IF('Reels'!D45="heal",'Reels'!D46*'Slots'!D24,0)</f>
        <v>0</v>
      </c>
      <c r="F135">
        <f>IF('Reels'!D11="block",'Reels'!D12*'Slots'!D25,0)+IF('Reels'!D23="block",'Reels'!D24*'Slots'!D25,0)+IF('Reels'!D45="block",'Reels'!D46*'Slots'!D25,0)</f>
        <v>2</v>
      </c>
      <c r="G135" t="b">
        <f>AND('Reels'!D11&lt;&gt;"blank",'Reels'!D11&lt;&gt;"class",'Reels'!D11='Reels'!D45,'Reels'!D12='Reels'!D46,OR('Reels'!D23="class",AND('Reels'!D23='Reels'!D11,'Reels'!D24='Reels'!D12)))</f>
        <v>0</v>
      </c>
      <c r="H135">
        <f>IF(G135,C135,0)</f>
        <v>0</v>
      </c>
    </row>
    <row r="136" spans="1:8" x14ac:dyDescent="0.25">
      <c r="A136" t="s">
        <v>225</v>
      </c>
      <c r="B136" t="s">
        <v>3499</v>
      </c>
      <c r="C136" s="4">
        <f>('Reels'!D13/('Reels'!D4+'Reels'!D7+'Reels'!D10+'Reels'!D13+'Reels'!D16+'Reels'!D19))*('Reels'!D25/('Reels'!D22+'Reels'!D25+'Reels'!D28+'Reels'!D31+'Reels'!D34+'Reels'!D37+'Reels'!D40))*('Reels'!D50/('Reels'!D44+'Reels'!D47+'Reels'!D50+'Reels'!D53+'Reels'!D56+'Reels'!D59))</f>
        <v>0.0035353535353535356</v>
      </c>
      <c r="D136">
        <f>IF(OR('Reels'!D11="attack",'Reels'!D11="magic"),CHOOSE('Reels'!D12+1,'Slots'!D29,'Slots'!D30,'Slots'!D31,'Slots'!D32,'Slots'!D33),0)+IF(OR('Reels'!D23="attack",'Reels'!D23="magic"),CHOOSE('Reels'!D24+1,'Slots'!D29,'Slots'!D30,'Slots'!D31,'Slots'!D32,'Slots'!D33),0)+IF(OR('Reels'!D48="attack",'Reels'!D48="magic"),CHOOSE('Reels'!D49+1,'Slots'!D29,'Slots'!D30,'Slots'!D31,'Slots'!D32,'Slots'!D33),0)</f>
        <v>4</v>
      </c>
      <c r="E136">
        <f>IF('Reels'!D11="heal",'Reels'!D12*'Slots'!D24,0)+IF('Reels'!D23="heal",'Reels'!D24*'Slots'!D24,0)+IF('Reels'!D48="heal",'Reels'!D49*'Slots'!D24,0)</f>
        <v>0</v>
      </c>
      <c r="F136">
        <f>IF('Reels'!D11="block",'Reels'!D12*'Slots'!D25,0)+IF('Reels'!D23="block",'Reels'!D24*'Slots'!D25,0)+IF('Reels'!D48="block",'Reels'!D49*'Slots'!D25,0)</f>
        <v>3</v>
      </c>
      <c r="G136" t="b">
        <f>AND('Reels'!D11&lt;&gt;"blank",'Reels'!D11&lt;&gt;"class",'Reels'!D11='Reels'!D48,'Reels'!D12='Reels'!D49,OR('Reels'!D23="class",AND('Reels'!D23='Reels'!D11,'Reels'!D24='Reels'!D12)))</f>
        <v>0</v>
      </c>
      <c r="H136">
        <f>IF(G136,C136,0)</f>
        <v>0</v>
      </c>
    </row>
    <row r="137" spans="1:8" x14ac:dyDescent="0.25">
      <c r="A137" t="s">
        <v>225</v>
      </c>
      <c r="B137" t="s">
        <v>3500</v>
      </c>
      <c r="C137" s="4">
        <f>('Reels'!D13/('Reels'!D4+'Reels'!D7+'Reels'!D10+'Reels'!D13+'Reels'!D16+'Reels'!D19))*('Reels'!D25/('Reels'!D22+'Reels'!D25+'Reels'!D28+'Reels'!D31+'Reels'!D34+'Reels'!D37+'Reels'!D40))*('Reels'!D53/('Reels'!D44+'Reels'!D47+'Reels'!D50+'Reels'!D53+'Reels'!D56+'Reels'!D59))</f>
        <v>0.0015151515151515152</v>
      </c>
      <c r="D137">
        <f>IF(OR('Reels'!D11="attack",'Reels'!D11="magic"),CHOOSE('Reels'!D12+1,'Slots'!D29,'Slots'!D30,'Slots'!D31,'Slots'!D32,'Slots'!D33),0)+IF(OR('Reels'!D23="attack",'Reels'!D23="magic"),CHOOSE('Reels'!D24+1,'Slots'!D29,'Slots'!D30,'Slots'!D31,'Slots'!D32,'Slots'!D33),0)+IF(OR('Reels'!D51="attack",'Reels'!D51="magic"),CHOOSE('Reels'!D52+1,'Slots'!D29,'Slots'!D30,'Slots'!D31,'Slots'!D32,'Slots'!D33),0)</f>
        <v>4</v>
      </c>
      <c r="E137">
        <f>IF('Reels'!D11="heal",'Reels'!D12*'Slots'!D24,0)+IF('Reels'!D23="heal",'Reels'!D24*'Slots'!D24,0)+IF('Reels'!D51="heal",'Reels'!D52*'Slots'!D24,0)</f>
        <v>0</v>
      </c>
      <c r="F137">
        <f>IF('Reels'!D11="block",'Reels'!D12*'Slots'!D25,0)+IF('Reels'!D23="block",'Reels'!D24*'Slots'!D25,0)+IF('Reels'!D51="block",'Reels'!D52*'Slots'!D25,0)</f>
        <v>4</v>
      </c>
      <c r="G137" t="b">
        <f>AND('Reels'!D11&lt;&gt;"blank",'Reels'!D11&lt;&gt;"class",'Reels'!D11='Reels'!D51,'Reels'!D12='Reels'!D52,OR('Reels'!D23="class",AND('Reels'!D23='Reels'!D11,'Reels'!D24='Reels'!D12)))</f>
        <v>0</v>
      </c>
      <c r="H137">
        <f>IF(G137,C137,0)</f>
        <v>0</v>
      </c>
    </row>
    <row r="138" spans="1:8" x14ac:dyDescent="0.25">
      <c r="A138" t="s">
        <v>225</v>
      </c>
      <c r="B138" t="s">
        <v>3501</v>
      </c>
      <c r="C138" s="4">
        <f>('Reels'!D13/('Reels'!D4+'Reels'!D7+'Reels'!D10+'Reels'!D13+'Reels'!D16+'Reels'!D19))*('Reels'!D25/('Reels'!D22+'Reels'!D25+'Reels'!D28+'Reels'!D31+'Reels'!D34+'Reels'!D37+'Reels'!D40))*('Reels'!D56/('Reels'!D44+'Reels'!D47+'Reels'!D50+'Reels'!D53+'Reels'!D56+'Reels'!D59))</f>
        <v>0.000505050505050505</v>
      </c>
      <c r="D138">
        <f>IF(OR('Reels'!D11="attack",'Reels'!D11="magic"),CHOOSE('Reels'!D12+1,'Slots'!D29,'Slots'!D30,'Slots'!D31,'Slots'!D32,'Slots'!D33),0)+IF(OR('Reels'!D23="attack",'Reels'!D23="magic"),CHOOSE('Reels'!D24+1,'Slots'!D29,'Slots'!D30,'Slots'!D31,'Slots'!D32,'Slots'!D33),0)+IF(OR('Reels'!D54="attack",'Reels'!D54="magic"),CHOOSE('Reels'!D55+1,'Slots'!D29,'Slots'!D30,'Slots'!D31,'Slots'!D32,'Slots'!D33),0)</f>
        <v>4</v>
      </c>
      <c r="E138">
        <f>IF('Reels'!D11="heal",'Reels'!D12*'Slots'!D24,0)+IF('Reels'!D23="heal",'Reels'!D24*'Slots'!D24,0)+IF('Reels'!D54="heal",'Reels'!D55*'Slots'!D24,0)</f>
        <v>2</v>
      </c>
      <c r="F138">
        <f>IF('Reels'!D11="block",'Reels'!D12*'Slots'!D25,0)+IF('Reels'!D23="block",'Reels'!D24*'Slots'!D25,0)+IF('Reels'!D54="block",'Reels'!D55*'Slots'!D25,0)</f>
        <v>2</v>
      </c>
      <c r="G138" t="b">
        <f>AND('Reels'!D11&lt;&gt;"blank",'Reels'!D11&lt;&gt;"class",'Reels'!D11='Reels'!D54,'Reels'!D12='Reels'!D55,OR('Reels'!D23="class",AND('Reels'!D23='Reels'!D11,'Reels'!D24='Reels'!D12)))</f>
        <v>0</v>
      </c>
      <c r="H138">
        <f>IF(G138,C138,0)</f>
        <v>0</v>
      </c>
    </row>
    <row r="139" spans="1:8" x14ac:dyDescent="0.25">
      <c r="A139" t="s">
        <v>225</v>
      </c>
      <c r="B139" t="s">
        <v>3502</v>
      </c>
      <c r="C139" s="4">
        <f>('Reels'!D13/('Reels'!D4+'Reels'!D7+'Reels'!D10+'Reels'!D13+'Reels'!D16+'Reels'!D19))*('Reels'!D25/('Reels'!D22+'Reels'!D25+'Reels'!D28+'Reels'!D31+'Reels'!D34+'Reels'!D37+'Reels'!D40))*('Reels'!D59/('Reels'!D44+'Reels'!D47+'Reels'!D50+'Reels'!D53+'Reels'!D56+'Reels'!D59))</f>
        <v>0.0025252525252525255</v>
      </c>
      <c r="D139">
        <f>IF(OR('Reels'!D11="attack",'Reels'!D11="magic"),CHOOSE('Reels'!D12+1,'Slots'!D29,'Slots'!D30,'Slots'!D31,'Slots'!D32,'Slots'!D33),0)+IF(OR('Reels'!D23="attack",'Reels'!D23="magic"),CHOOSE('Reels'!D24+1,'Slots'!D29,'Slots'!D30,'Slots'!D31,'Slots'!D32,'Slots'!D33),0)+IF(OR('Reels'!D57="attack",'Reels'!D57="magic"),CHOOSE('Reels'!D58+1,'Slots'!D29,'Slots'!D30,'Slots'!D31,'Slots'!D32,'Slots'!D33),0)</f>
        <v>4</v>
      </c>
      <c r="E139">
        <f>IF('Reels'!D11="heal",'Reels'!D12*'Slots'!D24,0)+IF('Reels'!D23="heal",'Reels'!D24*'Slots'!D24,0)+IF('Reels'!D57="heal",'Reels'!D58*'Slots'!D24,0)</f>
        <v>0</v>
      </c>
      <c r="F139">
        <f>IF('Reels'!D11="block",'Reels'!D12*'Slots'!D25,0)+IF('Reels'!D23="block",'Reels'!D24*'Slots'!D25,0)+IF('Reels'!D57="block",'Reels'!D58*'Slots'!D25,0)</f>
        <v>2</v>
      </c>
      <c r="G139" t="b">
        <f>AND('Reels'!D11&lt;&gt;"blank",'Reels'!D11&lt;&gt;"class",'Reels'!D11='Reels'!D57,'Reels'!D12='Reels'!D58,OR('Reels'!D23="class",AND('Reels'!D23='Reels'!D11,'Reels'!D24='Reels'!D12)))</f>
        <v>0</v>
      </c>
      <c r="H139">
        <f>IF(G139,C139,0)</f>
        <v>0</v>
      </c>
    </row>
    <row r="140" spans="1:8" x14ac:dyDescent="0.25">
      <c r="A140" t="s">
        <v>225</v>
      </c>
      <c r="B140" t="s">
        <v>3503</v>
      </c>
      <c r="C140" s="4">
        <f>('Reels'!D13/('Reels'!D4+'Reels'!D7+'Reels'!D10+'Reels'!D13+'Reels'!D16+'Reels'!D19))*('Reels'!D28/('Reels'!D22+'Reels'!D25+'Reels'!D28+'Reels'!D31+'Reels'!D34+'Reels'!D37+'Reels'!D40))*('Reels'!D44/('Reels'!D44+'Reels'!D47+'Reels'!D50+'Reels'!D53+'Reels'!D56+'Reels'!D59))</f>
        <v>0.006363636363636364</v>
      </c>
      <c r="D140">
        <f>IF(OR('Reels'!D11="attack",'Reels'!D11="magic"),CHOOSE('Reels'!D12+1,'Slots'!D29,'Slots'!D30,'Slots'!D31,'Slots'!D32,'Slots'!D33),0)+IF(OR('Reels'!D26="attack",'Reels'!D26="magic"),CHOOSE('Reels'!D27+1,'Slots'!D29,'Slots'!D30,'Slots'!D31,'Slots'!D32,'Slots'!D33),0)+IF(OR('Reels'!D42="attack",'Reels'!D42="magic"),CHOOSE('Reels'!D43+1,'Slots'!D29,'Slots'!D30,'Slots'!D31,'Slots'!D32,'Slots'!D33),0)</f>
        <v>2</v>
      </c>
      <c r="E140">
        <f>IF('Reels'!D11="heal",'Reels'!D12*'Slots'!D24,0)+IF('Reels'!D26="heal",'Reels'!D27*'Slots'!D24,0)+IF('Reels'!D42="heal",'Reels'!D43*'Slots'!D24,0)</f>
        <v>0</v>
      </c>
      <c r="F140">
        <f>IF('Reels'!D11="block",'Reels'!D12*'Slots'!D25,0)+IF('Reels'!D26="block",'Reels'!D27*'Slots'!D25,0)+IF('Reels'!D42="block",'Reels'!D43*'Slots'!D25,0)</f>
        <v>3</v>
      </c>
      <c r="G140" t="b">
        <f>AND('Reels'!D11&lt;&gt;"blank",'Reels'!D11&lt;&gt;"class",'Reels'!D11='Reels'!D42,'Reels'!D12='Reels'!D43,OR('Reels'!D26="class",AND('Reels'!D26='Reels'!D11,'Reels'!D27='Reels'!D12)))</f>
        <v>0</v>
      </c>
      <c r="H140">
        <f>IF(G140,C140,0)</f>
        <v>0</v>
      </c>
    </row>
    <row r="141" spans="1:8" x14ac:dyDescent="0.25">
      <c r="A141" t="s">
        <v>225</v>
      </c>
      <c r="B141" t="s">
        <v>3504</v>
      </c>
      <c r="C141" s="4">
        <f>('Reels'!D13/('Reels'!D4+'Reels'!D7+'Reels'!D10+'Reels'!D13+'Reels'!D16+'Reels'!D19))*('Reels'!D28/('Reels'!D22+'Reels'!D25+'Reels'!D28+'Reels'!D31+'Reels'!D34+'Reels'!D37+'Reels'!D40))*('Reels'!D47/('Reels'!D44+'Reels'!D47+'Reels'!D50+'Reels'!D53+'Reels'!D56+'Reels'!D59))</f>
        <v>0.0035353535353535356</v>
      </c>
      <c r="D141">
        <f>IF(OR('Reels'!D11="attack",'Reels'!D11="magic"),CHOOSE('Reels'!D12+1,'Slots'!D29,'Slots'!D30,'Slots'!D31,'Slots'!D32,'Slots'!D33),0)+IF(OR('Reels'!D26="attack",'Reels'!D26="magic"),CHOOSE('Reels'!D27+1,'Slots'!D29,'Slots'!D30,'Slots'!D31,'Slots'!D32,'Slots'!D33),0)+IF(OR('Reels'!D45="attack",'Reels'!D45="magic"),CHOOSE('Reels'!D46+1,'Slots'!D29,'Slots'!D30,'Slots'!D31,'Slots'!D32,'Slots'!D33),0)</f>
        <v>4</v>
      </c>
      <c r="E141">
        <f>IF('Reels'!D11="heal",'Reels'!D12*'Slots'!D24,0)+IF('Reels'!D26="heal",'Reels'!D27*'Slots'!D24,0)+IF('Reels'!D45="heal",'Reels'!D46*'Slots'!D24,0)</f>
        <v>0</v>
      </c>
      <c r="F141">
        <f>IF('Reels'!D11="block",'Reels'!D12*'Slots'!D25,0)+IF('Reels'!D26="block",'Reels'!D27*'Slots'!D25,0)+IF('Reels'!D45="block",'Reels'!D46*'Slots'!D25,0)</f>
        <v>3</v>
      </c>
      <c r="G141" t="b">
        <f>AND('Reels'!D11&lt;&gt;"blank",'Reels'!D11&lt;&gt;"class",'Reels'!D11='Reels'!D45,'Reels'!D12='Reels'!D46,OR('Reels'!D26="class",AND('Reels'!D26='Reels'!D11,'Reels'!D27='Reels'!D12)))</f>
        <v>0</v>
      </c>
      <c r="H141">
        <f>IF(G141,C141,0)</f>
        <v>0</v>
      </c>
    </row>
    <row r="142" spans="1:8" x14ac:dyDescent="0.25">
      <c r="A142" t="s">
        <v>225</v>
      </c>
      <c r="B142" t="s">
        <v>3505</v>
      </c>
      <c r="C142" s="4">
        <f>('Reels'!D13/('Reels'!D4+'Reels'!D7+'Reels'!D10+'Reels'!D13+'Reels'!D16+'Reels'!D19))*('Reels'!D28/('Reels'!D22+'Reels'!D25+'Reels'!D28+'Reels'!D31+'Reels'!D34+'Reels'!D37+'Reels'!D40))*('Reels'!D50/('Reels'!D44+'Reels'!D47+'Reels'!D50+'Reels'!D53+'Reels'!D56+'Reels'!D59))</f>
        <v>0.00494949494949495</v>
      </c>
      <c r="D142">
        <f>IF(OR('Reels'!D11="attack",'Reels'!D11="magic"),CHOOSE('Reels'!D12+1,'Slots'!D29,'Slots'!D30,'Slots'!D31,'Slots'!D32,'Slots'!D33),0)+IF(OR('Reels'!D26="attack",'Reels'!D26="magic"),CHOOSE('Reels'!D27+1,'Slots'!D29,'Slots'!D30,'Slots'!D31,'Slots'!D32,'Slots'!D33),0)+IF(OR('Reels'!D48="attack",'Reels'!D48="magic"),CHOOSE('Reels'!D49+1,'Slots'!D29,'Slots'!D30,'Slots'!D31,'Slots'!D32,'Slots'!D33),0)</f>
        <v>0</v>
      </c>
      <c r="E142">
        <f>IF('Reels'!D11="heal",'Reels'!D12*'Slots'!D24,0)+IF('Reels'!D26="heal",'Reels'!D27*'Slots'!D24,0)+IF('Reels'!D48="heal",'Reels'!D49*'Slots'!D24,0)</f>
        <v>0</v>
      </c>
      <c r="F142">
        <f>IF('Reels'!D11="block",'Reels'!D12*'Slots'!D25,0)+IF('Reels'!D26="block",'Reels'!D27*'Slots'!D25,0)+IF('Reels'!D48="block",'Reels'!D49*'Slots'!D25,0)</f>
        <v>4</v>
      </c>
      <c r="G142" t="b">
        <f>AND('Reels'!D11&lt;&gt;"blank",'Reels'!D11&lt;&gt;"class",'Reels'!D11='Reels'!D48,'Reels'!D12='Reels'!D49,OR('Reels'!D26="class",AND('Reels'!D26='Reels'!D11,'Reels'!D27='Reels'!D12)))</f>
        <v>0</v>
      </c>
      <c r="H142">
        <f>IF(G142,C142,0)</f>
        <v>0</v>
      </c>
    </row>
    <row r="143" spans="1:8" x14ac:dyDescent="0.25">
      <c r="A143" t="s">
        <v>225</v>
      </c>
      <c r="B143" t="s">
        <v>3506</v>
      </c>
      <c r="C143" s="4">
        <f>('Reels'!D13/('Reels'!D4+'Reels'!D7+'Reels'!D10+'Reels'!D13+'Reels'!D16+'Reels'!D19))*('Reels'!D28/('Reels'!D22+'Reels'!D25+'Reels'!D28+'Reels'!D31+'Reels'!D34+'Reels'!D37+'Reels'!D40))*('Reels'!D53/('Reels'!D44+'Reels'!D47+'Reels'!D50+'Reels'!D53+'Reels'!D56+'Reels'!D59))</f>
        <v>0.0021212121212121214</v>
      </c>
      <c r="D143">
        <f>IF(OR('Reels'!D11="attack",'Reels'!D11="magic"),CHOOSE('Reels'!D12+1,'Slots'!D29,'Slots'!D30,'Slots'!D31,'Slots'!D32,'Slots'!D33),0)+IF(OR('Reels'!D26="attack",'Reels'!D26="magic"),CHOOSE('Reels'!D27+1,'Slots'!D29,'Slots'!D30,'Slots'!D31,'Slots'!D32,'Slots'!D33),0)+IF(OR('Reels'!D51="attack",'Reels'!D51="magic"),CHOOSE('Reels'!D52+1,'Slots'!D29,'Slots'!D30,'Slots'!D31,'Slots'!D32,'Slots'!D33),0)</f>
        <v>0</v>
      </c>
      <c r="E143">
        <f>IF('Reels'!D11="heal",'Reels'!D12*'Slots'!D24,0)+IF('Reels'!D26="heal",'Reels'!D27*'Slots'!D24,0)+IF('Reels'!D51="heal",'Reels'!D52*'Slots'!D24,0)</f>
        <v>0</v>
      </c>
      <c r="F143">
        <f>IF('Reels'!D11="block",'Reels'!D12*'Slots'!D25,0)+IF('Reels'!D26="block",'Reels'!D27*'Slots'!D25,0)+IF('Reels'!D51="block",'Reels'!D52*'Slots'!D25,0)</f>
        <v>5</v>
      </c>
      <c r="G143" t="b">
        <f>AND('Reels'!D11&lt;&gt;"blank",'Reels'!D11&lt;&gt;"class",'Reels'!D11='Reels'!D51,'Reels'!D12='Reels'!D52,OR('Reels'!D26="class",AND('Reels'!D26='Reels'!D11,'Reels'!D27='Reels'!D12)))</f>
        <v>0</v>
      </c>
      <c r="H143">
        <f>IF(G143,C143,0)</f>
        <v>0</v>
      </c>
    </row>
    <row r="144" spans="1:8" x14ac:dyDescent="0.25">
      <c r="A144" t="s">
        <v>225</v>
      </c>
      <c r="B144" t="s">
        <v>3507</v>
      </c>
      <c r="C144" s="4">
        <f>('Reels'!D13/('Reels'!D4+'Reels'!D7+'Reels'!D10+'Reels'!D13+'Reels'!D16+'Reels'!D19))*('Reels'!D28/('Reels'!D22+'Reels'!D25+'Reels'!D28+'Reels'!D31+'Reels'!D34+'Reels'!D37+'Reels'!D40))*('Reels'!D56/('Reels'!D44+'Reels'!D47+'Reels'!D50+'Reels'!D53+'Reels'!D56+'Reels'!D59))</f>
        <v>0.0007070707070707071</v>
      </c>
      <c r="D144">
        <f>IF(OR('Reels'!D11="attack",'Reels'!D11="magic"),CHOOSE('Reels'!D12+1,'Slots'!D29,'Slots'!D30,'Slots'!D31,'Slots'!D32,'Slots'!D33),0)+IF(OR('Reels'!D26="attack",'Reels'!D26="magic"),CHOOSE('Reels'!D27+1,'Slots'!D29,'Slots'!D30,'Slots'!D31,'Slots'!D32,'Slots'!D33),0)+IF(OR('Reels'!D54="attack",'Reels'!D54="magic"),CHOOSE('Reels'!D55+1,'Slots'!D29,'Slots'!D30,'Slots'!D31,'Slots'!D32,'Slots'!D33),0)</f>
        <v>0</v>
      </c>
      <c r="E144">
        <f>IF('Reels'!D11="heal",'Reels'!D12*'Slots'!D24,0)+IF('Reels'!D26="heal",'Reels'!D27*'Slots'!D24,0)+IF('Reels'!D54="heal",'Reels'!D55*'Slots'!D24,0)</f>
        <v>2</v>
      </c>
      <c r="F144">
        <f>IF('Reels'!D11="block",'Reels'!D12*'Slots'!D25,0)+IF('Reels'!D26="block",'Reels'!D27*'Slots'!D25,0)+IF('Reels'!D54="block",'Reels'!D55*'Slots'!D25,0)</f>
        <v>3</v>
      </c>
      <c r="G144" t="b">
        <f>AND('Reels'!D11&lt;&gt;"blank",'Reels'!D11&lt;&gt;"class",'Reels'!D11='Reels'!D54,'Reels'!D12='Reels'!D55,OR('Reels'!D26="class",AND('Reels'!D26='Reels'!D11,'Reels'!D27='Reels'!D12)))</f>
        <v>0</v>
      </c>
      <c r="H144">
        <f>IF(G144,C144,0)</f>
        <v>0</v>
      </c>
    </row>
    <row r="145" spans="1:8" x14ac:dyDescent="0.25">
      <c r="A145" t="s">
        <v>225</v>
      </c>
      <c r="B145" t="s">
        <v>3508</v>
      </c>
      <c r="C145" s="4">
        <f>('Reels'!D13/('Reels'!D4+'Reels'!D7+'Reels'!D10+'Reels'!D13+'Reels'!D16+'Reels'!D19))*('Reels'!D28/('Reels'!D22+'Reels'!D25+'Reels'!D28+'Reels'!D31+'Reels'!D34+'Reels'!D37+'Reels'!D40))*('Reels'!D59/('Reels'!D44+'Reels'!D47+'Reels'!D50+'Reels'!D53+'Reels'!D56+'Reels'!D59))</f>
        <v>0.0035353535353535356</v>
      </c>
      <c r="D145">
        <f>IF(OR('Reels'!D11="attack",'Reels'!D11="magic"),CHOOSE('Reels'!D12+1,'Slots'!D29,'Slots'!D30,'Slots'!D31,'Slots'!D32,'Slots'!D33),0)+IF(OR('Reels'!D26="attack",'Reels'!D26="magic"),CHOOSE('Reels'!D27+1,'Slots'!D29,'Slots'!D30,'Slots'!D31,'Slots'!D32,'Slots'!D33),0)+IF(OR('Reels'!D57="attack",'Reels'!D57="magic"),CHOOSE('Reels'!D58+1,'Slots'!D29,'Slots'!D30,'Slots'!D31,'Slots'!D32,'Slots'!D33),0)</f>
        <v>0</v>
      </c>
      <c r="E145">
        <f>IF('Reels'!D11="heal",'Reels'!D12*'Slots'!D24,0)+IF('Reels'!D26="heal",'Reels'!D27*'Slots'!D24,0)+IF('Reels'!D57="heal",'Reels'!D58*'Slots'!D24,0)</f>
        <v>0</v>
      </c>
      <c r="F145">
        <f>IF('Reels'!D11="block",'Reels'!D12*'Slots'!D25,0)+IF('Reels'!D26="block",'Reels'!D27*'Slots'!D25,0)+IF('Reels'!D57="block",'Reels'!D58*'Slots'!D25,0)</f>
        <v>3</v>
      </c>
      <c r="G145" t="b">
        <f>AND('Reels'!D11&lt;&gt;"blank",'Reels'!D11&lt;&gt;"class",'Reels'!D11='Reels'!D57,'Reels'!D12='Reels'!D58,OR('Reels'!D26="class",AND('Reels'!D26='Reels'!D11,'Reels'!D27='Reels'!D12)))</f>
        <v>0</v>
      </c>
      <c r="H145">
        <f>IF(G145,C145,0)</f>
        <v>0</v>
      </c>
    </row>
    <row r="146" spans="1:8" x14ac:dyDescent="0.25">
      <c r="A146" t="s">
        <v>225</v>
      </c>
      <c r="B146" t="s">
        <v>3509</v>
      </c>
      <c r="C146" s="4">
        <f>('Reels'!D13/('Reels'!D4+'Reels'!D7+'Reels'!D10+'Reels'!D13+'Reels'!D16+'Reels'!D19))*('Reels'!D31/('Reels'!D22+'Reels'!D25+'Reels'!D28+'Reels'!D31+'Reels'!D34+'Reels'!D37+'Reels'!D40))*('Reels'!D44/('Reels'!D44+'Reels'!D47+'Reels'!D50+'Reels'!D53+'Reels'!D56+'Reels'!D59))</f>
        <v>0.002727272727272728</v>
      </c>
      <c r="D146">
        <f>IF(OR('Reels'!D11="attack",'Reels'!D11="magic"),CHOOSE('Reels'!D12+1,'Slots'!D29,'Slots'!D30,'Slots'!D31,'Slots'!D32,'Slots'!D33),0)+IF(OR('Reels'!D29="attack",'Reels'!D29="magic"),CHOOSE('Reels'!D30+1,'Slots'!D29,'Slots'!D30,'Slots'!D31,'Slots'!D32,'Slots'!D33),0)+IF(OR('Reels'!D42="attack",'Reels'!D42="magic"),CHOOSE('Reels'!D43+1,'Slots'!D29,'Slots'!D30,'Slots'!D31,'Slots'!D32,'Slots'!D33),0)</f>
        <v>2</v>
      </c>
      <c r="E146">
        <f>IF('Reels'!D11="heal",'Reels'!D12*'Slots'!D24,0)+IF('Reels'!D29="heal",'Reels'!D30*'Slots'!D24,0)+IF('Reels'!D42="heal",'Reels'!D43*'Slots'!D24,0)</f>
        <v>0</v>
      </c>
      <c r="F146">
        <f>IF('Reels'!D11="block",'Reels'!D12*'Slots'!D25,0)+IF('Reels'!D29="block",'Reels'!D30*'Slots'!D25,0)+IF('Reels'!D42="block",'Reels'!D43*'Slots'!D25,0)</f>
        <v>4</v>
      </c>
      <c r="G146" t="b">
        <f>AND('Reels'!D11&lt;&gt;"blank",'Reels'!D11&lt;&gt;"class",'Reels'!D11='Reels'!D42,'Reels'!D12='Reels'!D43,OR('Reels'!D29="class",AND('Reels'!D29='Reels'!D11,'Reels'!D30='Reels'!D12)))</f>
        <v>0</v>
      </c>
      <c r="H146">
        <f>IF(G146,C146,0)</f>
        <v>0</v>
      </c>
    </row>
    <row r="147" spans="1:8" x14ac:dyDescent="0.25">
      <c r="A147" t="s">
        <v>225</v>
      </c>
      <c r="B147" t="s">
        <v>3510</v>
      </c>
      <c r="C147" s="4">
        <f>('Reels'!D13/('Reels'!D4+'Reels'!D7+'Reels'!D10+'Reels'!D13+'Reels'!D16+'Reels'!D19))*('Reels'!D31/('Reels'!D22+'Reels'!D25+'Reels'!D28+'Reels'!D31+'Reels'!D34+'Reels'!D37+'Reels'!D40))*('Reels'!D47/('Reels'!D44+'Reels'!D47+'Reels'!D50+'Reels'!D53+'Reels'!D56+'Reels'!D59))</f>
        <v>0.0015151515151515154</v>
      </c>
      <c r="D147">
        <f>IF(OR('Reels'!D11="attack",'Reels'!D11="magic"),CHOOSE('Reels'!D12+1,'Slots'!D29,'Slots'!D30,'Slots'!D31,'Slots'!D32,'Slots'!D33),0)+IF(OR('Reels'!D29="attack",'Reels'!D29="magic"),CHOOSE('Reels'!D30+1,'Slots'!D29,'Slots'!D30,'Slots'!D31,'Slots'!D32,'Slots'!D33),0)+IF(OR('Reels'!D45="attack",'Reels'!D45="magic"),CHOOSE('Reels'!D46+1,'Slots'!D29,'Slots'!D30,'Slots'!D31,'Slots'!D32,'Slots'!D33),0)</f>
        <v>4</v>
      </c>
      <c r="E147">
        <f>IF('Reels'!D11="heal",'Reels'!D12*'Slots'!D24,0)+IF('Reels'!D29="heal",'Reels'!D30*'Slots'!D24,0)+IF('Reels'!D45="heal",'Reels'!D46*'Slots'!D24,0)</f>
        <v>0</v>
      </c>
      <c r="F147">
        <f>IF('Reels'!D11="block",'Reels'!D12*'Slots'!D25,0)+IF('Reels'!D29="block",'Reels'!D30*'Slots'!D25,0)+IF('Reels'!D45="block",'Reels'!D46*'Slots'!D25,0)</f>
        <v>4</v>
      </c>
      <c r="G147" t="b">
        <f>AND('Reels'!D11&lt;&gt;"blank",'Reels'!D11&lt;&gt;"class",'Reels'!D11='Reels'!D45,'Reels'!D12='Reels'!D46,OR('Reels'!D29="class",AND('Reels'!D29='Reels'!D11,'Reels'!D30='Reels'!D12)))</f>
        <v>0</v>
      </c>
      <c r="H147">
        <f>IF(G147,C147,0)</f>
        <v>0</v>
      </c>
    </row>
    <row r="148" spans="1:8" x14ac:dyDescent="0.25">
      <c r="A148" t="s">
        <v>225</v>
      </c>
      <c r="B148" t="s">
        <v>3511</v>
      </c>
      <c r="C148" s="4">
        <f>('Reels'!D13/('Reels'!D4+'Reels'!D7+'Reels'!D10+'Reels'!D13+'Reels'!D16+'Reels'!D19))*('Reels'!D31/('Reels'!D22+'Reels'!D25+'Reels'!D28+'Reels'!D31+'Reels'!D34+'Reels'!D37+'Reels'!D40))*('Reels'!D50/('Reels'!D44+'Reels'!D47+'Reels'!D50+'Reels'!D53+'Reels'!D56+'Reels'!D59))</f>
        <v>0.0021212121212121214</v>
      </c>
      <c r="D148">
        <f>IF(OR('Reels'!D11="attack",'Reels'!D11="magic"),CHOOSE('Reels'!D12+1,'Slots'!D29,'Slots'!D30,'Slots'!D31,'Slots'!D32,'Slots'!D33),0)+IF(OR('Reels'!D29="attack",'Reels'!D29="magic"),CHOOSE('Reels'!D30+1,'Slots'!D29,'Slots'!D30,'Slots'!D31,'Slots'!D32,'Slots'!D33),0)+IF(OR('Reels'!D48="attack",'Reels'!D48="magic"),CHOOSE('Reels'!D49+1,'Slots'!D29,'Slots'!D30,'Slots'!D31,'Slots'!D32,'Slots'!D33),0)</f>
        <v>0</v>
      </c>
      <c r="E148">
        <f>IF('Reels'!D11="heal",'Reels'!D12*'Slots'!D24,0)+IF('Reels'!D29="heal",'Reels'!D30*'Slots'!D24,0)+IF('Reels'!D48="heal",'Reels'!D49*'Slots'!D24,0)</f>
        <v>0</v>
      </c>
      <c r="F148">
        <f>IF('Reels'!D11="block",'Reels'!D12*'Slots'!D25,0)+IF('Reels'!D29="block",'Reels'!D30*'Slots'!D25,0)+IF('Reels'!D48="block",'Reels'!D49*'Slots'!D25,0)</f>
        <v>5</v>
      </c>
      <c r="G148" t="b">
        <f>AND('Reels'!D11&lt;&gt;"blank",'Reels'!D11&lt;&gt;"class",'Reels'!D11='Reels'!D48,'Reels'!D12='Reels'!D49,OR('Reels'!D29="class",AND('Reels'!D29='Reels'!D11,'Reels'!D30='Reels'!D12)))</f>
        <v>0</v>
      </c>
      <c r="H148">
        <f>IF(G148,C148,0)</f>
        <v>0</v>
      </c>
    </row>
    <row r="149" spans="1:8" x14ac:dyDescent="0.25">
      <c r="A149" t="s">
        <v>225</v>
      </c>
      <c r="B149" t="s">
        <v>3512</v>
      </c>
      <c r="C149" s="4">
        <f>('Reels'!D13/('Reels'!D4+'Reels'!D7+'Reels'!D10+'Reels'!D13+'Reels'!D16+'Reels'!D19))*('Reels'!D31/('Reels'!D22+'Reels'!D25+'Reels'!D28+'Reels'!D31+'Reels'!D34+'Reels'!D37+'Reels'!D40))*('Reels'!D53/('Reels'!D44+'Reels'!D47+'Reels'!D50+'Reels'!D53+'Reels'!D56+'Reels'!D59))</f>
        <v>0.0009090909090909092</v>
      </c>
      <c r="D149">
        <f>IF(OR('Reels'!D11="attack",'Reels'!D11="magic"),CHOOSE('Reels'!D12+1,'Slots'!D29,'Slots'!D30,'Slots'!D31,'Slots'!D32,'Slots'!D33),0)+IF(OR('Reels'!D29="attack",'Reels'!D29="magic"),CHOOSE('Reels'!D30+1,'Slots'!D29,'Slots'!D30,'Slots'!D31,'Slots'!D32,'Slots'!D33),0)+IF(OR('Reels'!D51="attack",'Reels'!D51="magic"),CHOOSE('Reels'!D52+1,'Slots'!D29,'Slots'!D30,'Slots'!D31,'Slots'!D32,'Slots'!D33),0)</f>
        <v>0</v>
      </c>
      <c r="E149">
        <f>IF('Reels'!D11="heal",'Reels'!D12*'Slots'!D24,0)+IF('Reels'!D29="heal",'Reels'!D30*'Slots'!D24,0)+IF('Reels'!D51="heal",'Reels'!D52*'Slots'!D24,0)</f>
        <v>0</v>
      </c>
      <c r="F149">
        <f>IF('Reels'!D11="block",'Reels'!D12*'Slots'!D25,0)+IF('Reels'!D29="block",'Reels'!D30*'Slots'!D25,0)+IF('Reels'!D51="block",'Reels'!D52*'Slots'!D25,0)</f>
        <v>6</v>
      </c>
      <c r="G149" t="b">
        <f>AND('Reels'!D11&lt;&gt;"blank",'Reels'!D11&lt;&gt;"class",'Reels'!D11='Reels'!D51,'Reels'!D12='Reels'!D52,OR('Reels'!D29="class",AND('Reels'!D29='Reels'!D11,'Reels'!D30='Reels'!D12)))</f>
        <v>1</v>
      </c>
      <c r="H149">
        <f>IF(G149,C149,0)</f>
        <v>0.0009090909090909092</v>
      </c>
    </row>
    <row r="150" spans="1:8" x14ac:dyDescent="0.25">
      <c r="A150" t="s">
        <v>225</v>
      </c>
      <c r="B150" t="s">
        <v>3513</v>
      </c>
      <c r="C150" s="4">
        <f>('Reels'!D13/('Reels'!D4+'Reels'!D7+'Reels'!D10+'Reels'!D13+'Reels'!D16+'Reels'!D19))*('Reels'!D31/('Reels'!D22+'Reels'!D25+'Reels'!D28+'Reels'!D31+'Reels'!D34+'Reels'!D37+'Reels'!D40))*('Reels'!D56/('Reels'!D44+'Reels'!D47+'Reels'!D50+'Reels'!D53+'Reels'!D56+'Reels'!D59))</f>
        <v>0.0003030303030303031</v>
      </c>
      <c r="D150">
        <f>IF(OR('Reels'!D11="attack",'Reels'!D11="magic"),CHOOSE('Reels'!D12+1,'Slots'!D29,'Slots'!D30,'Slots'!D31,'Slots'!D32,'Slots'!D33),0)+IF(OR('Reels'!D29="attack",'Reels'!D29="magic"),CHOOSE('Reels'!D30+1,'Slots'!D29,'Slots'!D30,'Slots'!D31,'Slots'!D32,'Slots'!D33),0)+IF(OR('Reels'!D54="attack",'Reels'!D54="magic"),CHOOSE('Reels'!D55+1,'Slots'!D29,'Slots'!D30,'Slots'!D31,'Slots'!D32,'Slots'!D33),0)</f>
        <v>0</v>
      </c>
      <c r="E150">
        <f>IF('Reels'!D11="heal",'Reels'!D12*'Slots'!D24,0)+IF('Reels'!D29="heal",'Reels'!D30*'Slots'!D24,0)+IF('Reels'!D54="heal",'Reels'!D55*'Slots'!D24,0)</f>
        <v>2</v>
      </c>
      <c r="F150">
        <f>IF('Reels'!D11="block",'Reels'!D12*'Slots'!D25,0)+IF('Reels'!D29="block",'Reels'!D30*'Slots'!D25,0)+IF('Reels'!D54="block",'Reels'!D55*'Slots'!D25,0)</f>
        <v>4</v>
      </c>
      <c r="G150" t="b">
        <f>AND('Reels'!D11&lt;&gt;"blank",'Reels'!D11&lt;&gt;"class",'Reels'!D11='Reels'!D54,'Reels'!D12='Reels'!D55,OR('Reels'!D29="class",AND('Reels'!D29='Reels'!D11,'Reels'!D30='Reels'!D12)))</f>
        <v>0</v>
      </c>
      <c r="H150">
        <f>IF(G150,C150,0)</f>
        <v>0</v>
      </c>
    </row>
    <row r="151" spans="1:8" x14ac:dyDescent="0.25">
      <c r="A151" t="s">
        <v>225</v>
      </c>
      <c r="B151" t="s">
        <v>3514</v>
      </c>
      <c r="C151" s="4">
        <f>('Reels'!D13/('Reels'!D4+'Reels'!D7+'Reels'!D10+'Reels'!D13+'Reels'!D16+'Reels'!D19))*('Reels'!D31/('Reels'!D22+'Reels'!D25+'Reels'!D28+'Reels'!D31+'Reels'!D34+'Reels'!D37+'Reels'!D40))*('Reels'!D59/('Reels'!D44+'Reels'!D47+'Reels'!D50+'Reels'!D53+'Reels'!D56+'Reels'!D59))</f>
        <v>0.0015151515151515154</v>
      </c>
      <c r="D151">
        <f>IF(OR('Reels'!D11="attack",'Reels'!D11="magic"),CHOOSE('Reels'!D12+1,'Slots'!D29,'Slots'!D30,'Slots'!D31,'Slots'!D32,'Slots'!D33),0)+IF(OR('Reels'!D29="attack",'Reels'!D29="magic"),CHOOSE('Reels'!D30+1,'Slots'!D29,'Slots'!D30,'Slots'!D31,'Slots'!D32,'Slots'!D33),0)+IF(OR('Reels'!D57="attack",'Reels'!D57="magic"),CHOOSE('Reels'!D58+1,'Slots'!D29,'Slots'!D30,'Slots'!D31,'Slots'!D32,'Slots'!D33),0)</f>
        <v>0</v>
      </c>
      <c r="E151">
        <f>IF('Reels'!D11="heal",'Reels'!D12*'Slots'!D24,0)+IF('Reels'!D29="heal",'Reels'!D30*'Slots'!D24,0)+IF('Reels'!D57="heal",'Reels'!D58*'Slots'!D24,0)</f>
        <v>0</v>
      </c>
      <c r="F151">
        <f>IF('Reels'!D11="block",'Reels'!D12*'Slots'!D25,0)+IF('Reels'!D29="block",'Reels'!D30*'Slots'!D25,0)+IF('Reels'!D57="block",'Reels'!D58*'Slots'!D25,0)</f>
        <v>4</v>
      </c>
      <c r="G151" t="b">
        <f>AND('Reels'!D11&lt;&gt;"blank",'Reels'!D11&lt;&gt;"class",'Reels'!D11='Reels'!D57,'Reels'!D12='Reels'!D58,OR('Reels'!D29="class",AND('Reels'!D29='Reels'!D11,'Reels'!D30='Reels'!D12)))</f>
        <v>0</v>
      </c>
      <c r="H151">
        <f>IF(G151,C151,0)</f>
        <v>0</v>
      </c>
    </row>
    <row r="152" spans="1:8" x14ac:dyDescent="0.25">
      <c r="A152" t="s">
        <v>225</v>
      </c>
      <c r="B152" t="s">
        <v>3515</v>
      </c>
      <c r="C152" s="4">
        <f>('Reels'!D13/('Reels'!D4+'Reels'!D7+'Reels'!D10+'Reels'!D13+'Reels'!D16+'Reels'!D19))*('Reels'!D34/('Reels'!D22+'Reels'!D25+'Reels'!D28+'Reels'!D31+'Reels'!D34+'Reels'!D37+'Reels'!D40))*('Reels'!D44/('Reels'!D44+'Reels'!D47+'Reels'!D50+'Reels'!D53+'Reels'!D56+'Reels'!D59))</f>
        <v>0.0009090909090909091</v>
      </c>
      <c r="D152">
        <f>IF(OR('Reels'!D11="attack",'Reels'!D11="magic"),CHOOSE('Reels'!D12+1,'Slots'!D29,'Slots'!D30,'Slots'!D31,'Slots'!D32,'Slots'!D33),0)+IF(OR('Reels'!D32="attack",'Reels'!D32="magic"),CHOOSE('Reels'!D33+1,'Slots'!D29,'Slots'!D30,'Slots'!D31,'Slots'!D32,'Slots'!D33),0)+IF(OR('Reels'!D42="attack",'Reels'!D42="magic"),CHOOSE('Reels'!D43+1,'Slots'!D29,'Slots'!D30,'Slots'!D31,'Slots'!D32,'Slots'!D33),0)</f>
        <v>2</v>
      </c>
      <c r="E152">
        <f>IF('Reels'!D11="heal",'Reels'!D12*'Slots'!D24,0)+IF('Reels'!D32="heal",'Reels'!D33*'Slots'!D24,0)+IF('Reels'!D42="heal",'Reels'!D43*'Slots'!D24,0)</f>
        <v>2</v>
      </c>
      <c r="F152">
        <f>IF('Reels'!D11="block",'Reels'!D12*'Slots'!D25,0)+IF('Reels'!D32="block",'Reels'!D33*'Slots'!D25,0)+IF('Reels'!D42="block",'Reels'!D43*'Slots'!D25,0)</f>
        <v>2</v>
      </c>
      <c r="G152" t="b">
        <f>AND('Reels'!D11&lt;&gt;"blank",'Reels'!D11&lt;&gt;"class",'Reels'!D11='Reels'!D42,'Reels'!D12='Reels'!D43,OR('Reels'!D32="class",AND('Reels'!D32='Reels'!D11,'Reels'!D33='Reels'!D12)))</f>
        <v>0</v>
      </c>
      <c r="H152">
        <f>IF(G152,C152,0)</f>
        <v>0</v>
      </c>
    </row>
    <row r="153" spans="1:8" x14ac:dyDescent="0.25">
      <c r="A153" t="s">
        <v>225</v>
      </c>
      <c r="B153" t="s">
        <v>3516</v>
      </c>
      <c r="C153" s="4">
        <f>('Reels'!D13/('Reels'!D4+'Reels'!D7+'Reels'!D10+'Reels'!D13+'Reels'!D16+'Reels'!D19))*('Reels'!D34/('Reels'!D22+'Reels'!D25+'Reels'!D28+'Reels'!D31+'Reels'!D34+'Reels'!D37+'Reels'!D40))*('Reels'!D47/('Reels'!D44+'Reels'!D47+'Reels'!D50+'Reels'!D53+'Reels'!D56+'Reels'!D59))</f>
        <v>0.000505050505050505</v>
      </c>
      <c r="D153">
        <f>IF(OR('Reels'!D11="attack",'Reels'!D11="magic"),CHOOSE('Reels'!D12+1,'Slots'!D29,'Slots'!D30,'Slots'!D31,'Slots'!D32,'Slots'!D33),0)+IF(OR('Reels'!D32="attack",'Reels'!D32="magic"),CHOOSE('Reels'!D33+1,'Slots'!D29,'Slots'!D30,'Slots'!D31,'Slots'!D32,'Slots'!D33),0)+IF(OR('Reels'!D45="attack",'Reels'!D45="magic"),CHOOSE('Reels'!D46+1,'Slots'!D29,'Slots'!D30,'Slots'!D31,'Slots'!D32,'Slots'!D33),0)</f>
        <v>4</v>
      </c>
      <c r="E153">
        <f>IF('Reels'!D11="heal",'Reels'!D12*'Slots'!D24,0)+IF('Reels'!D32="heal",'Reels'!D33*'Slots'!D24,0)+IF('Reels'!D45="heal",'Reels'!D46*'Slots'!D24,0)</f>
        <v>2</v>
      </c>
      <c r="F153">
        <f>IF('Reels'!D11="block",'Reels'!D12*'Slots'!D25,0)+IF('Reels'!D32="block",'Reels'!D33*'Slots'!D25,0)+IF('Reels'!D45="block",'Reels'!D46*'Slots'!D25,0)</f>
        <v>2</v>
      </c>
      <c r="G153" t="b">
        <f>AND('Reels'!D11&lt;&gt;"blank",'Reels'!D11&lt;&gt;"class",'Reels'!D11='Reels'!D45,'Reels'!D12='Reels'!D46,OR('Reels'!D32="class",AND('Reels'!D32='Reels'!D11,'Reels'!D33='Reels'!D12)))</f>
        <v>0</v>
      </c>
      <c r="H153">
        <f>IF(G153,C153,0)</f>
        <v>0</v>
      </c>
    </row>
    <row r="154" spans="1:8" x14ac:dyDescent="0.25">
      <c r="A154" t="s">
        <v>225</v>
      </c>
      <c r="B154" t="s">
        <v>3517</v>
      </c>
      <c r="C154" s="4">
        <f>('Reels'!D13/('Reels'!D4+'Reels'!D7+'Reels'!D10+'Reels'!D13+'Reels'!D16+'Reels'!D19))*('Reels'!D34/('Reels'!D22+'Reels'!D25+'Reels'!D28+'Reels'!D31+'Reels'!D34+'Reels'!D37+'Reels'!D40))*('Reels'!D50/('Reels'!D44+'Reels'!D47+'Reels'!D50+'Reels'!D53+'Reels'!D56+'Reels'!D59))</f>
        <v>0.0007070707070707071</v>
      </c>
      <c r="D154">
        <f>IF(OR('Reels'!D11="attack",'Reels'!D11="magic"),CHOOSE('Reels'!D12+1,'Slots'!D29,'Slots'!D30,'Slots'!D31,'Slots'!D32,'Slots'!D33),0)+IF(OR('Reels'!D32="attack",'Reels'!D32="magic"),CHOOSE('Reels'!D33+1,'Slots'!D29,'Slots'!D30,'Slots'!D31,'Slots'!D32,'Slots'!D33),0)+IF(OR('Reels'!D48="attack",'Reels'!D48="magic"),CHOOSE('Reels'!D49+1,'Slots'!D29,'Slots'!D30,'Slots'!D31,'Slots'!D32,'Slots'!D33),0)</f>
        <v>0</v>
      </c>
      <c r="E154">
        <f>IF('Reels'!D11="heal",'Reels'!D12*'Slots'!D24,0)+IF('Reels'!D32="heal",'Reels'!D33*'Slots'!D24,0)+IF('Reels'!D48="heal",'Reels'!D49*'Slots'!D24,0)</f>
        <v>2</v>
      </c>
      <c r="F154">
        <f>IF('Reels'!D11="block",'Reels'!D12*'Slots'!D25,0)+IF('Reels'!D32="block",'Reels'!D33*'Slots'!D25,0)+IF('Reels'!D48="block",'Reels'!D49*'Slots'!D25,0)</f>
        <v>3</v>
      </c>
      <c r="G154" t="b">
        <f>AND('Reels'!D11&lt;&gt;"blank",'Reels'!D11&lt;&gt;"class",'Reels'!D11='Reels'!D48,'Reels'!D12='Reels'!D49,OR('Reels'!D32="class",AND('Reels'!D32='Reels'!D11,'Reels'!D33='Reels'!D12)))</f>
        <v>0</v>
      </c>
      <c r="H154">
        <f>IF(G154,C154,0)</f>
        <v>0</v>
      </c>
    </row>
    <row r="155" spans="1:8" x14ac:dyDescent="0.25">
      <c r="A155" t="s">
        <v>225</v>
      </c>
      <c r="B155" t="s">
        <v>3518</v>
      </c>
      <c r="C155" s="4">
        <f>('Reels'!D13/('Reels'!D4+'Reels'!D7+'Reels'!D10+'Reels'!D13+'Reels'!D16+'Reels'!D19))*('Reels'!D34/('Reels'!D22+'Reels'!D25+'Reels'!D28+'Reels'!D31+'Reels'!D34+'Reels'!D37+'Reels'!D40))*('Reels'!D53/('Reels'!D44+'Reels'!D47+'Reels'!D50+'Reels'!D53+'Reels'!D56+'Reels'!D59))</f>
        <v>0.00030303030303030303</v>
      </c>
      <c r="D155">
        <f>IF(OR('Reels'!D11="attack",'Reels'!D11="magic"),CHOOSE('Reels'!D12+1,'Slots'!D29,'Slots'!D30,'Slots'!D31,'Slots'!D32,'Slots'!D33),0)+IF(OR('Reels'!D32="attack",'Reels'!D32="magic"),CHOOSE('Reels'!D33+1,'Slots'!D29,'Slots'!D30,'Slots'!D31,'Slots'!D32,'Slots'!D33),0)+IF(OR('Reels'!D51="attack",'Reels'!D51="magic"),CHOOSE('Reels'!D52+1,'Slots'!D29,'Slots'!D30,'Slots'!D31,'Slots'!D32,'Slots'!D33),0)</f>
        <v>0</v>
      </c>
      <c r="E155">
        <f>IF('Reels'!D11="heal",'Reels'!D12*'Slots'!D24,0)+IF('Reels'!D32="heal",'Reels'!D33*'Slots'!D24,0)+IF('Reels'!D51="heal",'Reels'!D52*'Slots'!D24,0)</f>
        <v>2</v>
      </c>
      <c r="F155">
        <f>IF('Reels'!D11="block",'Reels'!D12*'Slots'!D25,0)+IF('Reels'!D32="block",'Reels'!D33*'Slots'!D25,0)+IF('Reels'!D51="block",'Reels'!D52*'Slots'!D25,0)</f>
        <v>4</v>
      </c>
      <c r="G155" t="b">
        <f>AND('Reels'!D11&lt;&gt;"blank",'Reels'!D11&lt;&gt;"class",'Reels'!D11='Reels'!D51,'Reels'!D12='Reels'!D52,OR('Reels'!D32="class",AND('Reels'!D32='Reels'!D11,'Reels'!D33='Reels'!D12)))</f>
        <v>0</v>
      </c>
      <c r="H155">
        <f>IF(G155,C155,0)</f>
        <v>0</v>
      </c>
    </row>
    <row r="156" spans="1:8" x14ac:dyDescent="0.25">
      <c r="A156" t="s">
        <v>225</v>
      </c>
      <c r="B156" t="s">
        <v>3519</v>
      </c>
      <c r="C156" s="4">
        <f>('Reels'!D13/('Reels'!D4+'Reels'!D7+'Reels'!D10+'Reels'!D13+'Reels'!D16+'Reels'!D19))*('Reels'!D34/('Reels'!D22+'Reels'!D25+'Reels'!D28+'Reels'!D31+'Reels'!D34+'Reels'!D37+'Reels'!D40))*('Reels'!D56/('Reels'!D44+'Reels'!D47+'Reels'!D50+'Reels'!D53+'Reels'!D56+'Reels'!D59))</f>
        <v>0.00010101010101010101</v>
      </c>
      <c r="D156">
        <f>IF(OR('Reels'!D11="attack",'Reels'!D11="magic"),CHOOSE('Reels'!D12+1,'Slots'!D29,'Slots'!D30,'Slots'!D31,'Slots'!D32,'Slots'!D33),0)+IF(OR('Reels'!D32="attack",'Reels'!D32="magic"),CHOOSE('Reels'!D33+1,'Slots'!D29,'Slots'!D30,'Slots'!D31,'Slots'!D32,'Slots'!D33),0)+IF(OR('Reels'!D54="attack",'Reels'!D54="magic"),CHOOSE('Reels'!D55+1,'Slots'!D29,'Slots'!D30,'Slots'!D31,'Slots'!D32,'Slots'!D33),0)</f>
        <v>0</v>
      </c>
      <c r="E156">
        <f>IF('Reels'!D11="heal",'Reels'!D12*'Slots'!D24,0)+IF('Reels'!D32="heal",'Reels'!D33*'Slots'!D24,0)+IF('Reels'!D54="heal",'Reels'!D55*'Slots'!D24,0)</f>
        <v>4</v>
      </c>
      <c r="F156">
        <f>IF('Reels'!D11="block",'Reels'!D12*'Slots'!D25,0)+IF('Reels'!D32="block",'Reels'!D33*'Slots'!D25,0)+IF('Reels'!D54="block",'Reels'!D55*'Slots'!D25,0)</f>
        <v>2</v>
      </c>
      <c r="G156" t="b">
        <f>AND('Reels'!D11&lt;&gt;"blank",'Reels'!D11&lt;&gt;"class",'Reels'!D11='Reels'!D54,'Reels'!D12='Reels'!D55,OR('Reels'!D32="class",AND('Reels'!D32='Reels'!D11,'Reels'!D33='Reels'!D12)))</f>
        <v>0</v>
      </c>
      <c r="H156">
        <f>IF(G156,C156,0)</f>
        <v>0</v>
      </c>
    </row>
    <row r="157" spans="1:8" x14ac:dyDescent="0.25">
      <c r="A157" t="s">
        <v>225</v>
      </c>
      <c r="B157" t="s">
        <v>3520</v>
      </c>
      <c r="C157" s="4">
        <f>('Reels'!D13/('Reels'!D4+'Reels'!D7+'Reels'!D10+'Reels'!D13+'Reels'!D16+'Reels'!D19))*('Reels'!D34/('Reels'!D22+'Reels'!D25+'Reels'!D28+'Reels'!D31+'Reels'!D34+'Reels'!D37+'Reels'!D40))*('Reels'!D59/('Reels'!D44+'Reels'!D47+'Reels'!D50+'Reels'!D53+'Reels'!D56+'Reels'!D59))</f>
        <v>0.000505050505050505</v>
      </c>
      <c r="D157">
        <f>IF(OR('Reels'!D11="attack",'Reels'!D11="magic"),CHOOSE('Reels'!D12+1,'Slots'!D29,'Slots'!D30,'Slots'!D31,'Slots'!D32,'Slots'!D33),0)+IF(OR('Reels'!D32="attack",'Reels'!D32="magic"),CHOOSE('Reels'!D33+1,'Slots'!D29,'Slots'!D30,'Slots'!D31,'Slots'!D32,'Slots'!D33),0)+IF(OR('Reels'!D57="attack",'Reels'!D57="magic"),CHOOSE('Reels'!D58+1,'Slots'!D29,'Slots'!D30,'Slots'!D31,'Slots'!D32,'Slots'!D33),0)</f>
        <v>0</v>
      </c>
      <c r="E157">
        <f>IF('Reels'!D11="heal",'Reels'!D12*'Slots'!D24,0)+IF('Reels'!D32="heal",'Reels'!D33*'Slots'!D24,0)+IF('Reels'!D57="heal",'Reels'!D58*'Slots'!D24,0)</f>
        <v>2</v>
      </c>
      <c r="F157">
        <f>IF('Reels'!D11="block",'Reels'!D12*'Slots'!D25,0)+IF('Reels'!D32="block",'Reels'!D33*'Slots'!D25,0)+IF('Reels'!D57="block",'Reels'!D58*'Slots'!D25,0)</f>
        <v>2</v>
      </c>
      <c r="G157" t="b">
        <f>AND('Reels'!D11&lt;&gt;"blank",'Reels'!D11&lt;&gt;"class",'Reels'!D11='Reels'!D57,'Reels'!D12='Reels'!D58,OR('Reels'!D32="class",AND('Reels'!D32='Reels'!D11,'Reels'!D33='Reels'!D12)))</f>
        <v>0</v>
      </c>
      <c r="H157">
        <f>IF(G157,C157,0)</f>
        <v>0</v>
      </c>
    </row>
    <row r="158" spans="1:8" x14ac:dyDescent="0.25">
      <c r="A158" t="s">
        <v>225</v>
      </c>
      <c r="B158" t="s">
        <v>3521</v>
      </c>
      <c r="C158" s="4">
        <f>('Reels'!D13/('Reels'!D4+'Reels'!D7+'Reels'!D10+'Reels'!D13+'Reels'!D16+'Reels'!D19))*('Reels'!D37/('Reels'!D22+'Reels'!D25+'Reels'!D28+'Reels'!D31+'Reels'!D34+'Reels'!D37+'Reels'!D40))*('Reels'!D44/('Reels'!D44+'Reels'!D47+'Reels'!D50+'Reels'!D53+'Reels'!D56+'Reels'!D59))</f>
        <v>0.004545454545454545</v>
      </c>
      <c r="D158">
        <f>IF(OR('Reels'!D11="attack",'Reels'!D11="magic"),CHOOSE('Reels'!D12+1,'Slots'!D29,'Slots'!D30,'Slots'!D31,'Slots'!D32,'Slots'!D33),0)+IF(OR('Reels'!D35="attack",'Reels'!D35="magic"),CHOOSE('Reels'!D36+1,'Slots'!D29,'Slots'!D30,'Slots'!D31,'Slots'!D32,'Slots'!D33),0)+IF(OR('Reels'!D42="attack",'Reels'!D42="magic"),CHOOSE('Reels'!D43+1,'Slots'!D29,'Slots'!D30,'Slots'!D31,'Slots'!D32,'Slots'!D33),0)</f>
        <v>2</v>
      </c>
      <c r="E158">
        <f>IF('Reels'!D11="heal",'Reels'!D12*'Slots'!D24,0)+IF('Reels'!D35="heal",'Reels'!D36*'Slots'!D24,0)+IF('Reels'!D42="heal",'Reels'!D43*'Slots'!D24,0)</f>
        <v>0</v>
      </c>
      <c r="F158">
        <f>IF('Reels'!D11="block",'Reels'!D12*'Slots'!D25,0)+IF('Reels'!D35="block",'Reels'!D36*'Slots'!D25,0)+IF('Reels'!D42="block",'Reels'!D43*'Slots'!D25,0)</f>
        <v>2</v>
      </c>
      <c r="G158" t="b">
        <f>AND('Reels'!D11&lt;&gt;"blank",'Reels'!D11&lt;&gt;"class",'Reels'!D11='Reels'!D42,'Reels'!D12='Reels'!D43,OR('Reels'!D35="class",AND('Reels'!D35='Reels'!D11,'Reels'!D36='Reels'!D12)))</f>
        <v>0</v>
      </c>
      <c r="H158">
        <f>IF(G158,C158,0)</f>
        <v>0</v>
      </c>
    </row>
    <row r="159" spans="1:8" x14ac:dyDescent="0.25">
      <c r="A159" t="s">
        <v>225</v>
      </c>
      <c r="B159" t="s">
        <v>3522</v>
      </c>
      <c r="C159" s="4">
        <f>('Reels'!D13/('Reels'!D4+'Reels'!D7+'Reels'!D10+'Reels'!D13+'Reels'!D16+'Reels'!D19))*('Reels'!D37/('Reels'!D22+'Reels'!D25+'Reels'!D28+'Reels'!D31+'Reels'!D34+'Reels'!D37+'Reels'!D40))*('Reels'!D47/('Reels'!D44+'Reels'!D47+'Reels'!D50+'Reels'!D53+'Reels'!D56+'Reels'!D59))</f>
        <v>0.0025252525252525255</v>
      </c>
      <c r="D159">
        <f>IF(OR('Reels'!D11="attack",'Reels'!D11="magic"),CHOOSE('Reels'!D12+1,'Slots'!D29,'Slots'!D30,'Slots'!D31,'Slots'!D32,'Slots'!D33),0)+IF(OR('Reels'!D35="attack",'Reels'!D35="magic"),CHOOSE('Reels'!D36+1,'Slots'!D29,'Slots'!D30,'Slots'!D31,'Slots'!D32,'Slots'!D33),0)+IF(OR('Reels'!D45="attack",'Reels'!D45="magic"),CHOOSE('Reels'!D46+1,'Slots'!D29,'Slots'!D30,'Slots'!D31,'Slots'!D32,'Slots'!D33),0)</f>
        <v>4</v>
      </c>
      <c r="E159">
        <f>IF('Reels'!D11="heal",'Reels'!D12*'Slots'!D24,0)+IF('Reels'!D35="heal",'Reels'!D36*'Slots'!D24,0)+IF('Reels'!D45="heal",'Reels'!D46*'Slots'!D24,0)</f>
        <v>0</v>
      </c>
      <c r="F159">
        <f>IF('Reels'!D11="block",'Reels'!D12*'Slots'!D25,0)+IF('Reels'!D35="block",'Reels'!D36*'Slots'!D25,0)+IF('Reels'!D45="block",'Reels'!D46*'Slots'!D25,0)</f>
        <v>2</v>
      </c>
      <c r="G159" t="b">
        <f>AND('Reels'!D11&lt;&gt;"blank",'Reels'!D11&lt;&gt;"class",'Reels'!D11='Reels'!D45,'Reels'!D12='Reels'!D46,OR('Reels'!D35="class",AND('Reels'!D35='Reels'!D11,'Reels'!D36='Reels'!D12)))</f>
        <v>0</v>
      </c>
      <c r="H159">
        <f>IF(G159,C159,0)</f>
        <v>0</v>
      </c>
    </row>
    <row r="160" spans="1:8" x14ac:dyDescent="0.25">
      <c r="A160" t="s">
        <v>225</v>
      </c>
      <c r="B160" t="s">
        <v>3523</v>
      </c>
      <c r="C160" s="4">
        <f>('Reels'!D13/('Reels'!D4+'Reels'!D7+'Reels'!D10+'Reels'!D13+'Reels'!D16+'Reels'!D19))*('Reels'!D37/('Reels'!D22+'Reels'!D25+'Reels'!D28+'Reels'!D31+'Reels'!D34+'Reels'!D37+'Reels'!D40))*('Reels'!D50/('Reels'!D44+'Reels'!D47+'Reels'!D50+'Reels'!D53+'Reels'!D56+'Reels'!D59))</f>
        <v>0.0035353535353535356</v>
      </c>
      <c r="D160">
        <f>IF(OR('Reels'!D11="attack",'Reels'!D11="magic"),CHOOSE('Reels'!D12+1,'Slots'!D29,'Slots'!D30,'Slots'!D31,'Slots'!D32,'Slots'!D33),0)+IF(OR('Reels'!D35="attack",'Reels'!D35="magic"),CHOOSE('Reels'!D36+1,'Slots'!D29,'Slots'!D30,'Slots'!D31,'Slots'!D32,'Slots'!D33),0)+IF(OR('Reels'!D48="attack",'Reels'!D48="magic"),CHOOSE('Reels'!D49+1,'Slots'!D29,'Slots'!D30,'Slots'!D31,'Slots'!D32,'Slots'!D33),0)</f>
        <v>0</v>
      </c>
      <c r="E160">
        <f>IF('Reels'!D11="heal",'Reels'!D12*'Slots'!D24,0)+IF('Reels'!D35="heal",'Reels'!D36*'Slots'!D24,0)+IF('Reels'!D48="heal",'Reels'!D49*'Slots'!D24,0)</f>
        <v>0</v>
      </c>
      <c r="F160">
        <f>IF('Reels'!D11="block",'Reels'!D12*'Slots'!D25,0)+IF('Reels'!D35="block",'Reels'!D36*'Slots'!D25,0)+IF('Reels'!D48="block",'Reels'!D49*'Slots'!D25,0)</f>
        <v>3</v>
      </c>
      <c r="G160" t="b">
        <f>AND('Reels'!D11&lt;&gt;"blank",'Reels'!D11&lt;&gt;"class",'Reels'!D11='Reels'!D48,'Reels'!D12='Reels'!D49,OR('Reels'!D35="class",AND('Reels'!D35='Reels'!D11,'Reels'!D36='Reels'!D12)))</f>
        <v>0</v>
      </c>
      <c r="H160">
        <f>IF(G160,C160,0)</f>
        <v>0</v>
      </c>
    </row>
    <row r="161" spans="1:8" x14ac:dyDescent="0.25">
      <c r="A161" t="s">
        <v>225</v>
      </c>
      <c r="B161" t="s">
        <v>3524</v>
      </c>
      <c r="C161" s="4">
        <f>('Reels'!D13/('Reels'!D4+'Reels'!D7+'Reels'!D10+'Reels'!D13+'Reels'!D16+'Reels'!D19))*('Reels'!D37/('Reels'!D22+'Reels'!D25+'Reels'!D28+'Reels'!D31+'Reels'!D34+'Reels'!D37+'Reels'!D40))*('Reels'!D53/('Reels'!D44+'Reels'!D47+'Reels'!D50+'Reels'!D53+'Reels'!D56+'Reels'!D59))</f>
        <v>0.0015151515151515152</v>
      </c>
      <c r="D161">
        <f>IF(OR('Reels'!D11="attack",'Reels'!D11="magic"),CHOOSE('Reels'!D12+1,'Slots'!D29,'Slots'!D30,'Slots'!D31,'Slots'!D32,'Slots'!D33),0)+IF(OR('Reels'!D35="attack",'Reels'!D35="magic"),CHOOSE('Reels'!D36+1,'Slots'!D29,'Slots'!D30,'Slots'!D31,'Slots'!D32,'Slots'!D33),0)+IF(OR('Reels'!D51="attack",'Reels'!D51="magic"),CHOOSE('Reels'!D52+1,'Slots'!D29,'Slots'!D30,'Slots'!D31,'Slots'!D32,'Slots'!D33),0)</f>
        <v>0</v>
      </c>
      <c r="E161">
        <f>IF('Reels'!D11="heal",'Reels'!D12*'Slots'!D24,0)+IF('Reels'!D35="heal",'Reels'!D36*'Slots'!D24,0)+IF('Reels'!D51="heal",'Reels'!D52*'Slots'!D24,0)</f>
        <v>0</v>
      </c>
      <c r="F161">
        <f>IF('Reels'!D11="block",'Reels'!D12*'Slots'!D25,0)+IF('Reels'!D35="block",'Reels'!D36*'Slots'!D25,0)+IF('Reels'!D51="block",'Reels'!D52*'Slots'!D25,0)</f>
        <v>4</v>
      </c>
      <c r="G161" t="b">
        <f>AND('Reels'!D11&lt;&gt;"blank",'Reels'!D11&lt;&gt;"class",'Reels'!D11='Reels'!D51,'Reels'!D12='Reels'!D52,OR('Reels'!D35="class",AND('Reels'!D35='Reels'!D11,'Reels'!D36='Reels'!D12)))</f>
        <v>0</v>
      </c>
      <c r="H161">
        <f>IF(G161,C161,0)</f>
        <v>0</v>
      </c>
    </row>
    <row r="162" spans="1:8" x14ac:dyDescent="0.25">
      <c r="A162" t="s">
        <v>225</v>
      </c>
      <c r="B162" t="s">
        <v>3525</v>
      </c>
      <c r="C162" s="4">
        <f>('Reels'!D13/('Reels'!D4+'Reels'!D7+'Reels'!D10+'Reels'!D13+'Reels'!D16+'Reels'!D19))*('Reels'!D37/('Reels'!D22+'Reels'!D25+'Reels'!D28+'Reels'!D31+'Reels'!D34+'Reels'!D37+'Reels'!D40))*('Reels'!D56/('Reels'!D44+'Reels'!D47+'Reels'!D50+'Reels'!D53+'Reels'!D56+'Reels'!D59))</f>
        <v>0.000505050505050505</v>
      </c>
      <c r="D162">
        <f>IF(OR('Reels'!D11="attack",'Reels'!D11="magic"),CHOOSE('Reels'!D12+1,'Slots'!D29,'Slots'!D30,'Slots'!D31,'Slots'!D32,'Slots'!D33),0)+IF(OR('Reels'!D35="attack",'Reels'!D35="magic"),CHOOSE('Reels'!D36+1,'Slots'!D29,'Slots'!D30,'Slots'!D31,'Slots'!D32,'Slots'!D33),0)+IF(OR('Reels'!D54="attack",'Reels'!D54="magic"),CHOOSE('Reels'!D55+1,'Slots'!D29,'Slots'!D30,'Slots'!D31,'Slots'!D32,'Slots'!D33),0)</f>
        <v>0</v>
      </c>
      <c r="E162">
        <f>IF('Reels'!D11="heal",'Reels'!D12*'Slots'!D24,0)+IF('Reels'!D35="heal",'Reels'!D36*'Slots'!D24,0)+IF('Reels'!D54="heal",'Reels'!D55*'Slots'!D24,0)</f>
        <v>2</v>
      </c>
      <c r="F162">
        <f>IF('Reels'!D11="block",'Reels'!D12*'Slots'!D25,0)+IF('Reels'!D35="block",'Reels'!D36*'Slots'!D25,0)+IF('Reels'!D54="block",'Reels'!D55*'Slots'!D25,0)</f>
        <v>2</v>
      </c>
      <c r="G162" t="b">
        <f>AND('Reels'!D11&lt;&gt;"blank",'Reels'!D11&lt;&gt;"class",'Reels'!D11='Reels'!D54,'Reels'!D12='Reels'!D55,OR('Reels'!D35="class",AND('Reels'!D35='Reels'!D11,'Reels'!D36='Reels'!D12)))</f>
        <v>0</v>
      </c>
      <c r="H162">
        <f>IF(G162,C162,0)</f>
        <v>0</v>
      </c>
    </row>
    <row r="163" spans="1:8" x14ac:dyDescent="0.25">
      <c r="A163" t="s">
        <v>225</v>
      </c>
      <c r="B163" t="s">
        <v>3526</v>
      </c>
      <c r="C163" s="4">
        <f>('Reels'!D13/('Reels'!D4+'Reels'!D7+'Reels'!D10+'Reels'!D13+'Reels'!D16+'Reels'!D19))*('Reels'!D37/('Reels'!D22+'Reels'!D25+'Reels'!D28+'Reels'!D31+'Reels'!D34+'Reels'!D37+'Reels'!D40))*('Reels'!D59/('Reels'!D44+'Reels'!D47+'Reels'!D50+'Reels'!D53+'Reels'!D56+'Reels'!D59))</f>
        <v>0.0025252525252525255</v>
      </c>
      <c r="D163">
        <f>IF(OR('Reels'!D11="attack",'Reels'!D11="magic"),CHOOSE('Reels'!D12+1,'Slots'!D29,'Slots'!D30,'Slots'!D31,'Slots'!D32,'Slots'!D33),0)+IF(OR('Reels'!D35="attack",'Reels'!D35="magic"),CHOOSE('Reels'!D36+1,'Slots'!D29,'Slots'!D30,'Slots'!D31,'Slots'!D32,'Slots'!D33),0)+IF(OR('Reels'!D57="attack",'Reels'!D57="magic"),CHOOSE('Reels'!D58+1,'Slots'!D29,'Slots'!D30,'Slots'!D31,'Slots'!D32,'Slots'!D33),0)</f>
        <v>0</v>
      </c>
      <c r="E163">
        <f>IF('Reels'!D11="heal",'Reels'!D12*'Slots'!D24,0)+IF('Reels'!D35="heal",'Reels'!D36*'Slots'!D24,0)+IF('Reels'!D57="heal",'Reels'!D58*'Slots'!D24,0)</f>
        <v>0</v>
      </c>
      <c r="F163">
        <f>IF('Reels'!D11="block",'Reels'!D12*'Slots'!D25,0)+IF('Reels'!D35="block",'Reels'!D36*'Slots'!D25,0)+IF('Reels'!D57="block",'Reels'!D58*'Slots'!D25,0)</f>
        <v>2</v>
      </c>
      <c r="G163" t="b">
        <f>AND('Reels'!D11&lt;&gt;"blank",'Reels'!D11&lt;&gt;"class",'Reels'!D11='Reels'!D57,'Reels'!D12='Reels'!D58,OR('Reels'!D35="class",AND('Reels'!D35='Reels'!D11,'Reels'!D36='Reels'!D12)))</f>
        <v>0</v>
      </c>
      <c r="H163">
        <f>IF(G163,C163,0)</f>
        <v>0</v>
      </c>
    </row>
    <row r="164" spans="1:8" x14ac:dyDescent="0.25">
      <c r="A164" t="s">
        <v>225</v>
      </c>
      <c r="B164" t="s">
        <v>3527</v>
      </c>
      <c r="C164" s="4">
        <f>('Reels'!D13/('Reels'!D4+'Reels'!D7+'Reels'!D10+'Reels'!D13+'Reels'!D16+'Reels'!D19))*('Reels'!D40/('Reels'!D22+'Reels'!D25+'Reels'!D28+'Reels'!D31+'Reels'!D34+'Reels'!D37+'Reels'!D40))*('Reels'!D44/('Reels'!D44+'Reels'!D47+'Reels'!D50+'Reels'!D53+'Reels'!D56+'Reels'!D59))</f>
        <v>0.002727272727272728</v>
      </c>
      <c r="D164">
        <f>IF(OR('Reels'!D11="attack",'Reels'!D11="magic"),CHOOSE('Reels'!D12+1,'Slots'!D29,'Slots'!D30,'Slots'!D31,'Slots'!D32,'Slots'!D33),0)+IF(OR('Reels'!D38="attack",'Reels'!D38="magic"),CHOOSE('Reels'!D39+1,'Slots'!D29,'Slots'!D30,'Slots'!D31,'Slots'!D32,'Slots'!D33),0)+IF(OR('Reels'!D42="attack",'Reels'!D42="magic"),CHOOSE('Reels'!D43+1,'Slots'!D29,'Slots'!D30,'Slots'!D31,'Slots'!D32,'Slots'!D33),0)</f>
        <v>2</v>
      </c>
      <c r="E164">
        <f>IF('Reels'!D11="heal",'Reels'!D12*'Slots'!D24,0)+IF('Reels'!D38="heal",'Reels'!D39*'Slots'!D24,0)+IF('Reels'!D42="heal",'Reels'!D43*'Slots'!D24,0)</f>
        <v>0</v>
      </c>
      <c r="F164">
        <f>IF('Reels'!D11="block",'Reels'!D12*'Slots'!D25,0)+IF('Reels'!D38="block",'Reels'!D39*'Slots'!D25,0)+IF('Reels'!D42="block",'Reels'!D43*'Slots'!D25,0)</f>
        <v>2</v>
      </c>
      <c r="G164" t="b">
        <f>AND('Reels'!D11&lt;&gt;"blank",'Reels'!D11&lt;&gt;"class",'Reels'!D11='Reels'!D42,'Reels'!D12='Reels'!D43,OR('Reels'!D38="class",AND('Reels'!D38='Reels'!D11,'Reels'!D39='Reels'!D12)))</f>
        <v>0</v>
      </c>
      <c r="H164">
        <f>IF(G164,C164,0)</f>
        <v>0</v>
      </c>
    </row>
    <row r="165" spans="1:8" x14ac:dyDescent="0.25">
      <c r="A165" t="s">
        <v>225</v>
      </c>
      <c r="B165" t="s">
        <v>3528</v>
      </c>
      <c r="C165" s="4">
        <f>('Reels'!D13/('Reels'!D4+'Reels'!D7+'Reels'!D10+'Reels'!D13+'Reels'!D16+'Reels'!D19))*('Reels'!D40/('Reels'!D22+'Reels'!D25+'Reels'!D28+'Reels'!D31+'Reels'!D34+'Reels'!D37+'Reels'!D40))*('Reels'!D47/('Reels'!D44+'Reels'!D47+'Reels'!D50+'Reels'!D53+'Reels'!D56+'Reels'!D59))</f>
        <v>0.0015151515151515154</v>
      </c>
      <c r="D165">
        <f>IF(OR('Reels'!D11="attack",'Reels'!D11="magic"),CHOOSE('Reels'!D12+1,'Slots'!D29,'Slots'!D30,'Slots'!D31,'Slots'!D32,'Slots'!D33),0)+IF(OR('Reels'!D38="attack",'Reels'!D38="magic"),CHOOSE('Reels'!D39+1,'Slots'!D29,'Slots'!D30,'Slots'!D31,'Slots'!D32,'Slots'!D33),0)+IF(OR('Reels'!D45="attack",'Reels'!D45="magic"),CHOOSE('Reels'!D46+1,'Slots'!D29,'Slots'!D30,'Slots'!D31,'Slots'!D32,'Slots'!D33),0)</f>
        <v>4</v>
      </c>
      <c r="E165">
        <f>IF('Reels'!D11="heal",'Reels'!D12*'Slots'!D24,0)+IF('Reels'!D38="heal",'Reels'!D39*'Slots'!D24,0)+IF('Reels'!D45="heal",'Reels'!D46*'Slots'!D24,0)</f>
        <v>0</v>
      </c>
      <c r="F165">
        <f>IF('Reels'!D11="block",'Reels'!D12*'Slots'!D25,0)+IF('Reels'!D38="block",'Reels'!D39*'Slots'!D25,0)+IF('Reels'!D45="block",'Reels'!D46*'Slots'!D25,0)</f>
        <v>2</v>
      </c>
      <c r="G165" t="b">
        <f>AND('Reels'!D11&lt;&gt;"blank",'Reels'!D11&lt;&gt;"class",'Reels'!D11='Reels'!D45,'Reels'!D12='Reels'!D46,OR('Reels'!D38="class",AND('Reels'!D38='Reels'!D11,'Reels'!D39='Reels'!D12)))</f>
        <v>0</v>
      </c>
      <c r="H165">
        <f>IF(G165,C165,0)</f>
        <v>0</v>
      </c>
    </row>
    <row r="166" spans="1:8" x14ac:dyDescent="0.25">
      <c r="A166" t="s">
        <v>225</v>
      </c>
      <c r="B166" t="s">
        <v>3529</v>
      </c>
      <c r="C166" s="4">
        <f>('Reels'!D13/('Reels'!D4+'Reels'!D7+'Reels'!D10+'Reels'!D13+'Reels'!D16+'Reels'!D19))*('Reels'!D40/('Reels'!D22+'Reels'!D25+'Reels'!D28+'Reels'!D31+'Reels'!D34+'Reels'!D37+'Reels'!D40))*('Reels'!D50/('Reels'!D44+'Reels'!D47+'Reels'!D50+'Reels'!D53+'Reels'!D56+'Reels'!D59))</f>
        <v>0.0021212121212121214</v>
      </c>
      <c r="D166">
        <f>IF(OR('Reels'!D11="attack",'Reels'!D11="magic"),CHOOSE('Reels'!D12+1,'Slots'!D29,'Slots'!D30,'Slots'!D31,'Slots'!D32,'Slots'!D33),0)+IF(OR('Reels'!D38="attack",'Reels'!D38="magic"),CHOOSE('Reels'!D39+1,'Slots'!D29,'Slots'!D30,'Slots'!D31,'Slots'!D32,'Slots'!D33),0)+IF(OR('Reels'!D48="attack",'Reels'!D48="magic"),CHOOSE('Reels'!D49+1,'Slots'!D29,'Slots'!D30,'Slots'!D31,'Slots'!D32,'Slots'!D33),0)</f>
        <v>0</v>
      </c>
      <c r="E166">
        <f>IF('Reels'!D11="heal",'Reels'!D12*'Slots'!D24,0)+IF('Reels'!D38="heal",'Reels'!D39*'Slots'!D24,0)+IF('Reels'!D48="heal",'Reels'!D49*'Slots'!D24,0)</f>
        <v>0</v>
      </c>
      <c r="F166">
        <f>IF('Reels'!D11="block",'Reels'!D12*'Slots'!D25,0)+IF('Reels'!D38="block",'Reels'!D39*'Slots'!D25,0)+IF('Reels'!D48="block",'Reels'!D49*'Slots'!D25,0)</f>
        <v>3</v>
      </c>
      <c r="G166" t="b">
        <f>AND('Reels'!D11&lt;&gt;"blank",'Reels'!D11&lt;&gt;"class",'Reels'!D11='Reels'!D48,'Reels'!D12='Reels'!D49,OR('Reels'!D38="class",AND('Reels'!D38='Reels'!D11,'Reels'!D39='Reels'!D12)))</f>
        <v>0</v>
      </c>
      <c r="H166">
        <f>IF(G166,C166,0)</f>
        <v>0</v>
      </c>
    </row>
    <row r="167" spans="1:8" x14ac:dyDescent="0.25">
      <c r="A167" t="s">
        <v>225</v>
      </c>
      <c r="B167" t="s">
        <v>3530</v>
      </c>
      <c r="C167" s="4">
        <f>('Reels'!D13/('Reels'!D4+'Reels'!D7+'Reels'!D10+'Reels'!D13+'Reels'!D16+'Reels'!D19))*('Reels'!D40/('Reels'!D22+'Reels'!D25+'Reels'!D28+'Reels'!D31+'Reels'!D34+'Reels'!D37+'Reels'!D40))*('Reels'!D53/('Reels'!D44+'Reels'!D47+'Reels'!D50+'Reels'!D53+'Reels'!D56+'Reels'!D59))</f>
        <v>0.0009090909090909092</v>
      </c>
      <c r="D167">
        <f>IF(OR('Reels'!D11="attack",'Reels'!D11="magic"),CHOOSE('Reels'!D12+1,'Slots'!D29,'Slots'!D30,'Slots'!D31,'Slots'!D32,'Slots'!D33),0)+IF(OR('Reels'!D38="attack",'Reels'!D38="magic"),CHOOSE('Reels'!D39+1,'Slots'!D29,'Slots'!D30,'Slots'!D31,'Slots'!D32,'Slots'!D33),0)+IF(OR('Reels'!D51="attack",'Reels'!D51="magic"),CHOOSE('Reels'!D52+1,'Slots'!D29,'Slots'!D30,'Slots'!D31,'Slots'!D32,'Slots'!D33),0)</f>
        <v>0</v>
      </c>
      <c r="E167">
        <f>IF('Reels'!D11="heal",'Reels'!D12*'Slots'!D24,0)+IF('Reels'!D38="heal",'Reels'!D39*'Slots'!D24,0)+IF('Reels'!D51="heal",'Reels'!D52*'Slots'!D24,0)</f>
        <v>0</v>
      </c>
      <c r="F167">
        <f>IF('Reels'!D11="block",'Reels'!D12*'Slots'!D25,0)+IF('Reels'!D38="block",'Reels'!D39*'Slots'!D25,0)+IF('Reels'!D51="block",'Reels'!D52*'Slots'!D25,0)</f>
        <v>4</v>
      </c>
      <c r="G167" t="b">
        <f>AND('Reels'!D11&lt;&gt;"blank",'Reels'!D11&lt;&gt;"class",'Reels'!D11='Reels'!D51,'Reels'!D12='Reels'!D52,OR('Reels'!D38="class",AND('Reels'!D38='Reels'!D11,'Reels'!D39='Reels'!D12)))</f>
        <v>1</v>
      </c>
      <c r="H167">
        <f>IF(G167,C167,0)</f>
        <v>0.0009090909090909092</v>
      </c>
    </row>
    <row r="168" spans="1:8" x14ac:dyDescent="0.25">
      <c r="A168" t="s">
        <v>225</v>
      </c>
      <c r="B168" t="s">
        <v>3531</v>
      </c>
      <c r="C168" s="4">
        <f>('Reels'!D13/('Reels'!D4+'Reels'!D7+'Reels'!D10+'Reels'!D13+'Reels'!D16+'Reels'!D19))*('Reels'!D40/('Reels'!D22+'Reels'!D25+'Reels'!D28+'Reels'!D31+'Reels'!D34+'Reels'!D37+'Reels'!D40))*('Reels'!D56/('Reels'!D44+'Reels'!D47+'Reels'!D50+'Reels'!D53+'Reels'!D56+'Reels'!D59))</f>
        <v>0.0003030303030303031</v>
      </c>
      <c r="D168">
        <f>IF(OR('Reels'!D11="attack",'Reels'!D11="magic"),CHOOSE('Reels'!D12+1,'Slots'!D29,'Slots'!D30,'Slots'!D31,'Slots'!D32,'Slots'!D33),0)+IF(OR('Reels'!D38="attack",'Reels'!D38="magic"),CHOOSE('Reels'!D39+1,'Slots'!D29,'Slots'!D30,'Slots'!D31,'Slots'!D32,'Slots'!D33),0)+IF(OR('Reels'!D54="attack",'Reels'!D54="magic"),CHOOSE('Reels'!D55+1,'Slots'!D29,'Slots'!D30,'Slots'!D31,'Slots'!D32,'Slots'!D33),0)</f>
        <v>0</v>
      </c>
      <c r="E168">
        <f>IF('Reels'!D11="heal",'Reels'!D12*'Slots'!D24,0)+IF('Reels'!D38="heal",'Reels'!D39*'Slots'!D24,0)+IF('Reels'!D54="heal",'Reels'!D55*'Slots'!D24,0)</f>
        <v>2</v>
      </c>
      <c r="F168">
        <f>IF('Reels'!D11="block",'Reels'!D12*'Slots'!D25,0)+IF('Reels'!D38="block",'Reels'!D39*'Slots'!D25,0)+IF('Reels'!D54="block",'Reels'!D55*'Slots'!D25,0)</f>
        <v>2</v>
      </c>
      <c r="G168" t="b">
        <f>AND('Reels'!D11&lt;&gt;"blank",'Reels'!D11&lt;&gt;"class",'Reels'!D11='Reels'!D54,'Reels'!D12='Reels'!D55,OR('Reels'!D38="class",AND('Reels'!D38='Reels'!D11,'Reels'!D39='Reels'!D12)))</f>
        <v>0</v>
      </c>
      <c r="H168">
        <f>IF(G168,C168,0)</f>
        <v>0</v>
      </c>
    </row>
    <row r="169" spans="1:8" x14ac:dyDescent="0.25">
      <c r="A169" t="s">
        <v>225</v>
      </c>
      <c r="B169" t="s">
        <v>3532</v>
      </c>
      <c r="C169" s="4">
        <f>('Reels'!D13/('Reels'!D4+'Reels'!D7+'Reels'!D10+'Reels'!D13+'Reels'!D16+'Reels'!D19))*('Reels'!D40/('Reels'!D22+'Reels'!D25+'Reels'!D28+'Reels'!D31+'Reels'!D34+'Reels'!D37+'Reels'!D40))*('Reels'!D59/('Reels'!D44+'Reels'!D47+'Reels'!D50+'Reels'!D53+'Reels'!D56+'Reels'!D59))</f>
        <v>0.0015151515151515154</v>
      </c>
      <c r="D169">
        <f>IF(OR('Reels'!D11="attack",'Reels'!D11="magic"),CHOOSE('Reels'!D12+1,'Slots'!D29,'Slots'!D30,'Slots'!D31,'Slots'!D32,'Slots'!D33),0)+IF(OR('Reels'!D38="attack",'Reels'!D38="magic"),CHOOSE('Reels'!D39+1,'Slots'!D29,'Slots'!D30,'Slots'!D31,'Slots'!D32,'Slots'!D33),0)+IF(OR('Reels'!D57="attack",'Reels'!D57="magic"),CHOOSE('Reels'!D58+1,'Slots'!D29,'Slots'!D30,'Slots'!D31,'Slots'!D32,'Slots'!D33),0)</f>
        <v>0</v>
      </c>
      <c r="E169">
        <f>IF('Reels'!D11="heal",'Reels'!D12*'Slots'!D24,0)+IF('Reels'!D38="heal",'Reels'!D39*'Slots'!D24,0)+IF('Reels'!D57="heal",'Reels'!D58*'Slots'!D24,0)</f>
        <v>0</v>
      </c>
      <c r="F169">
        <f>IF('Reels'!D11="block",'Reels'!D12*'Slots'!D25,0)+IF('Reels'!D38="block",'Reels'!D39*'Slots'!D25,0)+IF('Reels'!D57="block",'Reels'!D58*'Slots'!D25,0)</f>
        <v>2</v>
      </c>
      <c r="G169" t="b">
        <f>AND('Reels'!D11&lt;&gt;"blank",'Reels'!D11&lt;&gt;"class",'Reels'!D11='Reels'!D57,'Reels'!D12='Reels'!D58,OR('Reels'!D38="class",AND('Reels'!D38='Reels'!D11,'Reels'!D39='Reels'!D12)))</f>
        <v>0</v>
      </c>
      <c r="H169">
        <f>IF(G169,C169,0)</f>
        <v>0</v>
      </c>
    </row>
    <row r="170" spans="1:8" x14ac:dyDescent="0.25">
      <c r="A170" t="s">
        <v>225</v>
      </c>
      <c r="B170" t="s">
        <v>3533</v>
      </c>
      <c r="C170" s="4">
        <f>('Reels'!D16/('Reels'!D4+'Reels'!D7+'Reels'!D10+'Reels'!D13+'Reels'!D16+'Reels'!D19))*('Reels'!D22/('Reels'!D22+'Reels'!D25+'Reels'!D28+'Reels'!D31+'Reels'!D34+'Reels'!D37+'Reels'!D40))*('Reels'!D44/('Reels'!D44+'Reels'!D47+'Reels'!D50+'Reels'!D53+'Reels'!D56+'Reels'!D59))</f>
        <v>0.002727272727272727</v>
      </c>
      <c r="D170">
        <f>IF(OR('Reels'!D14="attack",'Reels'!D14="magic"),CHOOSE('Reels'!D15+1,'Slots'!D29,'Slots'!D30,'Slots'!D31,'Slots'!D32,'Slots'!D33),0)+IF(OR('Reels'!D20="attack",'Reels'!D20="magic"),CHOOSE('Reels'!D21+1,'Slots'!D29,'Slots'!D30,'Slots'!D31,'Slots'!D32,'Slots'!D33),0)+IF(OR('Reels'!D42="attack",'Reels'!D42="magic"),CHOOSE('Reels'!D43+1,'Slots'!D29,'Slots'!D30,'Slots'!D31,'Slots'!D32,'Slots'!D33),0)</f>
        <v>4</v>
      </c>
      <c r="E170">
        <f>IF('Reels'!D14="heal",'Reels'!D15*'Slots'!D24,0)+IF('Reels'!D20="heal",'Reels'!D21*'Slots'!D24,0)+IF('Reels'!D42="heal",'Reels'!D43*'Slots'!D24,0)</f>
        <v>2</v>
      </c>
      <c r="F170">
        <f>IF('Reels'!D14="block",'Reels'!D15*'Slots'!D25,0)+IF('Reels'!D20="block",'Reels'!D21*'Slots'!D25,0)+IF('Reels'!D42="block",'Reels'!D43*'Slots'!D25,0)</f>
        <v>0</v>
      </c>
      <c r="G170" t="b">
        <f>AND('Reels'!D14&lt;&gt;"blank",'Reels'!D14&lt;&gt;"class",'Reels'!D14='Reels'!D42,'Reels'!D15='Reels'!D43,OR('Reels'!D20="class",AND('Reels'!D20='Reels'!D14,'Reels'!D21='Reels'!D15)))</f>
        <v>0</v>
      </c>
      <c r="H170">
        <f>IF(G170,C170,0)</f>
        <v>0</v>
      </c>
    </row>
    <row r="171" spans="1:8" x14ac:dyDescent="0.25">
      <c r="A171" t="s">
        <v>225</v>
      </c>
      <c r="B171" t="s">
        <v>3534</v>
      </c>
      <c r="C171" s="4">
        <f>('Reels'!D16/('Reels'!D4+'Reels'!D7+'Reels'!D10+'Reels'!D13+'Reels'!D16+'Reels'!D19))*('Reels'!D22/('Reels'!D22+'Reels'!D25+'Reels'!D28+'Reels'!D31+'Reels'!D34+'Reels'!D37+'Reels'!D40))*('Reels'!D47/('Reels'!D44+'Reels'!D47+'Reels'!D50+'Reels'!D53+'Reels'!D56+'Reels'!D59))</f>
        <v>0.0015151515151515152</v>
      </c>
      <c r="D171">
        <f>IF(OR('Reels'!D14="attack",'Reels'!D14="magic"),CHOOSE('Reels'!D15+1,'Slots'!D29,'Slots'!D30,'Slots'!D31,'Slots'!D32,'Slots'!D33),0)+IF(OR('Reels'!D20="attack",'Reels'!D20="magic"),CHOOSE('Reels'!D21+1,'Slots'!D29,'Slots'!D30,'Slots'!D31,'Slots'!D32,'Slots'!D33),0)+IF(OR('Reels'!D45="attack",'Reels'!D45="magic"),CHOOSE('Reels'!D46+1,'Slots'!D29,'Slots'!D30,'Slots'!D31,'Slots'!D32,'Slots'!D33),0)</f>
        <v>6</v>
      </c>
      <c r="E171">
        <f>IF('Reels'!D14="heal",'Reels'!D15*'Slots'!D24,0)+IF('Reels'!D20="heal",'Reels'!D21*'Slots'!D24,0)+IF('Reels'!D45="heal",'Reels'!D46*'Slots'!D24,0)</f>
        <v>2</v>
      </c>
      <c r="F171">
        <f>IF('Reels'!D14="block",'Reels'!D15*'Slots'!D25,0)+IF('Reels'!D20="block",'Reels'!D21*'Slots'!D25,0)+IF('Reels'!D45="block",'Reels'!D46*'Slots'!D25,0)</f>
        <v>0</v>
      </c>
      <c r="G171" t="b">
        <f>AND('Reels'!D14&lt;&gt;"blank",'Reels'!D14&lt;&gt;"class",'Reels'!D14='Reels'!D45,'Reels'!D15='Reels'!D46,OR('Reels'!D20="class",AND('Reels'!D20='Reels'!D14,'Reels'!D21='Reels'!D15)))</f>
        <v>0</v>
      </c>
      <c r="H171">
        <f>IF(G171,C171,0)</f>
        <v>0</v>
      </c>
    </row>
    <row r="172" spans="1:8" x14ac:dyDescent="0.25">
      <c r="A172" t="s">
        <v>225</v>
      </c>
      <c r="B172" t="s">
        <v>3535</v>
      </c>
      <c r="C172" s="4">
        <f>('Reels'!D16/('Reels'!D4+'Reels'!D7+'Reels'!D10+'Reels'!D13+'Reels'!D16+'Reels'!D19))*('Reels'!D22/('Reels'!D22+'Reels'!D25+'Reels'!D28+'Reels'!D31+'Reels'!D34+'Reels'!D37+'Reels'!D40))*('Reels'!D50/('Reels'!D44+'Reels'!D47+'Reels'!D50+'Reels'!D53+'Reels'!D56+'Reels'!D59))</f>
        <v>0.002121212121212121</v>
      </c>
      <c r="D172">
        <f>IF(OR('Reels'!D14="attack",'Reels'!D14="magic"),CHOOSE('Reels'!D15+1,'Slots'!D29,'Slots'!D30,'Slots'!D31,'Slots'!D32,'Slots'!D33),0)+IF(OR('Reels'!D20="attack",'Reels'!D20="magic"),CHOOSE('Reels'!D21+1,'Slots'!D29,'Slots'!D30,'Slots'!D31,'Slots'!D32,'Slots'!D33),0)+IF(OR('Reels'!D48="attack",'Reels'!D48="magic"),CHOOSE('Reels'!D49+1,'Slots'!D29,'Slots'!D30,'Slots'!D31,'Slots'!D32,'Slots'!D33),0)</f>
        <v>2</v>
      </c>
      <c r="E172">
        <f>IF('Reels'!D14="heal",'Reels'!D15*'Slots'!D24,0)+IF('Reels'!D20="heal",'Reels'!D21*'Slots'!D24,0)+IF('Reels'!D48="heal",'Reels'!D49*'Slots'!D24,0)</f>
        <v>2</v>
      </c>
      <c r="F172">
        <f>IF('Reels'!D14="block",'Reels'!D15*'Slots'!D25,0)+IF('Reels'!D20="block",'Reels'!D21*'Slots'!D25,0)+IF('Reels'!D48="block",'Reels'!D49*'Slots'!D25,0)</f>
        <v>1</v>
      </c>
      <c r="G172" t="b">
        <f>AND('Reels'!D14&lt;&gt;"blank",'Reels'!D14&lt;&gt;"class",'Reels'!D14='Reels'!D48,'Reels'!D15='Reels'!D49,OR('Reels'!D20="class",AND('Reels'!D20='Reels'!D14,'Reels'!D21='Reels'!D15)))</f>
        <v>0</v>
      </c>
      <c r="H172">
        <f>IF(G172,C172,0)</f>
        <v>0</v>
      </c>
    </row>
    <row r="173" spans="1:8" x14ac:dyDescent="0.25">
      <c r="A173" t="s">
        <v>225</v>
      </c>
      <c r="B173" t="s">
        <v>3536</v>
      </c>
      <c r="C173" s="4">
        <f>('Reels'!D16/('Reels'!D4+'Reels'!D7+'Reels'!D10+'Reels'!D13+'Reels'!D16+'Reels'!D19))*('Reels'!D22/('Reels'!D22+'Reels'!D25+'Reels'!D28+'Reels'!D31+'Reels'!D34+'Reels'!D37+'Reels'!D40))*('Reels'!D53/('Reels'!D44+'Reels'!D47+'Reels'!D50+'Reels'!D53+'Reels'!D56+'Reels'!D59))</f>
        <v>0.0009090909090909091</v>
      </c>
      <c r="D173">
        <f>IF(OR('Reels'!D14="attack",'Reels'!D14="magic"),CHOOSE('Reels'!D15+1,'Slots'!D29,'Slots'!D30,'Slots'!D31,'Slots'!D32,'Slots'!D33),0)+IF(OR('Reels'!D20="attack",'Reels'!D20="magic"),CHOOSE('Reels'!D21+1,'Slots'!D29,'Slots'!D30,'Slots'!D31,'Slots'!D32,'Slots'!D33),0)+IF(OR('Reels'!D51="attack",'Reels'!D51="magic"),CHOOSE('Reels'!D52+1,'Slots'!D29,'Slots'!D30,'Slots'!D31,'Slots'!D32,'Slots'!D33),0)</f>
        <v>2</v>
      </c>
      <c r="E173">
        <f>IF('Reels'!D14="heal",'Reels'!D15*'Slots'!D24,0)+IF('Reels'!D20="heal",'Reels'!D21*'Slots'!D24,0)+IF('Reels'!D51="heal",'Reels'!D52*'Slots'!D24,0)</f>
        <v>2</v>
      </c>
      <c r="F173">
        <f>IF('Reels'!D14="block",'Reels'!D15*'Slots'!D25,0)+IF('Reels'!D20="block",'Reels'!D21*'Slots'!D25,0)+IF('Reels'!D51="block",'Reels'!D52*'Slots'!D25,0)</f>
        <v>2</v>
      </c>
      <c r="G173" t="b">
        <f>AND('Reels'!D14&lt;&gt;"blank",'Reels'!D14&lt;&gt;"class",'Reels'!D14='Reels'!D51,'Reels'!D15='Reels'!D52,OR('Reels'!D20="class",AND('Reels'!D20='Reels'!D14,'Reels'!D21='Reels'!D15)))</f>
        <v>0</v>
      </c>
      <c r="H173">
        <f>IF(G173,C173,0)</f>
        <v>0</v>
      </c>
    </row>
    <row r="174" spans="1:8" x14ac:dyDescent="0.25">
      <c r="A174" t="s">
        <v>225</v>
      </c>
      <c r="B174" t="s">
        <v>3537</v>
      </c>
      <c r="C174" s="4">
        <f>('Reels'!D16/('Reels'!D4+'Reels'!D7+'Reels'!D10+'Reels'!D13+'Reels'!D16+'Reels'!D19))*('Reels'!D22/('Reels'!D22+'Reels'!D25+'Reels'!D28+'Reels'!D31+'Reels'!D34+'Reels'!D37+'Reels'!D40))*('Reels'!D56/('Reels'!D44+'Reels'!D47+'Reels'!D50+'Reels'!D53+'Reels'!D56+'Reels'!D59))</f>
        <v>0.00030303030303030303</v>
      </c>
      <c r="D174">
        <f>IF(OR('Reels'!D14="attack",'Reels'!D14="magic"),CHOOSE('Reels'!D15+1,'Slots'!D29,'Slots'!D30,'Slots'!D31,'Slots'!D32,'Slots'!D33),0)+IF(OR('Reels'!D20="attack",'Reels'!D20="magic"),CHOOSE('Reels'!D21+1,'Slots'!D29,'Slots'!D30,'Slots'!D31,'Slots'!D32,'Slots'!D33),0)+IF(OR('Reels'!D54="attack",'Reels'!D54="magic"),CHOOSE('Reels'!D55+1,'Slots'!D29,'Slots'!D30,'Slots'!D31,'Slots'!D32,'Slots'!D33),0)</f>
        <v>2</v>
      </c>
      <c r="E174">
        <f>IF('Reels'!D14="heal",'Reels'!D15*'Slots'!D24,0)+IF('Reels'!D20="heal",'Reels'!D21*'Slots'!D24,0)+IF('Reels'!D54="heal",'Reels'!D55*'Slots'!D24,0)</f>
        <v>4</v>
      </c>
      <c r="F174">
        <f>IF('Reels'!D14="block",'Reels'!D15*'Slots'!D25,0)+IF('Reels'!D20="block",'Reels'!D21*'Slots'!D25,0)+IF('Reels'!D54="block",'Reels'!D55*'Slots'!D25,0)</f>
        <v>0</v>
      </c>
      <c r="G174" t="b">
        <f>AND('Reels'!D14&lt;&gt;"blank",'Reels'!D14&lt;&gt;"class",'Reels'!D14='Reels'!D54,'Reels'!D15='Reels'!D55,OR('Reels'!D20="class",AND('Reels'!D20='Reels'!D14,'Reels'!D21='Reels'!D15)))</f>
        <v>0</v>
      </c>
      <c r="H174">
        <f>IF(G174,C174,0)</f>
        <v>0</v>
      </c>
    </row>
    <row r="175" spans="1:8" x14ac:dyDescent="0.25">
      <c r="A175" t="s">
        <v>225</v>
      </c>
      <c r="B175" t="s">
        <v>3538</v>
      </c>
      <c r="C175" s="4">
        <f>('Reels'!D16/('Reels'!D4+'Reels'!D7+'Reels'!D10+'Reels'!D13+'Reels'!D16+'Reels'!D19))*('Reels'!D22/('Reels'!D22+'Reels'!D25+'Reels'!D28+'Reels'!D31+'Reels'!D34+'Reels'!D37+'Reels'!D40))*('Reels'!D59/('Reels'!D44+'Reels'!D47+'Reels'!D50+'Reels'!D53+'Reels'!D56+'Reels'!D59))</f>
        <v>0.0015151515151515152</v>
      </c>
      <c r="D175">
        <f>IF(OR('Reels'!D14="attack",'Reels'!D14="magic"),CHOOSE('Reels'!D15+1,'Slots'!D29,'Slots'!D30,'Slots'!D31,'Slots'!D32,'Slots'!D33),0)+IF(OR('Reels'!D20="attack",'Reels'!D20="magic"),CHOOSE('Reels'!D21+1,'Slots'!D29,'Slots'!D30,'Slots'!D31,'Slots'!D32,'Slots'!D33),0)+IF(OR('Reels'!D57="attack",'Reels'!D57="magic"),CHOOSE('Reels'!D58+1,'Slots'!D29,'Slots'!D30,'Slots'!D31,'Slots'!D32,'Slots'!D33),0)</f>
        <v>2</v>
      </c>
      <c r="E175">
        <f>IF('Reels'!D14="heal",'Reels'!D15*'Slots'!D24,0)+IF('Reels'!D20="heal",'Reels'!D21*'Slots'!D24,0)+IF('Reels'!D57="heal",'Reels'!D58*'Slots'!D24,0)</f>
        <v>2</v>
      </c>
      <c r="F175">
        <f>IF('Reels'!D14="block",'Reels'!D15*'Slots'!D25,0)+IF('Reels'!D20="block",'Reels'!D21*'Slots'!D25,0)+IF('Reels'!D57="block",'Reels'!D58*'Slots'!D25,0)</f>
        <v>0</v>
      </c>
      <c r="G175" t="b">
        <f>AND('Reels'!D14&lt;&gt;"blank",'Reels'!D14&lt;&gt;"class",'Reels'!D14='Reels'!D57,'Reels'!D15='Reels'!D58,OR('Reels'!D20="class",AND('Reels'!D20='Reels'!D14,'Reels'!D21='Reels'!D15)))</f>
        <v>0</v>
      </c>
      <c r="H175">
        <f>IF(G175,C175,0)</f>
        <v>0</v>
      </c>
    </row>
    <row r="176" spans="1:8" x14ac:dyDescent="0.25">
      <c r="A176" t="s">
        <v>225</v>
      </c>
      <c r="B176" t="s">
        <v>3539</v>
      </c>
      <c r="C176" s="4">
        <f>('Reels'!D16/('Reels'!D4+'Reels'!D7+'Reels'!D10+'Reels'!D13+'Reels'!D16+'Reels'!D19))*('Reels'!D25/('Reels'!D22+'Reels'!D25+'Reels'!D28+'Reels'!D31+'Reels'!D34+'Reels'!D37+'Reels'!D40))*('Reels'!D44/('Reels'!D44+'Reels'!D47+'Reels'!D50+'Reels'!D53+'Reels'!D56+'Reels'!D59))</f>
        <v>0.001515151515151515</v>
      </c>
      <c r="D176">
        <f>IF(OR('Reels'!D14="attack",'Reels'!D14="magic"),CHOOSE('Reels'!D15+1,'Slots'!D29,'Slots'!D30,'Slots'!D31,'Slots'!D32,'Slots'!D33),0)+IF(OR('Reels'!D23="attack",'Reels'!D23="magic"),CHOOSE('Reels'!D24+1,'Slots'!D29,'Slots'!D30,'Slots'!D31,'Slots'!D32,'Slots'!D33),0)+IF(OR('Reels'!D42="attack",'Reels'!D42="magic"),CHOOSE('Reels'!D43+1,'Slots'!D29,'Slots'!D30,'Slots'!D31,'Slots'!D32,'Slots'!D33),0)</f>
        <v>6</v>
      </c>
      <c r="E176">
        <f>IF('Reels'!D14="heal",'Reels'!D15*'Slots'!D24,0)+IF('Reels'!D23="heal",'Reels'!D24*'Slots'!D24,0)+IF('Reels'!D42="heal",'Reels'!D43*'Slots'!D24,0)</f>
        <v>2</v>
      </c>
      <c r="F176">
        <f>IF('Reels'!D14="block",'Reels'!D15*'Slots'!D25,0)+IF('Reels'!D23="block",'Reels'!D24*'Slots'!D25,0)+IF('Reels'!D42="block",'Reels'!D43*'Slots'!D25,0)</f>
        <v>0</v>
      </c>
      <c r="G176" t="b">
        <f>AND('Reels'!D14&lt;&gt;"blank",'Reels'!D14&lt;&gt;"class",'Reels'!D14='Reels'!D42,'Reels'!D15='Reels'!D43,OR('Reels'!D23="class",AND('Reels'!D23='Reels'!D14,'Reels'!D24='Reels'!D15)))</f>
        <v>0</v>
      </c>
      <c r="H176">
        <f>IF(G176,C176,0)</f>
        <v>0</v>
      </c>
    </row>
    <row r="177" spans="1:8" x14ac:dyDescent="0.25">
      <c r="A177" t="s">
        <v>225</v>
      </c>
      <c r="B177" t="s">
        <v>3540</v>
      </c>
      <c r="C177" s="4">
        <f>('Reels'!D16/('Reels'!D4+'Reels'!D7+'Reels'!D10+'Reels'!D13+'Reels'!D16+'Reels'!D19))*('Reels'!D25/('Reels'!D22+'Reels'!D25+'Reels'!D28+'Reels'!D31+'Reels'!D34+'Reels'!D37+'Reels'!D40))*('Reels'!D47/('Reels'!D44+'Reels'!D47+'Reels'!D50+'Reels'!D53+'Reels'!D56+'Reels'!D59))</f>
        <v>0.0008417508417508416</v>
      </c>
      <c r="D177">
        <f>IF(OR('Reels'!D14="attack",'Reels'!D14="magic"),CHOOSE('Reels'!D15+1,'Slots'!D29,'Slots'!D30,'Slots'!D31,'Slots'!D32,'Slots'!D33),0)+IF(OR('Reels'!D23="attack",'Reels'!D23="magic"),CHOOSE('Reels'!D24+1,'Slots'!D29,'Slots'!D30,'Slots'!D31,'Slots'!D32,'Slots'!D33),0)+IF(OR('Reels'!D45="attack",'Reels'!D45="magic"),CHOOSE('Reels'!D46+1,'Slots'!D29,'Slots'!D30,'Slots'!D31,'Slots'!D32,'Slots'!D33),0)</f>
        <v>8</v>
      </c>
      <c r="E177">
        <f>IF('Reels'!D14="heal",'Reels'!D15*'Slots'!D24,0)+IF('Reels'!D23="heal",'Reels'!D24*'Slots'!D24,0)+IF('Reels'!D45="heal",'Reels'!D46*'Slots'!D24,0)</f>
        <v>2</v>
      </c>
      <c r="F177">
        <f>IF('Reels'!D14="block",'Reels'!D15*'Slots'!D25,0)+IF('Reels'!D23="block",'Reels'!D24*'Slots'!D25,0)+IF('Reels'!D45="block",'Reels'!D46*'Slots'!D25,0)</f>
        <v>0</v>
      </c>
      <c r="G177" t="b">
        <f>AND('Reels'!D14&lt;&gt;"blank",'Reels'!D14&lt;&gt;"class",'Reels'!D14='Reels'!D45,'Reels'!D15='Reels'!D46,OR('Reels'!D23="class",AND('Reels'!D23='Reels'!D14,'Reels'!D24='Reels'!D15)))</f>
        <v>0</v>
      </c>
      <c r="H177">
        <f>IF(G177,C177,0)</f>
        <v>0</v>
      </c>
    </row>
    <row r="178" spans="1:8" x14ac:dyDescent="0.25">
      <c r="A178" t="s">
        <v>225</v>
      </c>
      <c r="B178" t="s">
        <v>3541</v>
      </c>
      <c r="C178" s="4">
        <f>('Reels'!D16/('Reels'!D4+'Reels'!D7+'Reels'!D10+'Reels'!D13+'Reels'!D16+'Reels'!D19))*('Reels'!D25/('Reels'!D22+'Reels'!D25+'Reels'!D28+'Reels'!D31+'Reels'!D34+'Reels'!D37+'Reels'!D40))*('Reels'!D50/('Reels'!D44+'Reels'!D47+'Reels'!D50+'Reels'!D53+'Reels'!D56+'Reels'!D59))</f>
        <v>0.0011784511784511784</v>
      </c>
      <c r="D178">
        <f>IF(OR('Reels'!D14="attack",'Reels'!D14="magic"),CHOOSE('Reels'!D15+1,'Slots'!D29,'Slots'!D30,'Slots'!D31,'Slots'!D32,'Slots'!D33),0)+IF(OR('Reels'!D23="attack",'Reels'!D23="magic"),CHOOSE('Reels'!D24+1,'Slots'!D29,'Slots'!D30,'Slots'!D31,'Slots'!D32,'Slots'!D33),0)+IF(OR('Reels'!D48="attack",'Reels'!D48="magic"),CHOOSE('Reels'!D49+1,'Slots'!D29,'Slots'!D30,'Slots'!D31,'Slots'!D32,'Slots'!D33),0)</f>
        <v>4</v>
      </c>
      <c r="E178">
        <f>IF('Reels'!D14="heal",'Reels'!D15*'Slots'!D24,0)+IF('Reels'!D23="heal",'Reels'!D24*'Slots'!D24,0)+IF('Reels'!D48="heal",'Reels'!D49*'Slots'!D24,0)</f>
        <v>2</v>
      </c>
      <c r="F178">
        <f>IF('Reels'!D14="block",'Reels'!D15*'Slots'!D25,0)+IF('Reels'!D23="block",'Reels'!D24*'Slots'!D25,0)+IF('Reels'!D48="block",'Reels'!D49*'Slots'!D25,0)</f>
        <v>1</v>
      </c>
      <c r="G178" t="b">
        <f>AND('Reels'!D14&lt;&gt;"blank",'Reels'!D14&lt;&gt;"class",'Reels'!D14='Reels'!D48,'Reels'!D15='Reels'!D49,OR('Reels'!D23="class",AND('Reels'!D23='Reels'!D14,'Reels'!D24='Reels'!D15)))</f>
        <v>0</v>
      </c>
      <c r="H178">
        <f>IF(G178,C178,0)</f>
        <v>0</v>
      </c>
    </row>
    <row r="179" spans="1:8" x14ac:dyDescent="0.25">
      <c r="A179" t="s">
        <v>225</v>
      </c>
      <c r="B179" t="s">
        <v>3542</v>
      </c>
      <c r="C179" s="4">
        <f>('Reels'!D16/('Reels'!D4+'Reels'!D7+'Reels'!D10+'Reels'!D13+'Reels'!D16+'Reels'!D19))*('Reels'!D25/('Reels'!D22+'Reels'!D25+'Reels'!D28+'Reels'!D31+'Reels'!D34+'Reels'!D37+'Reels'!D40))*('Reels'!D53/('Reels'!D44+'Reels'!D47+'Reels'!D50+'Reels'!D53+'Reels'!D56+'Reels'!D59))</f>
        <v>0.000505050505050505</v>
      </c>
      <c r="D179">
        <f>IF(OR('Reels'!D14="attack",'Reels'!D14="magic"),CHOOSE('Reels'!D15+1,'Slots'!D29,'Slots'!D30,'Slots'!D31,'Slots'!D32,'Slots'!D33),0)+IF(OR('Reels'!D23="attack",'Reels'!D23="magic"),CHOOSE('Reels'!D24+1,'Slots'!D29,'Slots'!D30,'Slots'!D31,'Slots'!D32,'Slots'!D33),0)+IF(OR('Reels'!D51="attack",'Reels'!D51="magic"),CHOOSE('Reels'!D52+1,'Slots'!D29,'Slots'!D30,'Slots'!D31,'Slots'!D32,'Slots'!D33),0)</f>
        <v>4</v>
      </c>
      <c r="E179">
        <f>IF('Reels'!D14="heal",'Reels'!D15*'Slots'!D24,0)+IF('Reels'!D23="heal",'Reels'!D24*'Slots'!D24,0)+IF('Reels'!D51="heal",'Reels'!D52*'Slots'!D24,0)</f>
        <v>2</v>
      </c>
      <c r="F179">
        <f>IF('Reels'!D14="block",'Reels'!D15*'Slots'!D25,0)+IF('Reels'!D23="block",'Reels'!D24*'Slots'!D25,0)+IF('Reels'!D51="block",'Reels'!D52*'Slots'!D25,0)</f>
        <v>2</v>
      </c>
      <c r="G179" t="b">
        <f>AND('Reels'!D14&lt;&gt;"blank",'Reels'!D14&lt;&gt;"class",'Reels'!D14='Reels'!D51,'Reels'!D15='Reels'!D52,OR('Reels'!D23="class",AND('Reels'!D23='Reels'!D14,'Reels'!D24='Reels'!D15)))</f>
        <v>0</v>
      </c>
      <c r="H179">
        <f>IF(G179,C179,0)</f>
        <v>0</v>
      </c>
    </row>
    <row r="180" spans="1:8" x14ac:dyDescent="0.25">
      <c r="A180" t="s">
        <v>225</v>
      </c>
      <c r="B180" t="s">
        <v>3543</v>
      </c>
      <c r="C180" s="4">
        <f>('Reels'!D16/('Reels'!D4+'Reels'!D7+'Reels'!D10+'Reels'!D13+'Reels'!D16+'Reels'!D19))*('Reels'!D25/('Reels'!D22+'Reels'!D25+'Reels'!D28+'Reels'!D31+'Reels'!D34+'Reels'!D37+'Reels'!D40))*('Reels'!D56/('Reels'!D44+'Reels'!D47+'Reels'!D50+'Reels'!D53+'Reels'!D56+'Reels'!D59))</f>
        <v>0.00016835016835016833</v>
      </c>
      <c r="D180">
        <f>IF(OR('Reels'!D14="attack",'Reels'!D14="magic"),CHOOSE('Reels'!D15+1,'Slots'!D29,'Slots'!D30,'Slots'!D31,'Slots'!D32,'Slots'!D33),0)+IF(OR('Reels'!D23="attack",'Reels'!D23="magic"),CHOOSE('Reels'!D24+1,'Slots'!D29,'Slots'!D30,'Slots'!D31,'Slots'!D32,'Slots'!D33),0)+IF(OR('Reels'!D54="attack",'Reels'!D54="magic"),CHOOSE('Reels'!D55+1,'Slots'!D29,'Slots'!D30,'Slots'!D31,'Slots'!D32,'Slots'!D33),0)</f>
        <v>4</v>
      </c>
      <c r="E180">
        <f>IF('Reels'!D14="heal",'Reels'!D15*'Slots'!D24,0)+IF('Reels'!D23="heal",'Reels'!D24*'Slots'!D24,0)+IF('Reels'!D54="heal",'Reels'!D55*'Slots'!D24,0)</f>
        <v>4</v>
      </c>
      <c r="F180">
        <f>IF('Reels'!D14="block",'Reels'!D15*'Slots'!D25,0)+IF('Reels'!D23="block",'Reels'!D24*'Slots'!D25,0)+IF('Reels'!D54="block",'Reels'!D55*'Slots'!D25,0)</f>
        <v>0</v>
      </c>
      <c r="G180" t="b">
        <f>AND('Reels'!D14&lt;&gt;"blank",'Reels'!D14&lt;&gt;"class",'Reels'!D14='Reels'!D54,'Reels'!D15='Reels'!D55,OR('Reels'!D23="class",AND('Reels'!D23='Reels'!D14,'Reels'!D24='Reels'!D15)))</f>
        <v>0</v>
      </c>
      <c r="H180">
        <f>IF(G180,C180,0)</f>
        <v>0</v>
      </c>
    </row>
    <row r="181" spans="1:8" x14ac:dyDescent="0.25">
      <c r="A181" t="s">
        <v>225</v>
      </c>
      <c r="B181" t="s">
        <v>3544</v>
      </c>
      <c r="C181" s="4">
        <f>('Reels'!D16/('Reels'!D4+'Reels'!D7+'Reels'!D10+'Reels'!D13+'Reels'!D16+'Reels'!D19))*('Reels'!D25/('Reels'!D22+'Reels'!D25+'Reels'!D28+'Reels'!D31+'Reels'!D34+'Reels'!D37+'Reels'!D40))*('Reels'!D59/('Reels'!D44+'Reels'!D47+'Reels'!D50+'Reels'!D53+'Reels'!D56+'Reels'!D59))</f>
        <v>0.0008417508417508416</v>
      </c>
      <c r="D181">
        <f>IF(OR('Reels'!D14="attack",'Reels'!D14="magic"),CHOOSE('Reels'!D15+1,'Slots'!D29,'Slots'!D30,'Slots'!D31,'Slots'!D32,'Slots'!D33),0)+IF(OR('Reels'!D23="attack",'Reels'!D23="magic"),CHOOSE('Reels'!D24+1,'Slots'!D29,'Slots'!D30,'Slots'!D31,'Slots'!D32,'Slots'!D33),0)+IF(OR('Reels'!D57="attack",'Reels'!D57="magic"),CHOOSE('Reels'!D58+1,'Slots'!D29,'Slots'!D30,'Slots'!D31,'Slots'!D32,'Slots'!D33),0)</f>
        <v>4</v>
      </c>
      <c r="E181">
        <f>IF('Reels'!D14="heal",'Reels'!D15*'Slots'!D24,0)+IF('Reels'!D23="heal",'Reels'!D24*'Slots'!D24,0)+IF('Reels'!D57="heal",'Reels'!D58*'Slots'!D24,0)</f>
        <v>2</v>
      </c>
      <c r="F181">
        <f>IF('Reels'!D14="block",'Reels'!D15*'Slots'!D25,0)+IF('Reels'!D23="block",'Reels'!D24*'Slots'!D25,0)+IF('Reels'!D57="block",'Reels'!D58*'Slots'!D25,0)</f>
        <v>0</v>
      </c>
      <c r="G181" t="b">
        <f>AND('Reels'!D14&lt;&gt;"blank",'Reels'!D14&lt;&gt;"class",'Reels'!D14='Reels'!D57,'Reels'!D15='Reels'!D58,OR('Reels'!D23="class",AND('Reels'!D23='Reels'!D14,'Reels'!D24='Reels'!D15)))</f>
        <v>0</v>
      </c>
      <c r="H181">
        <f>IF(G181,C181,0)</f>
        <v>0</v>
      </c>
    </row>
    <row r="182" spans="1:8" x14ac:dyDescent="0.25">
      <c r="A182" t="s">
        <v>225</v>
      </c>
      <c r="B182" t="s">
        <v>3545</v>
      </c>
      <c r="C182" s="4">
        <f>('Reels'!D16/('Reels'!D4+'Reels'!D7+'Reels'!D10+'Reels'!D13+'Reels'!D16+'Reels'!D19))*('Reels'!D28/('Reels'!D22+'Reels'!D25+'Reels'!D28+'Reels'!D31+'Reels'!D34+'Reels'!D37+'Reels'!D40))*('Reels'!D44/('Reels'!D44+'Reels'!D47+'Reels'!D50+'Reels'!D53+'Reels'!D56+'Reels'!D59))</f>
        <v>0.0021212121212121214</v>
      </c>
      <c r="D182">
        <f>IF(OR('Reels'!D14="attack",'Reels'!D14="magic"),CHOOSE('Reels'!D15+1,'Slots'!D29,'Slots'!D30,'Slots'!D31,'Slots'!D32,'Slots'!D33),0)+IF(OR('Reels'!D26="attack",'Reels'!D26="magic"),CHOOSE('Reels'!D27+1,'Slots'!D29,'Slots'!D30,'Slots'!D31,'Slots'!D32,'Slots'!D33),0)+IF(OR('Reels'!D42="attack",'Reels'!D42="magic"),CHOOSE('Reels'!D43+1,'Slots'!D29,'Slots'!D30,'Slots'!D31,'Slots'!D32,'Slots'!D33),0)</f>
        <v>2</v>
      </c>
      <c r="E182">
        <f>IF('Reels'!D14="heal",'Reels'!D15*'Slots'!D24,0)+IF('Reels'!D26="heal",'Reels'!D27*'Slots'!D24,0)+IF('Reels'!D42="heal",'Reels'!D43*'Slots'!D24,0)</f>
        <v>2</v>
      </c>
      <c r="F182">
        <f>IF('Reels'!D14="block",'Reels'!D15*'Slots'!D25,0)+IF('Reels'!D26="block",'Reels'!D27*'Slots'!D25,0)+IF('Reels'!D42="block",'Reels'!D43*'Slots'!D25,0)</f>
        <v>1</v>
      </c>
      <c r="G182" t="b">
        <f>AND('Reels'!D14&lt;&gt;"blank",'Reels'!D14&lt;&gt;"class",'Reels'!D14='Reels'!D42,'Reels'!D15='Reels'!D43,OR('Reels'!D26="class",AND('Reels'!D26='Reels'!D14,'Reels'!D27='Reels'!D15)))</f>
        <v>0</v>
      </c>
      <c r="H182">
        <f>IF(G182,C182,0)</f>
        <v>0</v>
      </c>
    </row>
    <row r="183" spans="1:8" x14ac:dyDescent="0.25">
      <c r="A183" t="s">
        <v>225</v>
      </c>
      <c r="B183" t="s">
        <v>3546</v>
      </c>
      <c r="C183" s="4">
        <f>('Reels'!D16/('Reels'!D4+'Reels'!D7+'Reels'!D10+'Reels'!D13+'Reels'!D16+'Reels'!D19))*('Reels'!D28/('Reels'!D22+'Reels'!D25+'Reels'!D28+'Reels'!D31+'Reels'!D34+'Reels'!D37+'Reels'!D40))*('Reels'!D47/('Reels'!D44+'Reels'!D47+'Reels'!D50+'Reels'!D53+'Reels'!D56+'Reels'!D59))</f>
        <v>0.0011784511784511786</v>
      </c>
      <c r="D183">
        <f>IF(OR('Reels'!D14="attack",'Reels'!D14="magic"),CHOOSE('Reels'!D15+1,'Slots'!D29,'Slots'!D30,'Slots'!D31,'Slots'!D32,'Slots'!D33),0)+IF(OR('Reels'!D26="attack",'Reels'!D26="magic"),CHOOSE('Reels'!D27+1,'Slots'!D29,'Slots'!D30,'Slots'!D31,'Slots'!D32,'Slots'!D33),0)+IF(OR('Reels'!D45="attack",'Reels'!D45="magic"),CHOOSE('Reels'!D46+1,'Slots'!D29,'Slots'!D30,'Slots'!D31,'Slots'!D32,'Slots'!D33),0)</f>
        <v>4</v>
      </c>
      <c r="E183">
        <f>IF('Reels'!D14="heal",'Reels'!D15*'Slots'!D24,0)+IF('Reels'!D26="heal",'Reels'!D27*'Slots'!D24,0)+IF('Reels'!D45="heal",'Reels'!D46*'Slots'!D24,0)</f>
        <v>2</v>
      </c>
      <c r="F183">
        <f>IF('Reels'!D14="block",'Reels'!D15*'Slots'!D25,0)+IF('Reels'!D26="block",'Reels'!D27*'Slots'!D25,0)+IF('Reels'!D45="block",'Reels'!D46*'Slots'!D25,0)</f>
        <v>1</v>
      </c>
      <c r="G183" t="b">
        <f>AND('Reels'!D14&lt;&gt;"blank",'Reels'!D14&lt;&gt;"class",'Reels'!D14='Reels'!D45,'Reels'!D15='Reels'!D46,OR('Reels'!D26="class",AND('Reels'!D26='Reels'!D14,'Reels'!D27='Reels'!D15)))</f>
        <v>0</v>
      </c>
      <c r="H183">
        <f>IF(G183,C183,0)</f>
        <v>0</v>
      </c>
    </row>
    <row r="184" spans="1:8" x14ac:dyDescent="0.25">
      <c r="A184" t="s">
        <v>225</v>
      </c>
      <c r="B184" t="s">
        <v>3547</v>
      </c>
      <c r="C184" s="4">
        <f>('Reels'!D16/('Reels'!D4+'Reels'!D7+'Reels'!D10+'Reels'!D13+'Reels'!D16+'Reels'!D19))*('Reels'!D28/('Reels'!D22+'Reels'!D25+'Reels'!D28+'Reels'!D31+'Reels'!D34+'Reels'!D37+'Reels'!D40))*('Reels'!D50/('Reels'!D44+'Reels'!D47+'Reels'!D50+'Reels'!D53+'Reels'!D56+'Reels'!D59))</f>
        <v>0.00164983164983165</v>
      </c>
      <c r="D184">
        <f>IF(OR('Reels'!D14="attack",'Reels'!D14="magic"),CHOOSE('Reels'!D15+1,'Slots'!D29,'Slots'!D30,'Slots'!D31,'Slots'!D32,'Slots'!D33),0)+IF(OR('Reels'!D26="attack",'Reels'!D26="magic"),CHOOSE('Reels'!D27+1,'Slots'!D29,'Slots'!D30,'Slots'!D31,'Slots'!D32,'Slots'!D33),0)+IF(OR('Reels'!D48="attack",'Reels'!D48="magic"),CHOOSE('Reels'!D49+1,'Slots'!D29,'Slots'!D30,'Slots'!D31,'Slots'!D32,'Slots'!D33),0)</f>
        <v>0</v>
      </c>
      <c r="E184">
        <f>IF('Reels'!D14="heal",'Reels'!D15*'Slots'!D24,0)+IF('Reels'!D26="heal",'Reels'!D27*'Slots'!D24,0)+IF('Reels'!D48="heal",'Reels'!D49*'Slots'!D24,0)</f>
        <v>2</v>
      </c>
      <c r="F184">
        <f>IF('Reels'!D14="block",'Reels'!D15*'Slots'!D25,0)+IF('Reels'!D26="block",'Reels'!D27*'Slots'!D25,0)+IF('Reels'!D48="block",'Reels'!D49*'Slots'!D25,0)</f>
        <v>2</v>
      </c>
      <c r="G184" t="b">
        <f>AND('Reels'!D14&lt;&gt;"blank",'Reels'!D14&lt;&gt;"class",'Reels'!D14='Reels'!D48,'Reels'!D15='Reels'!D49,OR('Reels'!D26="class",AND('Reels'!D26='Reels'!D14,'Reels'!D27='Reels'!D15)))</f>
        <v>0</v>
      </c>
      <c r="H184">
        <f>IF(G184,C184,0)</f>
        <v>0</v>
      </c>
    </row>
    <row r="185" spans="1:8" x14ac:dyDescent="0.25">
      <c r="A185" t="s">
        <v>225</v>
      </c>
      <c r="B185" t="s">
        <v>3548</v>
      </c>
      <c r="C185" s="4">
        <f>('Reels'!D16/('Reels'!D4+'Reels'!D7+'Reels'!D10+'Reels'!D13+'Reels'!D16+'Reels'!D19))*('Reels'!D28/('Reels'!D22+'Reels'!D25+'Reels'!D28+'Reels'!D31+'Reels'!D34+'Reels'!D37+'Reels'!D40))*('Reels'!D53/('Reels'!D44+'Reels'!D47+'Reels'!D50+'Reels'!D53+'Reels'!D56+'Reels'!D59))</f>
        <v>0.0007070707070707071</v>
      </c>
      <c r="D185">
        <f>IF(OR('Reels'!D14="attack",'Reels'!D14="magic"),CHOOSE('Reels'!D15+1,'Slots'!D29,'Slots'!D30,'Slots'!D31,'Slots'!D32,'Slots'!D33),0)+IF(OR('Reels'!D26="attack",'Reels'!D26="magic"),CHOOSE('Reels'!D27+1,'Slots'!D29,'Slots'!D30,'Slots'!D31,'Slots'!D32,'Slots'!D33),0)+IF(OR('Reels'!D51="attack",'Reels'!D51="magic"),CHOOSE('Reels'!D52+1,'Slots'!D29,'Slots'!D30,'Slots'!D31,'Slots'!D32,'Slots'!D33),0)</f>
        <v>0</v>
      </c>
      <c r="E185">
        <f>IF('Reels'!D14="heal",'Reels'!D15*'Slots'!D24,0)+IF('Reels'!D26="heal",'Reels'!D27*'Slots'!D24,0)+IF('Reels'!D51="heal",'Reels'!D52*'Slots'!D24,0)</f>
        <v>2</v>
      </c>
      <c r="F185">
        <f>IF('Reels'!D14="block",'Reels'!D15*'Slots'!D25,0)+IF('Reels'!D26="block",'Reels'!D27*'Slots'!D25,0)+IF('Reels'!D51="block",'Reels'!D52*'Slots'!D25,0)</f>
        <v>3</v>
      </c>
      <c r="G185" t="b">
        <f>AND('Reels'!D14&lt;&gt;"blank",'Reels'!D14&lt;&gt;"class",'Reels'!D14='Reels'!D51,'Reels'!D15='Reels'!D52,OR('Reels'!D26="class",AND('Reels'!D26='Reels'!D14,'Reels'!D27='Reels'!D15)))</f>
        <v>0</v>
      </c>
      <c r="H185">
        <f>IF(G185,C185,0)</f>
        <v>0</v>
      </c>
    </row>
    <row r="186" spans="1:8" x14ac:dyDescent="0.25">
      <c r="A186" t="s">
        <v>225</v>
      </c>
      <c r="B186" t="s">
        <v>3549</v>
      </c>
      <c r="C186" s="4">
        <f>('Reels'!D16/('Reels'!D4+'Reels'!D7+'Reels'!D10+'Reels'!D13+'Reels'!D16+'Reels'!D19))*('Reels'!D28/('Reels'!D22+'Reels'!D25+'Reels'!D28+'Reels'!D31+'Reels'!D34+'Reels'!D37+'Reels'!D40))*('Reels'!D56/('Reels'!D44+'Reels'!D47+'Reels'!D50+'Reels'!D53+'Reels'!D56+'Reels'!D59))</f>
        <v>0.0002356902356902357</v>
      </c>
      <c r="D186">
        <f>IF(OR('Reels'!D14="attack",'Reels'!D14="magic"),CHOOSE('Reels'!D15+1,'Slots'!D29,'Slots'!D30,'Slots'!D31,'Slots'!D32,'Slots'!D33),0)+IF(OR('Reels'!D26="attack",'Reels'!D26="magic"),CHOOSE('Reels'!D27+1,'Slots'!D29,'Slots'!D30,'Slots'!D31,'Slots'!D32,'Slots'!D33),0)+IF(OR('Reels'!D54="attack",'Reels'!D54="magic"),CHOOSE('Reels'!D55+1,'Slots'!D29,'Slots'!D30,'Slots'!D31,'Slots'!D32,'Slots'!D33),0)</f>
        <v>0</v>
      </c>
      <c r="E186">
        <f>IF('Reels'!D14="heal",'Reels'!D15*'Slots'!D24,0)+IF('Reels'!D26="heal",'Reels'!D27*'Slots'!D24,0)+IF('Reels'!D54="heal",'Reels'!D55*'Slots'!D24,0)</f>
        <v>4</v>
      </c>
      <c r="F186">
        <f>IF('Reels'!D14="block",'Reels'!D15*'Slots'!D25,0)+IF('Reels'!D26="block",'Reels'!D27*'Slots'!D25,0)+IF('Reels'!D54="block",'Reels'!D55*'Slots'!D25,0)</f>
        <v>1</v>
      </c>
      <c r="G186" t="b">
        <f>AND('Reels'!D14&lt;&gt;"blank",'Reels'!D14&lt;&gt;"class",'Reels'!D14='Reels'!D54,'Reels'!D15='Reels'!D55,OR('Reels'!D26="class",AND('Reels'!D26='Reels'!D14,'Reels'!D27='Reels'!D15)))</f>
        <v>0</v>
      </c>
      <c r="H186">
        <f>IF(G186,C186,0)</f>
        <v>0</v>
      </c>
    </row>
    <row r="187" spans="1:8" x14ac:dyDescent="0.25">
      <c r="A187" t="s">
        <v>225</v>
      </c>
      <c r="B187" t="s">
        <v>3550</v>
      </c>
      <c r="C187" s="4">
        <f>('Reels'!D16/('Reels'!D4+'Reels'!D7+'Reels'!D10+'Reels'!D13+'Reels'!D16+'Reels'!D19))*('Reels'!D28/('Reels'!D22+'Reels'!D25+'Reels'!D28+'Reels'!D31+'Reels'!D34+'Reels'!D37+'Reels'!D40))*('Reels'!D59/('Reels'!D44+'Reels'!D47+'Reels'!D50+'Reels'!D53+'Reels'!D56+'Reels'!D59))</f>
        <v>0.0011784511784511786</v>
      </c>
      <c r="D187">
        <f>IF(OR('Reels'!D14="attack",'Reels'!D14="magic"),CHOOSE('Reels'!D15+1,'Slots'!D29,'Slots'!D30,'Slots'!D31,'Slots'!D32,'Slots'!D33),0)+IF(OR('Reels'!D26="attack",'Reels'!D26="magic"),CHOOSE('Reels'!D27+1,'Slots'!D29,'Slots'!D30,'Slots'!D31,'Slots'!D32,'Slots'!D33),0)+IF(OR('Reels'!D57="attack",'Reels'!D57="magic"),CHOOSE('Reels'!D58+1,'Slots'!D29,'Slots'!D30,'Slots'!D31,'Slots'!D32,'Slots'!D33),0)</f>
        <v>0</v>
      </c>
      <c r="E187">
        <f>IF('Reels'!D14="heal",'Reels'!D15*'Slots'!D24,0)+IF('Reels'!D26="heal",'Reels'!D27*'Slots'!D24,0)+IF('Reels'!D57="heal",'Reels'!D58*'Slots'!D24,0)</f>
        <v>2</v>
      </c>
      <c r="F187">
        <f>IF('Reels'!D14="block",'Reels'!D15*'Slots'!D25,0)+IF('Reels'!D26="block",'Reels'!D27*'Slots'!D25,0)+IF('Reels'!D57="block",'Reels'!D58*'Slots'!D25,0)</f>
        <v>1</v>
      </c>
      <c r="G187" t="b">
        <f>AND('Reels'!D14&lt;&gt;"blank",'Reels'!D14&lt;&gt;"class",'Reels'!D14='Reels'!D57,'Reels'!D15='Reels'!D58,OR('Reels'!D26="class",AND('Reels'!D26='Reels'!D14,'Reels'!D27='Reels'!D15)))</f>
        <v>0</v>
      </c>
      <c r="H187">
        <f>IF(G187,C187,0)</f>
        <v>0</v>
      </c>
    </row>
    <row r="188" spans="1:8" x14ac:dyDescent="0.25">
      <c r="A188" t="s">
        <v>225</v>
      </c>
      <c r="B188" t="s">
        <v>3551</v>
      </c>
      <c r="C188" s="4">
        <f>('Reels'!D16/('Reels'!D4+'Reels'!D7+'Reels'!D10+'Reels'!D13+'Reels'!D16+'Reels'!D19))*('Reels'!D31/('Reels'!D22+'Reels'!D25+'Reels'!D28+'Reels'!D31+'Reels'!D34+'Reels'!D37+'Reels'!D40))*('Reels'!D44/('Reels'!D44+'Reels'!D47+'Reels'!D50+'Reels'!D53+'Reels'!D56+'Reels'!D59))</f>
        <v>0.0009090909090909091</v>
      </c>
      <c r="D188">
        <f>IF(OR('Reels'!D14="attack",'Reels'!D14="magic"),CHOOSE('Reels'!D15+1,'Slots'!D29,'Slots'!D30,'Slots'!D31,'Slots'!D32,'Slots'!D33),0)+IF(OR('Reels'!D29="attack",'Reels'!D29="magic"),CHOOSE('Reels'!D30+1,'Slots'!D29,'Slots'!D30,'Slots'!D31,'Slots'!D32,'Slots'!D33),0)+IF(OR('Reels'!D42="attack",'Reels'!D42="magic"),CHOOSE('Reels'!D43+1,'Slots'!D29,'Slots'!D30,'Slots'!D31,'Slots'!D32,'Slots'!D33),0)</f>
        <v>2</v>
      </c>
      <c r="E188">
        <f>IF('Reels'!D14="heal",'Reels'!D15*'Slots'!D24,0)+IF('Reels'!D29="heal",'Reels'!D30*'Slots'!D24,0)+IF('Reels'!D42="heal",'Reels'!D43*'Slots'!D24,0)</f>
        <v>2</v>
      </c>
      <c r="F188">
        <f>IF('Reels'!D14="block",'Reels'!D15*'Slots'!D25,0)+IF('Reels'!D29="block",'Reels'!D30*'Slots'!D25,0)+IF('Reels'!D42="block",'Reels'!D43*'Slots'!D25,0)</f>
        <v>2</v>
      </c>
      <c r="G188" t="b">
        <f>AND('Reels'!D14&lt;&gt;"blank",'Reels'!D14&lt;&gt;"class",'Reels'!D14='Reels'!D42,'Reels'!D15='Reels'!D43,OR('Reels'!D29="class",AND('Reels'!D29='Reels'!D14,'Reels'!D30='Reels'!D15)))</f>
        <v>0</v>
      </c>
      <c r="H188">
        <f>IF(G188,C188,0)</f>
        <v>0</v>
      </c>
    </row>
    <row r="189" spans="1:8" x14ac:dyDescent="0.25">
      <c r="A189" t="s">
        <v>225</v>
      </c>
      <c r="B189" t="s">
        <v>3552</v>
      </c>
      <c r="C189" s="4">
        <f>('Reels'!D16/('Reels'!D4+'Reels'!D7+'Reels'!D10+'Reels'!D13+'Reels'!D16+'Reels'!D19))*('Reels'!D31/('Reels'!D22+'Reels'!D25+'Reels'!D28+'Reels'!D31+'Reels'!D34+'Reels'!D37+'Reels'!D40))*('Reels'!D47/('Reels'!D44+'Reels'!D47+'Reels'!D50+'Reels'!D53+'Reels'!D56+'Reels'!D59))</f>
        <v>0.000505050505050505</v>
      </c>
      <c r="D189">
        <f>IF(OR('Reels'!D14="attack",'Reels'!D14="magic"),CHOOSE('Reels'!D15+1,'Slots'!D29,'Slots'!D30,'Slots'!D31,'Slots'!D32,'Slots'!D33),0)+IF(OR('Reels'!D29="attack",'Reels'!D29="magic"),CHOOSE('Reels'!D30+1,'Slots'!D29,'Slots'!D30,'Slots'!D31,'Slots'!D32,'Slots'!D33),0)+IF(OR('Reels'!D45="attack",'Reels'!D45="magic"),CHOOSE('Reels'!D46+1,'Slots'!D29,'Slots'!D30,'Slots'!D31,'Slots'!D32,'Slots'!D33),0)</f>
        <v>4</v>
      </c>
      <c r="E189">
        <f>IF('Reels'!D14="heal",'Reels'!D15*'Slots'!D24,0)+IF('Reels'!D29="heal",'Reels'!D30*'Slots'!D24,0)+IF('Reels'!D45="heal",'Reels'!D46*'Slots'!D24,0)</f>
        <v>2</v>
      </c>
      <c r="F189">
        <f>IF('Reels'!D14="block",'Reels'!D15*'Slots'!D25,0)+IF('Reels'!D29="block",'Reels'!D30*'Slots'!D25,0)+IF('Reels'!D45="block",'Reels'!D46*'Slots'!D25,0)</f>
        <v>2</v>
      </c>
      <c r="G189" t="b">
        <f>AND('Reels'!D14&lt;&gt;"blank",'Reels'!D14&lt;&gt;"class",'Reels'!D14='Reels'!D45,'Reels'!D15='Reels'!D46,OR('Reels'!D29="class",AND('Reels'!D29='Reels'!D14,'Reels'!D30='Reels'!D15)))</f>
        <v>0</v>
      </c>
      <c r="H189">
        <f>IF(G189,C189,0)</f>
        <v>0</v>
      </c>
    </row>
    <row r="190" spans="1:8" x14ac:dyDescent="0.25">
      <c r="A190" t="s">
        <v>225</v>
      </c>
      <c r="B190" t="s">
        <v>3553</v>
      </c>
      <c r="C190" s="4">
        <f>('Reels'!D16/('Reels'!D4+'Reels'!D7+'Reels'!D10+'Reels'!D13+'Reels'!D16+'Reels'!D19))*('Reels'!D31/('Reels'!D22+'Reels'!D25+'Reels'!D28+'Reels'!D31+'Reels'!D34+'Reels'!D37+'Reels'!D40))*('Reels'!D50/('Reels'!D44+'Reels'!D47+'Reels'!D50+'Reels'!D53+'Reels'!D56+'Reels'!D59))</f>
        <v>0.0007070707070707071</v>
      </c>
      <c r="D190">
        <f>IF(OR('Reels'!D14="attack",'Reels'!D14="magic"),CHOOSE('Reels'!D15+1,'Slots'!D29,'Slots'!D30,'Slots'!D31,'Slots'!D32,'Slots'!D33),0)+IF(OR('Reels'!D29="attack",'Reels'!D29="magic"),CHOOSE('Reels'!D30+1,'Slots'!D29,'Slots'!D30,'Slots'!D31,'Slots'!D32,'Slots'!D33),0)+IF(OR('Reels'!D48="attack",'Reels'!D48="magic"),CHOOSE('Reels'!D49+1,'Slots'!D29,'Slots'!D30,'Slots'!D31,'Slots'!D32,'Slots'!D33),0)</f>
        <v>0</v>
      </c>
      <c r="E190">
        <f>IF('Reels'!D14="heal",'Reels'!D15*'Slots'!D24,0)+IF('Reels'!D29="heal",'Reels'!D30*'Slots'!D24,0)+IF('Reels'!D48="heal",'Reels'!D49*'Slots'!D24,0)</f>
        <v>2</v>
      </c>
      <c r="F190">
        <f>IF('Reels'!D14="block",'Reels'!D15*'Slots'!D25,0)+IF('Reels'!D29="block",'Reels'!D30*'Slots'!D25,0)+IF('Reels'!D48="block",'Reels'!D49*'Slots'!D25,0)</f>
        <v>3</v>
      </c>
      <c r="G190" t="b">
        <f>AND('Reels'!D14&lt;&gt;"blank",'Reels'!D14&lt;&gt;"class",'Reels'!D14='Reels'!D48,'Reels'!D15='Reels'!D49,OR('Reels'!D29="class",AND('Reels'!D29='Reels'!D14,'Reels'!D30='Reels'!D15)))</f>
        <v>0</v>
      </c>
      <c r="H190">
        <f>IF(G190,C190,0)</f>
        <v>0</v>
      </c>
    </row>
    <row r="191" spans="1:8" x14ac:dyDescent="0.25">
      <c r="A191" t="s">
        <v>225</v>
      </c>
      <c r="B191" t="s">
        <v>3554</v>
      </c>
      <c r="C191" s="4">
        <f>('Reels'!D16/('Reels'!D4+'Reels'!D7+'Reels'!D10+'Reels'!D13+'Reels'!D16+'Reels'!D19))*('Reels'!D31/('Reels'!D22+'Reels'!D25+'Reels'!D28+'Reels'!D31+'Reels'!D34+'Reels'!D37+'Reels'!D40))*('Reels'!D53/('Reels'!D44+'Reels'!D47+'Reels'!D50+'Reels'!D53+'Reels'!D56+'Reels'!D59))</f>
        <v>0.00030303030303030303</v>
      </c>
      <c r="D191">
        <f>IF(OR('Reels'!D14="attack",'Reels'!D14="magic"),CHOOSE('Reels'!D15+1,'Slots'!D29,'Slots'!D30,'Slots'!D31,'Slots'!D32,'Slots'!D33),0)+IF(OR('Reels'!D29="attack",'Reels'!D29="magic"),CHOOSE('Reels'!D30+1,'Slots'!D29,'Slots'!D30,'Slots'!D31,'Slots'!D32,'Slots'!D33),0)+IF(OR('Reels'!D51="attack",'Reels'!D51="magic"),CHOOSE('Reels'!D52+1,'Slots'!D29,'Slots'!D30,'Slots'!D31,'Slots'!D32,'Slots'!D33),0)</f>
        <v>0</v>
      </c>
      <c r="E191">
        <f>IF('Reels'!D14="heal",'Reels'!D15*'Slots'!D24,0)+IF('Reels'!D29="heal",'Reels'!D30*'Slots'!D24,0)+IF('Reels'!D51="heal",'Reels'!D52*'Slots'!D24,0)</f>
        <v>2</v>
      </c>
      <c r="F191">
        <f>IF('Reels'!D14="block",'Reels'!D15*'Slots'!D25,0)+IF('Reels'!D29="block",'Reels'!D30*'Slots'!D25,0)+IF('Reels'!D51="block",'Reels'!D52*'Slots'!D25,0)</f>
        <v>4</v>
      </c>
      <c r="G191" t="b">
        <f>AND('Reels'!D14&lt;&gt;"blank",'Reels'!D14&lt;&gt;"class",'Reels'!D14='Reels'!D51,'Reels'!D15='Reels'!D52,OR('Reels'!D29="class",AND('Reels'!D29='Reels'!D14,'Reels'!D30='Reels'!D15)))</f>
        <v>0</v>
      </c>
      <c r="H191">
        <f>IF(G191,C191,0)</f>
        <v>0</v>
      </c>
    </row>
    <row r="192" spans="1:8" x14ac:dyDescent="0.25">
      <c r="A192" t="s">
        <v>225</v>
      </c>
      <c r="B192" t="s">
        <v>3555</v>
      </c>
      <c r="C192" s="4">
        <f>('Reels'!D16/('Reels'!D4+'Reels'!D7+'Reels'!D10+'Reels'!D13+'Reels'!D16+'Reels'!D19))*('Reels'!D31/('Reels'!D22+'Reels'!D25+'Reels'!D28+'Reels'!D31+'Reels'!D34+'Reels'!D37+'Reels'!D40))*('Reels'!D56/('Reels'!D44+'Reels'!D47+'Reels'!D50+'Reels'!D53+'Reels'!D56+'Reels'!D59))</f>
        <v>0.00010101010101010101</v>
      </c>
      <c r="D192">
        <f>IF(OR('Reels'!D14="attack",'Reels'!D14="magic"),CHOOSE('Reels'!D15+1,'Slots'!D29,'Slots'!D30,'Slots'!D31,'Slots'!D32,'Slots'!D33),0)+IF(OR('Reels'!D29="attack",'Reels'!D29="magic"),CHOOSE('Reels'!D30+1,'Slots'!D29,'Slots'!D30,'Slots'!D31,'Slots'!D32,'Slots'!D33),0)+IF(OR('Reels'!D54="attack",'Reels'!D54="magic"),CHOOSE('Reels'!D55+1,'Slots'!D29,'Slots'!D30,'Slots'!D31,'Slots'!D32,'Slots'!D33),0)</f>
        <v>0</v>
      </c>
      <c r="E192">
        <f>IF('Reels'!D14="heal",'Reels'!D15*'Slots'!D24,0)+IF('Reels'!D29="heal",'Reels'!D30*'Slots'!D24,0)+IF('Reels'!D54="heal",'Reels'!D55*'Slots'!D24,0)</f>
        <v>4</v>
      </c>
      <c r="F192">
        <f>IF('Reels'!D14="block",'Reels'!D15*'Slots'!D25,0)+IF('Reels'!D29="block",'Reels'!D30*'Slots'!D25,0)+IF('Reels'!D54="block",'Reels'!D55*'Slots'!D25,0)</f>
        <v>2</v>
      </c>
      <c r="G192" t="b">
        <f>AND('Reels'!D14&lt;&gt;"blank",'Reels'!D14&lt;&gt;"class",'Reels'!D14='Reels'!D54,'Reels'!D15='Reels'!D55,OR('Reels'!D29="class",AND('Reels'!D29='Reels'!D14,'Reels'!D30='Reels'!D15)))</f>
        <v>0</v>
      </c>
      <c r="H192">
        <f>IF(G192,C192,0)</f>
        <v>0</v>
      </c>
    </row>
    <row r="193" spans="1:8" x14ac:dyDescent="0.25">
      <c r="A193" t="s">
        <v>225</v>
      </c>
      <c r="B193" t="s">
        <v>3556</v>
      </c>
      <c r="C193" s="4">
        <f>('Reels'!D16/('Reels'!D4+'Reels'!D7+'Reels'!D10+'Reels'!D13+'Reels'!D16+'Reels'!D19))*('Reels'!D31/('Reels'!D22+'Reels'!D25+'Reels'!D28+'Reels'!D31+'Reels'!D34+'Reels'!D37+'Reels'!D40))*('Reels'!D59/('Reels'!D44+'Reels'!D47+'Reels'!D50+'Reels'!D53+'Reels'!D56+'Reels'!D59))</f>
        <v>0.000505050505050505</v>
      </c>
      <c r="D193">
        <f>IF(OR('Reels'!D14="attack",'Reels'!D14="magic"),CHOOSE('Reels'!D15+1,'Slots'!D29,'Slots'!D30,'Slots'!D31,'Slots'!D32,'Slots'!D33),0)+IF(OR('Reels'!D29="attack",'Reels'!D29="magic"),CHOOSE('Reels'!D30+1,'Slots'!D29,'Slots'!D30,'Slots'!D31,'Slots'!D32,'Slots'!D33),0)+IF(OR('Reels'!D57="attack",'Reels'!D57="magic"),CHOOSE('Reels'!D58+1,'Slots'!D29,'Slots'!D30,'Slots'!D31,'Slots'!D32,'Slots'!D33),0)</f>
        <v>0</v>
      </c>
      <c r="E193">
        <f>IF('Reels'!D14="heal",'Reels'!D15*'Slots'!D24,0)+IF('Reels'!D29="heal",'Reels'!D30*'Slots'!D24,0)+IF('Reels'!D57="heal",'Reels'!D58*'Slots'!D24,0)</f>
        <v>2</v>
      </c>
      <c r="F193">
        <f>IF('Reels'!D14="block",'Reels'!D15*'Slots'!D25,0)+IF('Reels'!D29="block",'Reels'!D30*'Slots'!D25,0)+IF('Reels'!D57="block",'Reels'!D58*'Slots'!D25,0)</f>
        <v>2</v>
      </c>
      <c r="G193" t="b">
        <f>AND('Reels'!D14&lt;&gt;"blank",'Reels'!D14&lt;&gt;"class",'Reels'!D14='Reels'!D57,'Reels'!D15='Reels'!D58,OR('Reels'!D29="class",AND('Reels'!D29='Reels'!D14,'Reels'!D30='Reels'!D15)))</f>
        <v>0</v>
      </c>
      <c r="H193">
        <f>IF(G193,C193,0)</f>
        <v>0</v>
      </c>
    </row>
    <row r="194" spans="1:8" x14ac:dyDescent="0.25">
      <c r="A194" t="s">
        <v>225</v>
      </c>
      <c r="B194" t="s">
        <v>3557</v>
      </c>
      <c r="C194" s="4">
        <f>('Reels'!D16/('Reels'!D4+'Reels'!D7+'Reels'!D10+'Reels'!D13+'Reels'!D16+'Reels'!D19))*('Reels'!D34/('Reels'!D22+'Reels'!D25+'Reels'!D28+'Reels'!D31+'Reels'!D34+'Reels'!D37+'Reels'!D40))*('Reels'!D44/('Reels'!D44+'Reels'!D47+'Reels'!D50+'Reels'!D53+'Reels'!D56+'Reels'!D59))</f>
        <v>0.00030303030303030303</v>
      </c>
      <c r="D194">
        <f>IF(OR('Reels'!D14="attack",'Reels'!D14="magic"),CHOOSE('Reels'!D15+1,'Slots'!D29,'Slots'!D30,'Slots'!D31,'Slots'!D32,'Slots'!D33),0)+IF(OR('Reels'!D32="attack",'Reels'!D32="magic"),CHOOSE('Reels'!D33+1,'Slots'!D29,'Slots'!D30,'Slots'!D31,'Slots'!D32,'Slots'!D33),0)+IF(OR('Reels'!D42="attack",'Reels'!D42="magic"),CHOOSE('Reels'!D43+1,'Slots'!D29,'Slots'!D30,'Slots'!D31,'Slots'!D32,'Slots'!D33),0)</f>
        <v>2</v>
      </c>
      <c r="E194">
        <f>IF('Reels'!D14="heal",'Reels'!D15*'Slots'!D24,0)+IF('Reels'!D32="heal",'Reels'!D33*'Slots'!D24,0)+IF('Reels'!D42="heal",'Reels'!D43*'Slots'!D24,0)</f>
        <v>4</v>
      </c>
      <c r="F194">
        <f>IF('Reels'!D14="block",'Reels'!D15*'Slots'!D25,0)+IF('Reels'!D32="block",'Reels'!D33*'Slots'!D25,0)+IF('Reels'!D42="block",'Reels'!D43*'Slots'!D25,0)</f>
        <v>0</v>
      </c>
      <c r="G194" t="b">
        <f>AND('Reels'!D14&lt;&gt;"blank",'Reels'!D14&lt;&gt;"class",'Reels'!D14='Reels'!D42,'Reels'!D15='Reels'!D43,OR('Reels'!D32="class",AND('Reels'!D32='Reels'!D14,'Reels'!D33='Reels'!D15)))</f>
        <v>0</v>
      </c>
      <c r="H194">
        <f>IF(G194,C194,0)</f>
        <v>0</v>
      </c>
    </row>
    <row r="195" spans="1:8" x14ac:dyDescent="0.25">
      <c r="A195" t="s">
        <v>225</v>
      </c>
      <c r="B195" t="s">
        <v>3558</v>
      </c>
      <c r="C195" s="4">
        <f>('Reels'!D16/('Reels'!D4+'Reels'!D7+'Reels'!D10+'Reels'!D13+'Reels'!D16+'Reels'!D19))*('Reels'!D34/('Reels'!D22+'Reels'!D25+'Reels'!D28+'Reels'!D31+'Reels'!D34+'Reels'!D37+'Reels'!D40))*('Reels'!D47/('Reels'!D44+'Reels'!D47+'Reels'!D50+'Reels'!D53+'Reels'!D56+'Reels'!D59))</f>
        <v>0.00016835016835016833</v>
      </c>
      <c r="D195">
        <f>IF(OR('Reels'!D14="attack",'Reels'!D14="magic"),CHOOSE('Reels'!D15+1,'Slots'!D29,'Slots'!D30,'Slots'!D31,'Slots'!D32,'Slots'!D33),0)+IF(OR('Reels'!D32="attack",'Reels'!D32="magic"),CHOOSE('Reels'!D33+1,'Slots'!D29,'Slots'!D30,'Slots'!D31,'Slots'!D32,'Slots'!D33),0)+IF(OR('Reels'!D45="attack",'Reels'!D45="magic"),CHOOSE('Reels'!D46+1,'Slots'!D29,'Slots'!D30,'Slots'!D31,'Slots'!D32,'Slots'!D33),0)</f>
        <v>4</v>
      </c>
      <c r="E195">
        <f>IF('Reels'!D14="heal",'Reels'!D15*'Slots'!D24,0)+IF('Reels'!D32="heal",'Reels'!D33*'Slots'!D24,0)+IF('Reels'!D45="heal",'Reels'!D46*'Slots'!D24,0)</f>
        <v>4</v>
      </c>
      <c r="F195">
        <f>IF('Reels'!D14="block",'Reels'!D15*'Slots'!D25,0)+IF('Reels'!D32="block",'Reels'!D33*'Slots'!D25,0)+IF('Reels'!D45="block",'Reels'!D46*'Slots'!D25,0)</f>
        <v>0</v>
      </c>
      <c r="G195" t="b">
        <f>AND('Reels'!D14&lt;&gt;"blank",'Reels'!D14&lt;&gt;"class",'Reels'!D14='Reels'!D45,'Reels'!D15='Reels'!D46,OR('Reels'!D32="class",AND('Reels'!D32='Reels'!D14,'Reels'!D33='Reels'!D15)))</f>
        <v>0</v>
      </c>
      <c r="H195">
        <f>IF(G195,C195,0)</f>
        <v>0</v>
      </c>
    </row>
    <row r="196" spans="1:8" x14ac:dyDescent="0.25">
      <c r="A196" t="s">
        <v>225</v>
      </c>
      <c r="B196" t="s">
        <v>3559</v>
      </c>
      <c r="C196" s="4">
        <f>('Reels'!D16/('Reels'!D4+'Reels'!D7+'Reels'!D10+'Reels'!D13+'Reels'!D16+'Reels'!D19))*('Reels'!D34/('Reels'!D22+'Reels'!D25+'Reels'!D28+'Reels'!D31+'Reels'!D34+'Reels'!D37+'Reels'!D40))*('Reels'!D50/('Reels'!D44+'Reels'!D47+'Reels'!D50+'Reels'!D53+'Reels'!D56+'Reels'!D59))</f>
        <v>0.0002356902356902357</v>
      </c>
      <c r="D196">
        <f>IF(OR('Reels'!D14="attack",'Reels'!D14="magic"),CHOOSE('Reels'!D15+1,'Slots'!D29,'Slots'!D30,'Slots'!D31,'Slots'!D32,'Slots'!D33),0)+IF(OR('Reels'!D32="attack",'Reels'!D32="magic"),CHOOSE('Reels'!D33+1,'Slots'!D29,'Slots'!D30,'Slots'!D31,'Slots'!D32,'Slots'!D33),0)+IF(OR('Reels'!D48="attack",'Reels'!D48="magic"),CHOOSE('Reels'!D49+1,'Slots'!D29,'Slots'!D30,'Slots'!D31,'Slots'!D32,'Slots'!D33),0)</f>
        <v>0</v>
      </c>
      <c r="E196">
        <f>IF('Reels'!D14="heal",'Reels'!D15*'Slots'!D24,0)+IF('Reels'!D32="heal",'Reels'!D33*'Slots'!D24,0)+IF('Reels'!D48="heal",'Reels'!D49*'Slots'!D24,0)</f>
        <v>4</v>
      </c>
      <c r="F196">
        <f>IF('Reels'!D14="block",'Reels'!D15*'Slots'!D25,0)+IF('Reels'!D32="block",'Reels'!D33*'Slots'!D25,0)+IF('Reels'!D48="block",'Reels'!D49*'Slots'!D25,0)</f>
        <v>1</v>
      </c>
      <c r="G196" t="b">
        <f>AND('Reels'!D14&lt;&gt;"blank",'Reels'!D14&lt;&gt;"class",'Reels'!D14='Reels'!D48,'Reels'!D15='Reels'!D49,OR('Reels'!D32="class",AND('Reels'!D32='Reels'!D14,'Reels'!D33='Reels'!D15)))</f>
        <v>0</v>
      </c>
      <c r="H196">
        <f>IF(G196,C196,0)</f>
        <v>0</v>
      </c>
    </row>
    <row r="197" spans="1:8" x14ac:dyDescent="0.25">
      <c r="A197" t="s">
        <v>225</v>
      </c>
      <c r="B197" t="s">
        <v>3560</v>
      </c>
      <c r="C197" s="4">
        <f>('Reels'!D16/('Reels'!D4+'Reels'!D7+'Reels'!D10+'Reels'!D13+'Reels'!D16+'Reels'!D19))*('Reels'!D34/('Reels'!D22+'Reels'!D25+'Reels'!D28+'Reels'!D31+'Reels'!D34+'Reels'!D37+'Reels'!D40))*('Reels'!D53/('Reels'!D44+'Reels'!D47+'Reels'!D50+'Reels'!D53+'Reels'!D56+'Reels'!D59))</f>
        <v>0.00010101010101010101</v>
      </c>
      <c r="D197">
        <f>IF(OR('Reels'!D14="attack",'Reels'!D14="magic"),CHOOSE('Reels'!D15+1,'Slots'!D29,'Slots'!D30,'Slots'!D31,'Slots'!D32,'Slots'!D33),0)+IF(OR('Reels'!D32="attack",'Reels'!D32="magic"),CHOOSE('Reels'!D33+1,'Slots'!D29,'Slots'!D30,'Slots'!D31,'Slots'!D32,'Slots'!D33),0)+IF(OR('Reels'!D51="attack",'Reels'!D51="magic"),CHOOSE('Reels'!D52+1,'Slots'!D29,'Slots'!D30,'Slots'!D31,'Slots'!D32,'Slots'!D33),0)</f>
        <v>0</v>
      </c>
      <c r="E197">
        <f>IF('Reels'!D14="heal",'Reels'!D15*'Slots'!D24,0)+IF('Reels'!D32="heal",'Reels'!D33*'Slots'!D24,0)+IF('Reels'!D51="heal",'Reels'!D52*'Slots'!D24,0)</f>
        <v>4</v>
      </c>
      <c r="F197">
        <f>IF('Reels'!D14="block",'Reels'!D15*'Slots'!D25,0)+IF('Reels'!D32="block",'Reels'!D33*'Slots'!D25,0)+IF('Reels'!D51="block",'Reels'!D52*'Slots'!D25,0)</f>
        <v>2</v>
      </c>
      <c r="G197" t="b">
        <f>AND('Reels'!D14&lt;&gt;"blank",'Reels'!D14&lt;&gt;"class",'Reels'!D14='Reels'!D51,'Reels'!D15='Reels'!D52,OR('Reels'!D32="class",AND('Reels'!D32='Reels'!D14,'Reels'!D33='Reels'!D15)))</f>
        <v>0</v>
      </c>
      <c r="H197">
        <f>IF(G197,C197,0)</f>
        <v>0</v>
      </c>
    </row>
    <row r="198" spans="1:8" x14ac:dyDescent="0.25">
      <c r="A198" t="s">
        <v>225</v>
      </c>
      <c r="B198" t="s">
        <v>3561</v>
      </c>
      <c r="C198" s="4">
        <f>('Reels'!D16/('Reels'!D4+'Reels'!D7+'Reels'!D10+'Reels'!D13+'Reels'!D16+'Reels'!D19))*('Reels'!D34/('Reels'!D22+'Reels'!D25+'Reels'!D28+'Reels'!D31+'Reels'!D34+'Reels'!D37+'Reels'!D40))*('Reels'!D56/('Reels'!D44+'Reels'!D47+'Reels'!D50+'Reels'!D53+'Reels'!D56+'Reels'!D59))</f>
        <v>0.00003367003367003367</v>
      </c>
      <c r="D198">
        <f>IF(OR('Reels'!D14="attack",'Reels'!D14="magic"),CHOOSE('Reels'!D15+1,'Slots'!D29,'Slots'!D30,'Slots'!D31,'Slots'!D32,'Slots'!D33),0)+IF(OR('Reels'!D32="attack",'Reels'!D32="magic"),CHOOSE('Reels'!D33+1,'Slots'!D29,'Slots'!D30,'Slots'!D31,'Slots'!D32,'Slots'!D33),0)+IF(OR('Reels'!D54="attack",'Reels'!D54="magic"),CHOOSE('Reels'!D55+1,'Slots'!D29,'Slots'!D30,'Slots'!D31,'Slots'!D32,'Slots'!D33),0)</f>
        <v>0</v>
      </c>
      <c r="E198">
        <f>IF('Reels'!D14="heal",'Reels'!D15*'Slots'!D24,0)+IF('Reels'!D32="heal",'Reels'!D33*'Slots'!D24,0)+IF('Reels'!D54="heal",'Reels'!D55*'Slots'!D24,0)</f>
        <v>6</v>
      </c>
      <c r="F198">
        <f>IF('Reels'!D14="block",'Reels'!D15*'Slots'!D25,0)+IF('Reels'!D32="block",'Reels'!D33*'Slots'!D25,0)+IF('Reels'!D54="block",'Reels'!D55*'Slots'!D25,0)</f>
        <v>0</v>
      </c>
      <c r="G198" t="b">
        <f>AND('Reels'!D14&lt;&gt;"blank",'Reels'!D14&lt;&gt;"class",'Reels'!D14='Reels'!D54,'Reels'!D15='Reels'!D55,OR('Reels'!D32="class",AND('Reels'!D32='Reels'!D14,'Reels'!D33='Reels'!D15)))</f>
        <v>1</v>
      </c>
      <c r="H198">
        <f>IF(G198,C198,0)</f>
        <v>0.00003367003367003367</v>
      </c>
    </row>
    <row r="199" spans="1:8" x14ac:dyDescent="0.25">
      <c r="A199" t="s">
        <v>225</v>
      </c>
      <c r="B199" t="s">
        <v>3562</v>
      </c>
      <c r="C199" s="4">
        <f>('Reels'!D16/('Reels'!D4+'Reels'!D7+'Reels'!D10+'Reels'!D13+'Reels'!D16+'Reels'!D19))*('Reels'!D34/('Reels'!D22+'Reels'!D25+'Reels'!D28+'Reels'!D31+'Reels'!D34+'Reels'!D37+'Reels'!D40))*('Reels'!D59/('Reels'!D44+'Reels'!D47+'Reels'!D50+'Reels'!D53+'Reels'!D56+'Reels'!D59))</f>
        <v>0.00016835016835016833</v>
      </c>
      <c r="D199">
        <f>IF(OR('Reels'!D14="attack",'Reels'!D14="magic"),CHOOSE('Reels'!D15+1,'Slots'!D29,'Slots'!D30,'Slots'!D31,'Slots'!D32,'Slots'!D33),0)+IF(OR('Reels'!D32="attack",'Reels'!D32="magic"),CHOOSE('Reels'!D33+1,'Slots'!D29,'Slots'!D30,'Slots'!D31,'Slots'!D32,'Slots'!D33),0)+IF(OR('Reels'!D57="attack",'Reels'!D57="magic"),CHOOSE('Reels'!D58+1,'Slots'!D29,'Slots'!D30,'Slots'!D31,'Slots'!D32,'Slots'!D33),0)</f>
        <v>0</v>
      </c>
      <c r="E199">
        <f>IF('Reels'!D14="heal",'Reels'!D15*'Slots'!D24,0)+IF('Reels'!D32="heal",'Reels'!D33*'Slots'!D24,0)+IF('Reels'!D57="heal",'Reels'!D58*'Slots'!D24,0)</f>
        <v>4</v>
      </c>
      <c r="F199">
        <f>IF('Reels'!D14="block",'Reels'!D15*'Slots'!D25,0)+IF('Reels'!D32="block",'Reels'!D33*'Slots'!D25,0)+IF('Reels'!D57="block",'Reels'!D58*'Slots'!D25,0)</f>
        <v>0</v>
      </c>
      <c r="G199" t="b">
        <f>AND('Reels'!D14&lt;&gt;"blank",'Reels'!D14&lt;&gt;"class",'Reels'!D14='Reels'!D57,'Reels'!D15='Reels'!D58,OR('Reels'!D32="class",AND('Reels'!D32='Reels'!D14,'Reels'!D33='Reels'!D15)))</f>
        <v>0</v>
      </c>
      <c r="H199">
        <f>IF(G199,C199,0)</f>
        <v>0</v>
      </c>
    </row>
    <row r="200" spans="1:8" x14ac:dyDescent="0.25">
      <c r="A200" t="s">
        <v>225</v>
      </c>
      <c r="B200" t="s">
        <v>3563</v>
      </c>
      <c r="C200" s="4">
        <f>('Reels'!D16/('Reels'!D4+'Reels'!D7+'Reels'!D10+'Reels'!D13+'Reels'!D16+'Reels'!D19))*('Reels'!D37/('Reels'!D22+'Reels'!D25+'Reels'!D28+'Reels'!D31+'Reels'!D34+'Reels'!D37+'Reels'!D40))*('Reels'!D44/('Reels'!D44+'Reels'!D47+'Reels'!D50+'Reels'!D53+'Reels'!D56+'Reels'!D59))</f>
        <v>0.001515151515151515</v>
      </c>
      <c r="D200">
        <f>IF(OR('Reels'!D14="attack",'Reels'!D14="magic"),CHOOSE('Reels'!D15+1,'Slots'!D29,'Slots'!D30,'Slots'!D31,'Slots'!D32,'Slots'!D33),0)+IF(OR('Reels'!D35="attack",'Reels'!D35="magic"),CHOOSE('Reels'!D36+1,'Slots'!D29,'Slots'!D30,'Slots'!D31,'Slots'!D32,'Slots'!D33),0)+IF(OR('Reels'!D42="attack",'Reels'!D42="magic"),CHOOSE('Reels'!D43+1,'Slots'!D29,'Slots'!D30,'Slots'!D31,'Slots'!D32,'Slots'!D33),0)</f>
        <v>2</v>
      </c>
      <c r="E200">
        <f>IF('Reels'!D14="heal",'Reels'!D15*'Slots'!D24,0)+IF('Reels'!D35="heal",'Reels'!D36*'Slots'!D24,0)+IF('Reels'!D42="heal",'Reels'!D43*'Slots'!D24,0)</f>
        <v>2</v>
      </c>
      <c r="F200">
        <f>IF('Reels'!D14="block",'Reels'!D15*'Slots'!D25,0)+IF('Reels'!D35="block",'Reels'!D36*'Slots'!D25,0)+IF('Reels'!D42="block",'Reels'!D43*'Slots'!D25,0)</f>
        <v>0</v>
      </c>
      <c r="G200" t="b">
        <f>AND('Reels'!D14&lt;&gt;"blank",'Reels'!D14&lt;&gt;"class",'Reels'!D14='Reels'!D42,'Reels'!D15='Reels'!D43,OR('Reels'!D35="class",AND('Reels'!D35='Reels'!D14,'Reels'!D36='Reels'!D15)))</f>
        <v>0</v>
      </c>
      <c r="H200">
        <f>IF(G200,C200,0)</f>
        <v>0</v>
      </c>
    </row>
    <row r="201" spans="1:8" x14ac:dyDescent="0.25">
      <c r="A201" t="s">
        <v>225</v>
      </c>
      <c r="B201" t="s">
        <v>3564</v>
      </c>
      <c r="C201" s="4">
        <f>('Reels'!D16/('Reels'!D4+'Reels'!D7+'Reels'!D10+'Reels'!D13+'Reels'!D16+'Reels'!D19))*('Reels'!D37/('Reels'!D22+'Reels'!D25+'Reels'!D28+'Reels'!D31+'Reels'!D34+'Reels'!D37+'Reels'!D40))*('Reels'!D47/('Reels'!D44+'Reels'!D47+'Reels'!D50+'Reels'!D53+'Reels'!D56+'Reels'!D59))</f>
        <v>0.0008417508417508416</v>
      </c>
      <c r="D201">
        <f>IF(OR('Reels'!D14="attack",'Reels'!D14="magic"),CHOOSE('Reels'!D15+1,'Slots'!D29,'Slots'!D30,'Slots'!D31,'Slots'!D32,'Slots'!D33),0)+IF(OR('Reels'!D35="attack",'Reels'!D35="magic"),CHOOSE('Reels'!D36+1,'Slots'!D29,'Slots'!D30,'Slots'!D31,'Slots'!D32,'Slots'!D33),0)+IF(OR('Reels'!D45="attack",'Reels'!D45="magic"),CHOOSE('Reels'!D46+1,'Slots'!D29,'Slots'!D30,'Slots'!D31,'Slots'!D32,'Slots'!D33),0)</f>
        <v>4</v>
      </c>
      <c r="E201">
        <f>IF('Reels'!D14="heal",'Reels'!D15*'Slots'!D24,0)+IF('Reels'!D35="heal",'Reels'!D36*'Slots'!D24,0)+IF('Reels'!D45="heal",'Reels'!D46*'Slots'!D24,0)</f>
        <v>2</v>
      </c>
      <c r="F201">
        <f>IF('Reels'!D14="block",'Reels'!D15*'Slots'!D25,0)+IF('Reels'!D35="block",'Reels'!D36*'Slots'!D25,0)+IF('Reels'!D45="block",'Reels'!D46*'Slots'!D25,0)</f>
        <v>0</v>
      </c>
      <c r="G201" t="b">
        <f>AND('Reels'!D14&lt;&gt;"blank",'Reels'!D14&lt;&gt;"class",'Reels'!D14='Reels'!D45,'Reels'!D15='Reels'!D46,OR('Reels'!D35="class",AND('Reels'!D35='Reels'!D14,'Reels'!D36='Reels'!D15)))</f>
        <v>0</v>
      </c>
      <c r="H201">
        <f>IF(G201,C201,0)</f>
        <v>0</v>
      </c>
    </row>
    <row r="202" spans="1:8" x14ac:dyDescent="0.25">
      <c r="A202" t="s">
        <v>225</v>
      </c>
      <c r="B202" t="s">
        <v>3565</v>
      </c>
      <c r="C202" s="4">
        <f>('Reels'!D16/('Reels'!D4+'Reels'!D7+'Reels'!D10+'Reels'!D13+'Reels'!D16+'Reels'!D19))*('Reels'!D37/('Reels'!D22+'Reels'!D25+'Reels'!D28+'Reels'!D31+'Reels'!D34+'Reels'!D37+'Reels'!D40))*('Reels'!D50/('Reels'!D44+'Reels'!D47+'Reels'!D50+'Reels'!D53+'Reels'!D56+'Reels'!D59))</f>
        <v>0.0011784511784511784</v>
      </c>
      <c r="D202">
        <f>IF(OR('Reels'!D14="attack",'Reels'!D14="magic"),CHOOSE('Reels'!D15+1,'Slots'!D29,'Slots'!D30,'Slots'!D31,'Slots'!D32,'Slots'!D33),0)+IF(OR('Reels'!D35="attack",'Reels'!D35="magic"),CHOOSE('Reels'!D36+1,'Slots'!D29,'Slots'!D30,'Slots'!D31,'Slots'!D32,'Slots'!D33),0)+IF(OR('Reels'!D48="attack",'Reels'!D48="magic"),CHOOSE('Reels'!D49+1,'Slots'!D29,'Slots'!D30,'Slots'!D31,'Slots'!D32,'Slots'!D33),0)</f>
        <v>0</v>
      </c>
      <c r="E202">
        <f>IF('Reels'!D14="heal",'Reels'!D15*'Slots'!D24,0)+IF('Reels'!D35="heal",'Reels'!D36*'Slots'!D24,0)+IF('Reels'!D48="heal",'Reels'!D49*'Slots'!D24,0)</f>
        <v>2</v>
      </c>
      <c r="F202">
        <f>IF('Reels'!D14="block",'Reels'!D15*'Slots'!D25,0)+IF('Reels'!D35="block",'Reels'!D36*'Slots'!D25,0)+IF('Reels'!D48="block",'Reels'!D49*'Slots'!D25,0)</f>
        <v>1</v>
      </c>
      <c r="G202" t="b">
        <f>AND('Reels'!D14&lt;&gt;"blank",'Reels'!D14&lt;&gt;"class",'Reels'!D14='Reels'!D48,'Reels'!D15='Reels'!D49,OR('Reels'!D35="class",AND('Reels'!D35='Reels'!D14,'Reels'!D36='Reels'!D15)))</f>
        <v>0</v>
      </c>
      <c r="H202">
        <f>IF(G202,C202,0)</f>
        <v>0</v>
      </c>
    </row>
    <row r="203" spans="1:8" x14ac:dyDescent="0.25">
      <c r="A203" t="s">
        <v>225</v>
      </c>
      <c r="B203" t="s">
        <v>3566</v>
      </c>
      <c r="C203" s="4">
        <f>('Reels'!D16/('Reels'!D4+'Reels'!D7+'Reels'!D10+'Reels'!D13+'Reels'!D16+'Reels'!D19))*('Reels'!D37/('Reels'!D22+'Reels'!D25+'Reels'!D28+'Reels'!D31+'Reels'!D34+'Reels'!D37+'Reels'!D40))*('Reels'!D53/('Reels'!D44+'Reels'!D47+'Reels'!D50+'Reels'!D53+'Reels'!D56+'Reels'!D59))</f>
        <v>0.000505050505050505</v>
      </c>
      <c r="D203">
        <f>IF(OR('Reels'!D14="attack",'Reels'!D14="magic"),CHOOSE('Reels'!D15+1,'Slots'!D29,'Slots'!D30,'Slots'!D31,'Slots'!D32,'Slots'!D33),0)+IF(OR('Reels'!D35="attack",'Reels'!D35="magic"),CHOOSE('Reels'!D36+1,'Slots'!D29,'Slots'!D30,'Slots'!D31,'Slots'!D32,'Slots'!D33),0)+IF(OR('Reels'!D51="attack",'Reels'!D51="magic"),CHOOSE('Reels'!D52+1,'Slots'!D29,'Slots'!D30,'Slots'!D31,'Slots'!D32,'Slots'!D33),0)</f>
        <v>0</v>
      </c>
      <c r="E203">
        <f>IF('Reels'!D14="heal",'Reels'!D15*'Slots'!D24,0)+IF('Reels'!D35="heal",'Reels'!D36*'Slots'!D24,0)+IF('Reels'!D51="heal",'Reels'!D52*'Slots'!D24,0)</f>
        <v>2</v>
      </c>
      <c r="F203">
        <f>IF('Reels'!D14="block",'Reels'!D15*'Slots'!D25,0)+IF('Reels'!D35="block",'Reels'!D36*'Slots'!D25,0)+IF('Reels'!D51="block",'Reels'!D52*'Slots'!D25,0)</f>
        <v>2</v>
      </c>
      <c r="G203" t="b">
        <f>AND('Reels'!D14&lt;&gt;"blank",'Reels'!D14&lt;&gt;"class",'Reels'!D14='Reels'!D51,'Reels'!D15='Reels'!D52,OR('Reels'!D35="class",AND('Reels'!D35='Reels'!D14,'Reels'!D36='Reels'!D15)))</f>
        <v>0</v>
      </c>
      <c r="H203">
        <f>IF(G203,C203,0)</f>
        <v>0</v>
      </c>
    </row>
    <row r="204" spans="1:8" x14ac:dyDescent="0.25">
      <c r="A204" t="s">
        <v>225</v>
      </c>
      <c r="B204" t="s">
        <v>3567</v>
      </c>
      <c r="C204" s="4">
        <f>('Reels'!D16/('Reels'!D4+'Reels'!D7+'Reels'!D10+'Reels'!D13+'Reels'!D16+'Reels'!D19))*('Reels'!D37/('Reels'!D22+'Reels'!D25+'Reels'!D28+'Reels'!D31+'Reels'!D34+'Reels'!D37+'Reels'!D40))*('Reels'!D56/('Reels'!D44+'Reels'!D47+'Reels'!D50+'Reels'!D53+'Reels'!D56+'Reels'!D59))</f>
        <v>0.00016835016835016833</v>
      </c>
      <c r="D204">
        <f>IF(OR('Reels'!D14="attack",'Reels'!D14="magic"),CHOOSE('Reels'!D15+1,'Slots'!D29,'Slots'!D30,'Slots'!D31,'Slots'!D32,'Slots'!D33),0)+IF(OR('Reels'!D35="attack",'Reels'!D35="magic"),CHOOSE('Reels'!D36+1,'Slots'!D29,'Slots'!D30,'Slots'!D31,'Slots'!D32,'Slots'!D33),0)+IF(OR('Reels'!D54="attack",'Reels'!D54="magic"),CHOOSE('Reels'!D55+1,'Slots'!D29,'Slots'!D30,'Slots'!D31,'Slots'!D32,'Slots'!D33),0)</f>
        <v>0</v>
      </c>
      <c r="E204">
        <f>IF('Reels'!D14="heal",'Reels'!D15*'Slots'!D24,0)+IF('Reels'!D35="heal",'Reels'!D36*'Slots'!D24,0)+IF('Reels'!D54="heal",'Reels'!D55*'Slots'!D24,0)</f>
        <v>4</v>
      </c>
      <c r="F204">
        <f>IF('Reels'!D14="block",'Reels'!D15*'Slots'!D25,0)+IF('Reels'!D35="block",'Reels'!D36*'Slots'!D25,0)+IF('Reels'!D54="block",'Reels'!D55*'Slots'!D25,0)</f>
        <v>0</v>
      </c>
      <c r="G204" t="b">
        <f>AND('Reels'!D14&lt;&gt;"blank",'Reels'!D14&lt;&gt;"class",'Reels'!D14='Reels'!D54,'Reels'!D15='Reels'!D55,OR('Reels'!D35="class",AND('Reels'!D35='Reels'!D14,'Reels'!D36='Reels'!D15)))</f>
        <v>0</v>
      </c>
      <c r="H204">
        <f>IF(G204,C204,0)</f>
        <v>0</v>
      </c>
    </row>
    <row r="205" spans="1:8" x14ac:dyDescent="0.25">
      <c r="A205" t="s">
        <v>225</v>
      </c>
      <c r="B205" t="s">
        <v>3568</v>
      </c>
      <c r="C205" s="4">
        <f>('Reels'!D16/('Reels'!D4+'Reels'!D7+'Reels'!D10+'Reels'!D13+'Reels'!D16+'Reels'!D19))*('Reels'!D37/('Reels'!D22+'Reels'!D25+'Reels'!D28+'Reels'!D31+'Reels'!D34+'Reels'!D37+'Reels'!D40))*('Reels'!D59/('Reels'!D44+'Reels'!D47+'Reels'!D50+'Reels'!D53+'Reels'!D56+'Reels'!D59))</f>
        <v>0.0008417508417508416</v>
      </c>
      <c r="D205">
        <f>IF(OR('Reels'!D14="attack",'Reels'!D14="magic"),CHOOSE('Reels'!D15+1,'Slots'!D29,'Slots'!D30,'Slots'!D31,'Slots'!D32,'Slots'!D33),0)+IF(OR('Reels'!D35="attack",'Reels'!D35="magic"),CHOOSE('Reels'!D36+1,'Slots'!D29,'Slots'!D30,'Slots'!D31,'Slots'!D32,'Slots'!D33),0)+IF(OR('Reels'!D57="attack",'Reels'!D57="magic"),CHOOSE('Reels'!D58+1,'Slots'!D29,'Slots'!D30,'Slots'!D31,'Slots'!D32,'Slots'!D33),0)</f>
        <v>0</v>
      </c>
      <c r="E205">
        <f>IF('Reels'!D14="heal",'Reels'!D15*'Slots'!D24,0)+IF('Reels'!D35="heal",'Reels'!D36*'Slots'!D24,0)+IF('Reels'!D57="heal",'Reels'!D58*'Slots'!D24,0)</f>
        <v>2</v>
      </c>
      <c r="F205">
        <f>IF('Reels'!D14="block",'Reels'!D15*'Slots'!D25,0)+IF('Reels'!D35="block",'Reels'!D36*'Slots'!D25,0)+IF('Reels'!D57="block",'Reels'!D58*'Slots'!D25,0)</f>
        <v>0</v>
      </c>
      <c r="G205" t="b">
        <f>AND('Reels'!D14&lt;&gt;"blank",'Reels'!D14&lt;&gt;"class",'Reels'!D14='Reels'!D57,'Reels'!D15='Reels'!D58,OR('Reels'!D35="class",AND('Reels'!D35='Reels'!D14,'Reels'!D36='Reels'!D15)))</f>
        <v>0</v>
      </c>
      <c r="H205">
        <f>IF(G205,C205,0)</f>
        <v>0</v>
      </c>
    </row>
    <row r="206" spans="1:8" x14ac:dyDescent="0.25">
      <c r="A206" t="s">
        <v>225</v>
      </c>
      <c r="B206" t="s">
        <v>3569</v>
      </c>
      <c r="C206" s="4">
        <f>('Reels'!D16/('Reels'!D4+'Reels'!D7+'Reels'!D10+'Reels'!D13+'Reels'!D16+'Reels'!D19))*('Reels'!D40/('Reels'!D22+'Reels'!D25+'Reels'!D28+'Reels'!D31+'Reels'!D34+'Reels'!D37+'Reels'!D40))*('Reels'!D44/('Reels'!D44+'Reels'!D47+'Reels'!D50+'Reels'!D53+'Reels'!D56+'Reels'!D59))</f>
        <v>0.0009090909090909091</v>
      </c>
      <c r="D206">
        <f>IF(OR('Reels'!D14="attack",'Reels'!D14="magic"),CHOOSE('Reels'!D15+1,'Slots'!D29,'Slots'!D30,'Slots'!D31,'Slots'!D32,'Slots'!D33),0)+IF(OR('Reels'!D38="attack",'Reels'!D38="magic"),CHOOSE('Reels'!D39+1,'Slots'!D29,'Slots'!D30,'Slots'!D31,'Slots'!D32,'Slots'!D33),0)+IF(OR('Reels'!D42="attack",'Reels'!D42="magic"),CHOOSE('Reels'!D43+1,'Slots'!D29,'Slots'!D30,'Slots'!D31,'Slots'!D32,'Slots'!D33),0)</f>
        <v>2</v>
      </c>
      <c r="E206">
        <f>IF('Reels'!D14="heal",'Reels'!D15*'Slots'!D24,0)+IF('Reels'!D38="heal",'Reels'!D39*'Slots'!D24,0)+IF('Reels'!D42="heal",'Reels'!D43*'Slots'!D24,0)</f>
        <v>2</v>
      </c>
      <c r="F206">
        <f>IF('Reels'!D14="block",'Reels'!D15*'Slots'!D25,0)+IF('Reels'!D38="block",'Reels'!D39*'Slots'!D25,0)+IF('Reels'!D42="block",'Reels'!D43*'Slots'!D25,0)</f>
        <v>0</v>
      </c>
      <c r="G206" t="b">
        <f>AND('Reels'!D14&lt;&gt;"blank",'Reels'!D14&lt;&gt;"class",'Reels'!D14='Reels'!D42,'Reels'!D15='Reels'!D43,OR('Reels'!D38="class",AND('Reels'!D38='Reels'!D14,'Reels'!D39='Reels'!D15)))</f>
        <v>0</v>
      </c>
      <c r="H206">
        <f>IF(G206,C206,0)</f>
        <v>0</v>
      </c>
    </row>
    <row r="207" spans="1:8" x14ac:dyDescent="0.25">
      <c r="A207" t="s">
        <v>225</v>
      </c>
      <c r="B207" t="s">
        <v>3570</v>
      </c>
      <c r="C207" s="4">
        <f>('Reels'!D16/('Reels'!D4+'Reels'!D7+'Reels'!D10+'Reels'!D13+'Reels'!D16+'Reels'!D19))*('Reels'!D40/('Reels'!D22+'Reels'!D25+'Reels'!D28+'Reels'!D31+'Reels'!D34+'Reels'!D37+'Reels'!D40))*('Reels'!D47/('Reels'!D44+'Reels'!D47+'Reels'!D50+'Reels'!D53+'Reels'!D56+'Reels'!D59))</f>
        <v>0.000505050505050505</v>
      </c>
      <c r="D207">
        <f>IF(OR('Reels'!D14="attack",'Reels'!D14="magic"),CHOOSE('Reels'!D15+1,'Slots'!D29,'Slots'!D30,'Slots'!D31,'Slots'!D32,'Slots'!D33),0)+IF(OR('Reels'!D38="attack",'Reels'!D38="magic"),CHOOSE('Reels'!D39+1,'Slots'!D29,'Slots'!D30,'Slots'!D31,'Slots'!D32,'Slots'!D33),0)+IF(OR('Reels'!D45="attack",'Reels'!D45="magic"),CHOOSE('Reels'!D46+1,'Slots'!D29,'Slots'!D30,'Slots'!D31,'Slots'!D32,'Slots'!D33),0)</f>
        <v>4</v>
      </c>
      <c r="E207">
        <f>IF('Reels'!D14="heal",'Reels'!D15*'Slots'!D24,0)+IF('Reels'!D38="heal",'Reels'!D39*'Slots'!D24,0)+IF('Reels'!D45="heal",'Reels'!D46*'Slots'!D24,0)</f>
        <v>2</v>
      </c>
      <c r="F207">
        <f>IF('Reels'!D14="block",'Reels'!D15*'Slots'!D25,0)+IF('Reels'!D38="block",'Reels'!D39*'Slots'!D25,0)+IF('Reels'!D45="block",'Reels'!D46*'Slots'!D25,0)</f>
        <v>0</v>
      </c>
      <c r="G207" t="b">
        <f>AND('Reels'!D14&lt;&gt;"blank",'Reels'!D14&lt;&gt;"class",'Reels'!D14='Reels'!D45,'Reels'!D15='Reels'!D46,OR('Reels'!D38="class",AND('Reels'!D38='Reels'!D14,'Reels'!D39='Reels'!D15)))</f>
        <v>0</v>
      </c>
      <c r="H207">
        <f>IF(G207,C207,0)</f>
        <v>0</v>
      </c>
    </row>
    <row r="208" spans="1:8" x14ac:dyDescent="0.25">
      <c r="A208" t="s">
        <v>225</v>
      </c>
      <c r="B208" t="s">
        <v>3571</v>
      </c>
      <c r="C208" s="4">
        <f>('Reels'!D16/('Reels'!D4+'Reels'!D7+'Reels'!D10+'Reels'!D13+'Reels'!D16+'Reels'!D19))*('Reels'!D40/('Reels'!D22+'Reels'!D25+'Reels'!D28+'Reels'!D31+'Reels'!D34+'Reels'!D37+'Reels'!D40))*('Reels'!D50/('Reels'!D44+'Reels'!D47+'Reels'!D50+'Reels'!D53+'Reels'!D56+'Reels'!D59))</f>
        <v>0.0007070707070707071</v>
      </c>
      <c r="D208">
        <f>IF(OR('Reels'!D14="attack",'Reels'!D14="magic"),CHOOSE('Reels'!D15+1,'Slots'!D29,'Slots'!D30,'Slots'!D31,'Slots'!D32,'Slots'!D33),0)+IF(OR('Reels'!D38="attack",'Reels'!D38="magic"),CHOOSE('Reels'!D39+1,'Slots'!D29,'Slots'!D30,'Slots'!D31,'Slots'!D32,'Slots'!D33),0)+IF(OR('Reels'!D48="attack",'Reels'!D48="magic"),CHOOSE('Reels'!D49+1,'Slots'!D29,'Slots'!D30,'Slots'!D31,'Slots'!D32,'Slots'!D33),0)</f>
        <v>0</v>
      </c>
      <c r="E208">
        <f>IF('Reels'!D14="heal",'Reels'!D15*'Slots'!D24,0)+IF('Reels'!D38="heal",'Reels'!D39*'Slots'!D24,0)+IF('Reels'!D48="heal",'Reels'!D49*'Slots'!D24,0)</f>
        <v>2</v>
      </c>
      <c r="F208">
        <f>IF('Reels'!D14="block",'Reels'!D15*'Slots'!D25,0)+IF('Reels'!D38="block",'Reels'!D39*'Slots'!D25,0)+IF('Reels'!D48="block",'Reels'!D49*'Slots'!D25,0)</f>
        <v>1</v>
      </c>
      <c r="G208" t="b">
        <f>AND('Reels'!D14&lt;&gt;"blank",'Reels'!D14&lt;&gt;"class",'Reels'!D14='Reels'!D48,'Reels'!D15='Reels'!D49,OR('Reels'!D38="class",AND('Reels'!D38='Reels'!D14,'Reels'!D39='Reels'!D15)))</f>
        <v>0</v>
      </c>
      <c r="H208">
        <f>IF(G208,C208,0)</f>
        <v>0</v>
      </c>
    </row>
    <row r="209" spans="1:8" x14ac:dyDescent="0.25">
      <c r="A209" t="s">
        <v>225</v>
      </c>
      <c r="B209" t="s">
        <v>3572</v>
      </c>
      <c r="C209" s="4">
        <f>('Reels'!D16/('Reels'!D4+'Reels'!D7+'Reels'!D10+'Reels'!D13+'Reels'!D16+'Reels'!D19))*('Reels'!D40/('Reels'!D22+'Reels'!D25+'Reels'!D28+'Reels'!D31+'Reels'!D34+'Reels'!D37+'Reels'!D40))*('Reels'!D53/('Reels'!D44+'Reels'!D47+'Reels'!D50+'Reels'!D53+'Reels'!D56+'Reels'!D59))</f>
        <v>0.00030303030303030303</v>
      </c>
      <c r="D209">
        <f>IF(OR('Reels'!D14="attack",'Reels'!D14="magic"),CHOOSE('Reels'!D15+1,'Slots'!D29,'Slots'!D30,'Slots'!D31,'Slots'!D32,'Slots'!D33),0)+IF(OR('Reels'!D38="attack",'Reels'!D38="magic"),CHOOSE('Reels'!D39+1,'Slots'!D29,'Slots'!D30,'Slots'!D31,'Slots'!D32,'Slots'!D33),0)+IF(OR('Reels'!D51="attack",'Reels'!D51="magic"),CHOOSE('Reels'!D52+1,'Slots'!D29,'Slots'!D30,'Slots'!D31,'Slots'!D32,'Slots'!D33),0)</f>
        <v>0</v>
      </c>
      <c r="E209">
        <f>IF('Reels'!D14="heal",'Reels'!D15*'Slots'!D24,0)+IF('Reels'!D38="heal",'Reels'!D39*'Slots'!D24,0)+IF('Reels'!D51="heal",'Reels'!D52*'Slots'!D24,0)</f>
        <v>2</v>
      </c>
      <c r="F209">
        <f>IF('Reels'!D14="block",'Reels'!D15*'Slots'!D25,0)+IF('Reels'!D38="block",'Reels'!D39*'Slots'!D25,0)+IF('Reels'!D51="block",'Reels'!D52*'Slots'!D25,0)</f>
        <v>2</v>
      </c>
      <c r="G209" t="b">
        <f>AND('Reels'!D14&lt;&gt;"blank",'Reels'!D14&lt;&gt;"class",'Reels'!D14='Reels'!D51,'Reels'!D15='Reels'!D52,OR('Reels'!D38="class",AND('Reels'!D38='Reels'!D14,'Reels'!D39='Reels'!D15)))</f>
        <v>0</v>
      </c>
      <c r="H209">
        <f>IF(G209,C209,0)</f>
        <v>0</v>
      </c>
    </row>
    <row r="210" spans="1:8" x14ac:dyDescent="0.25">
      <c r="A210" t="s">
        <v>225</v>
      </c>
      <c r="B210" t="s">
        <v>3573</v>
      </c>
      <c r="C210" s="4">
        <f>('Reels'!D16/('Reels'!D4+'Reels'!D7+'Reels'!D10+'Reels'!D13+'Reels'!D16+'Reels'!D19))*('Reels'!D40/('Reels'!D22+'Reels'!D25+'Reels'!D28+'Reels'!D31+'Reels'!D34+'Reels'!D37+'Reels'!D40))*('Reels'!D56/('Reels'!D44+'Reels'!D47+'Reels'!D50+'Reels'!D53+'Reels'!D56+'Reels'!D59))</f>
        <v>0.00010101010101010101</v>
      </c>
      <c r="D210">
        <f>IF(OR('Reels'!D14="attack",'Reels'!D14="magic"),CHOOSE('Reels'!D15+1,'Slots'!D29,'Slots'!D30,'Slots'!D31,'Slots'!D32,'Slots'!D33),0)+IF(OR('Reels'!D38="attack",'Reels'!D38="magic"),CHOOSE('Reels'!D39+1,'Slots'!D29,'Slots'!D30,'Slots'!D31,'Slots'!D32,'Slots'!D33),0)+IF(OR('Reels'!D54="attack",'Reels'!D54="magic"),CHOOSE('Reels'!D55+1,'Slots'!D29,'Slots'!D30,'Slots'!D31,'Slots'!D32,'Slots'!D33),0)</f>
        <v>0</v>
      </c>
      <c r="E210">
        <f>IF('Reels'!D14="heal",'Reels'!D15*'Slots'!D24,0)+IF('Reels'!D38="heal",'Reels'!D39*'Slots'!D24,0)+IF('Reels'!D54="heal",'Reels'!D55*'Slots'!D24,0)</f>
        <v>4</v>
      </c>
      <c r="F210">
        <f>IF('Reels'!D14="block",'Reels'!D15*'Slots'!D25,0)+IF('Reels'!D38="block",'Reels'!D39*'Slots'!D25,0)+IF('Reels'!D54="block",'Reels'!D55*'Slots'!D25,0)</f>
        <v>0</v>
      </c>
      <c r="G210" t="b">
        <f>AND('Reels'!D14&lt;&gt;"blank",'Reels'!D14&lt;&gt;"class",'Reels'!D14='Reels'!D54,'Reels'!D15='Reels'!D55,OR('Reels'!D38="class",AND('Reels'!D38='Reels'!D14,'Reels'!D39='Reels'!D15)))</f>
        <v>1</v>
      </c>
      <c r="H210">
        <f>IF(G210,C210,0)</f>
        <v>0.00010101010101010101</v>
      </c>
    </row>
    <row r="211" spans="1:8" x14ac:dyDescent="0.25">
      <c r="A211" t="s">
        <v>225</v>
      </c>
      <c r="B211" t="s">
        <v>3574</v>
      </c>
      <c r="C211" s="4">
        <f>('Reels'!D16/('Reels'!D4+'Reels'!D7+'Reels'!D10+'Reels'!D13+'Reels'!D16+'Reels'!D19))*('Reels'!D40/('Reels'!D22+'Reels'!D25+'Reels'!D28+'Reels'!D31+'Reels'!D34+'Reels'!D37+'Reels'!D40))*('Reels'!D59/('Reels'!D44+'Reels'!D47+'Reels'!D50+'Reels'!D53+'Reels'!D56+'Reels'!D59))</f>
        <v>0.000505050505050505</v>
      </c>
      <c r="D211">
        <f>IF(OR('Reels'!D14="attack",'Reels'!D14="magic"),CHOOSE('Reels'!D15+1,'Slots'!D29,'Slots'!D30,'Slots'!D31,'Slots'!D32,'Slots'!D33),0)+IF(OR('Reels'!D38="attack",'Reels'!D38="magic"),CHOOSE('Reels'!D39+1,'Slots'!D29,'Slots'!D30,'Slots'!D31,'Slots'!D32,'Slots'!D33),0)+IF(OR('Reels'!D57="attack",'Reels'!D57="magic"),CHOOSE('Reels'!D58+1,'Slots'!D29,'Slots'!D30,'Slots'!D31,'Slots'!D32,'Slots'!D33),0)</f>
        <v>0</v>
      </c>
      <c r="E211">
        <f>IF('Reels'!D14="heal",'Reels'!D15*'Slots'!D24,0)+IF('Reels'!D38="heal",'Reels'!D39*'Slots'!D24,0)+IF('Reels'!D57="heal",'Reels'!D58*'Slots'!D24,0)</f>
        <v>2</v>
      </c>
      <c r="F211">
        <f>IF('Reels'!D14="block",'Reels'!D15*'Slots'!D25,0)+IF('Reels'!D38="block",'Reels'!D39*'Slots'!D25,0)+IF('Reels'!D57="block",'Reels'!D58*'Slots'!D25,0)</f>
        <v>0</v>
      </c>
      <c r="G211" t="b">
        <f>AND('Reels'!D14&lt;&gt;"blank",'Reels'!D14&lt;&gt;"class",'Reels'!D14='Reels'!D57,'Reels'!D15='Reels'!D58,OR('Reels'!D38="class",AND('Reels'!D38='Reels'!D14,'Reels'!D39='Reels'!D15)))</f>
        <v>0</v>
      </c>
      <c r="H211">
        <f>IF(G211,C211,0)</f>
        <v>0</v>
      </c>
    </row>
    <row r="212" spans="1:8" x14ac:dyDescent="0.25">
      <c r="A212" t="s">
        <v>225</v>
      </c>
      <c r="B212" t="s">
        <v>3575</v>
      </c>
      <c r="C212" s="4">
        <f>('Reels'!D19/('Reels'!D4+'Reels'!D7+'Reels'!D10+'Reels'!D13+'Reels'!D16+'Reels'!D19))*('Reels'!D22/('Reels'!D22+'Reels'!D25+'Reels'!D28+'Reels'!D31+'Reels'!D34+'Reels'!D37+'Reels'!D40))*('Reels'!D44/('Reels'!D44+'Reels'!D47+'Reels'!D50+'Reels'!D53+'Reels'!D56+'Reels'!D59))</f>
        <v>0.013636363636363637</v>
      </c>
      <c r="D212">
        <f>IF(OR('Reels'!D17="attack",'Reels'!D17="magic"),CHOOSE('Reels'!D18+1,'Slots'!D29,'Slots'!D30,'Slots'!D31,'Slots'!D32,'Slots'!D33),0)+IF(OR('Reels'!D20="attack",'Reels'!D20="magic"),CHOOSE('Reels'!D21+1,'Slots'!D29,'Slots'!D30,'Slots'!D31,'Slots'!D32,'Slots'!D33),0)+IF(OR('Reels'!D42="attack",'Reels'!D42="magic"),CHOOSE('Reels'!D43+1,'Slots'!D29,'Slots'!D30,'Slots'!D31,'Slots'!D32,'Slots'!D33),0)</f>
        <v>4</v>
      </c>
      <c r="E212">
        <f>IF('Reels'!D17="heal",'Reels'!D18*'Slots'!D24,0)+IF('Reels'!D20="heal",'Reels'!D21*'Slots'!D24,0)+IF('Reels'!D42="heal",'Reels'!D43*'Slots'!D24,0)</f>
        <v>0</v>
      </c>
      <c r="F212">
        <f>IF('Reels'!D17="block",'Reels'!D18*'Slots'!D25,0)+IF('Reels'!D20="block",'Reels'!D21*'Slots'!D25,0)+IF('Reels'!D42="block",'Reels'!D43*'Slots'!D25,0)</f>
        <v>0</v>
      </c>
      <c r="G212" t="b">
        <f>AND('Reels'!D17&lt;&gt;"blank",'Reels'!D17&lt;&gt;"class",'Reels'!D17='Reels'!D42,'Reels'!D18='Reels'!D43,OR('Reels'!D20="class",AND('Reels'!D20='Reels'!D17,'Reels'!D21='Reels'!D18)))</f>
        <v>0</v>
      </c>
      <c r="H212">
        <f>IF(G212,C212,0)</f>
        <v>0</v>
      </c>
    </row>
    <row r="213" spans="1:8" x14ac:dyDescent="0.25">
      <c r="A213" t="s">
        <v>225</v>
      </c>
      <c r="B213" t="s">
        <v>3576</v>
      </c>
      <c r="C213" s="4">
        <f>('Reels'!D19/('Reels'!D4+'Reels'!D7+'Reels'!D10+'Reels'!D13+'Reels'!D16+'Reels'!D19))*('Reels'!D22/('Reels'!D22+'Reels'!D25+'Reels'!D28+'Reels'!D31+'Reels'!D34+'Reels'!D37+'Reels'!D40))*('Reels'!D47/('Reels'!D44+'Reels'!D47+'Reels'!D50+'Reels'!D53+'Reels'!D56+'Reels'!D59))</f>
        <v>0.007575757575757577</v>
      </c>
      <c r="D213">
        <f>IF(OR('Reels'!D17="attack",'Reels'!D17="magic"),CHOOSE('Reels'!D18+1,'Slots'!D29,'Slots'!D30,'Slots'!D31,'Slots'!D32,'Slots'!D33),0)+IF(OR('Reels'!D20="attack",'Reels'!D20="magic"),CHOOSE('Reels'!D21+1,'Slots'!D29,'Slots'!D30,'Slots'!D31,'Slots'!D32,'Slots'!D33),0)+IF(OR('Reels'!D45="attack",'Reels'!D45="magic"),CHOOSE('Reels'!D46+1,'Slots'!D29,'Slots'!D30,'Slots'!D31,'Slots'!D32,'Slots'!D33),0)</f>
        <v>6</v>
      </c>
      <c r="E213">
        <f>IF('Reels'!D17="heal",'Reels'!D18*'Slots'!D24,0)+IF('Reels'!D20="heal",'Reels'!D21*'Slots'!D24,0)+IF('Reels'!D45="heal",'Reels'!D46*'Slots'!D24,0)</f>
        <v>0</v>
      </c>
      <c r="F213">
        <f>IF('Reels'!D17="block",'Reels'!D18*'Slots'!D25,0)+IF('Reels'!D20="block",'Reels'!D21*'Slots'!D25,0)+IF('Reels'!D45="block",'Reels'!D46*'Slots'!D25,0)</f>
        <v>0</v>
      </c>
      <c r="G213" t="b">
        <f>AND('Reels'!D17&lt;&gt;"blank",'Reels'!D17&lt;&gt;"class",'Reels'!D17='Reels'!D45,'Reels'!D18='Reels'!D46,OR('Reels'!D20="class",AND('Reels'!D20='Reels'!D17,'Reels'!D21='Reels'!D18)))</f>
        <v>0</v>
      </c>
      <c r="H213">
        <f>IF(G213,C213,0)</f>
        <v>0</v>
      </c>
    </row>
    <row r="214" spans="1:8" x14ac:dyDescent="0.25">
      <c r="A214" t="s">
        <v>225</v>
      </c>
      <c r="B214" t="s">
        <v>3577</v>
      </c>
      <c r="C214" s="4">
        <f>('Reels'!D19/('Reels'!D4+'Reels'!D7+'Reels'!D10+'Reels'!D13+'Reels'!D16+'Reels'!D19))*('Reels'!D22/('Reels'!D22+'Reels'!D25+'Reels'!D28+'Reels'!D31+'Reels'!D34+'Reels'!D37+'Reels'!D40))*('Reels'!D50/('Reels'!D44+'Reels'!D47+'Reels'!D50+'Reels'!D53+'Reels'!D56+'Reels'!D59))</f>
        <v>0.010606060606060607</v>
      </c>
      <c r="D214">
        <f>IF(OR('Reels'!D17="attack",'Reels'!D17="magic"),CHOOSE('Reels'!D18+1,'Slots'!D29,'Slots'!D30,'Slots'!D31,'Slots'!D32,'Slots'!D33),0)+IF(OR('Reels'!D20="attack",'Reels'!D20="magic"),CHOOSE('Reels'!D21+1,'Slots'!D29,'Slots'!D30,'Slots'!D31,'Slots'!D32,'Slots'!D33),0)+IF(OR('Reels'!D48="attack",'Reels'!D48="magic"),CHOOSE('Reels'!D49+1,'Slots'!D29,'Slots'!D30,'Slots'!D31,'Slots'!D32,'Slots'!D33),0)</f>
        <v>2</v>
      </c>
      <c r="E214">
        <f>IF('Reels'!D17="heal",'Reels'!D18*'Slots'!D24,0)+IF('Reels'!D20="heal",'Reels'!D21*'Slots'!D24,0)+IF('Reels'!D48="heal",'Reels'!D49*'Slots'!D24,0)</f>
        <v>0</v>
      </c>
      <c r="F214">
        <f>IF('Reels'!D17="block",'Reels'!D18*'Slots'!D25,0)+IF('Reels'!D20="block",'Reels'!D21*'Slots'!D25,0)+IF('Reels'!D48="block",'Reels'!D49*'Slots'!D25,0)</f>
        <v>1</v>
      </c>
      <c r="G214" t="b">
        <f>AND('Reels'!D17&lt;&gt;"blank",'Reels'!D17&lt;&gt;"class",'Reels'!D17='Reels'!D48,'Reels'!D18='Reels'!D49,OR('Reels'!D20="class",AND('Reels'!D20='Reels'!D17,'Reels'!D21='Reels'!D18)))</f>
        <v>0</v>
      </c>
      <c r="H214">
        <f>IF(G214,C214,0)</f>
        <v>0</v>
      </c>
    </row>
    <row r="215" spans="1:8" x14ac:dyDescent="0.25">
      <c r="A215" t="s">
        <v>225</v>
      </c>
      <c r="B215" t="s">
        <v>3578</v>
      </c>
      <c r="C215" s="4">
        <f>('Reels'!D19/('Reels'!D4+'Reels'!D7+'Reels'!D10+'Reels'!D13+'Reels'!D16+'Reels'!D19))*('Reels'!D22/('Reels'!D22+'Reels'!D25+'Reels'!D28+'Reels'!D31+'Reels'!D34+'Reels'!D37+'Reels'!D40))*('Reels'!D53/('Reels'!D44+'Reels'!D47+'Reels'!D50+'Reels'!D53+'Reels'!D56+'Reels'!D59))</f>
        <v>0.004545454545454545</v>
      </c>
      <c r="D215">
        <f>IF(OR('Reels'!D17="attack",'Reels'!D17="magic"),CHOOSE('Reels'!D18+1,'Slots'!D29,'Slots'!D30,'Slots'!D31,'Slots'!D32,'Slots'!D33),0)+IF(OR('Reels'!D20="attack",'Reels'!D20="magic"),CHOOSE('Reels'!D21+1,'Slots'!D29,'Slots'!D30,'Slots'!D31,'Slots'!D32,'Slots'!D33),0)+IF(OR('Reels'!D51="attack",'Reels'!D51="magic"),CHOOSE('Reels'!D52+1,'Slots'!D29,'Slots'!D30,'Slots'!D31,'Slots'!D32,'Slots'!D33),0)</f>
        <v>2</v>
      </c>
      <c r="E215">
        <f>IF('Reels'!D17="heal",'Reels'!D18*'Slots'!D24,0)+IF('Reels'!D20="heal",'Reels'!D21*'Slots'!D24,0)+IF('Reels'!D51="heal",'Reels'!D52*'Slots'!D24,0)</f>
        <v>0</v>
      </c>
      <c r="F215">
        <f>IF('Reels'!D17="block",'Reels'!D18*'Slots'!D25,0)+IF('Reels'!D20="block",'Reels'!D21*'Slots'!D25,0)+IF('Reels'!D51="block",'Reels'!D52*'Slots'!D25,0)</f>
        <v>2</v>
      </c>
      <c r="G215" t="b">
        <f>AND('Reels'!D17&lt;&gt;"blank",'Reels'!D17&lt;&gt;"class",'Reels'!D17='Reels'!D51,'Reels'!D18='Reels'!D52,OR('Reels'!D20="class",AND('Reels'!D20='Reels'!D17,'Reels'!D21='Reels'!D18)))</f>
        <v>0</v>
      </c>
      <c r="H215">
        <f>IF(G215,C215,0)</f>
        <v>0</v>
      </c>
    </row>
    <row r="216" spans="1:8" x14ac:dyDescent="0.25">
      <c r="A216" t="s">
        <v>225</v>
      </c>
      <c r="B216" t="s">
        <v>3579</v>
      </c>
      <c r="C216" s="4">
        <f>('Reels'!D19/('Reels'!D4+'Reels'!D7+'Reels'!D10+'Reels'!D13+'Reels'!D16+'Reels'!D19))*('Reels'!D22/('Reels'!D22+'Reels'!D25+'Reels'!D28+'Reels'!D31+'Reels'!D34+'Reels'!D37+'Reels'!D40))*('Reels'!D56/('Reels'!D44+'Reels'!D47+'Reels'!D50+'Reels'!D53+'Reels'!D56+'Reels'!D59))</f>
        <v>0.0015151515151515152</v>
      </c>
      <c r="D216">
        <f>IF(OR('Reels'!D17="attack",'Reels'!D17="magic"),CHOOSE('Reels'!D18+1,'Slots'!D29,'Slots'!D30,'Slots'!D31,'Slots'!D32,'Slots'!D33),0)+IF(OR('Reels'!D20="attack",'Reels'!D20="magic"),CHOOSE('Reels'!D21+1,'Slots'!D29,'Slots'!D30,'Slots'!D31,'Slots'!D32,'Slots'!D33),0)+IF(OR('Reels'!D54="attack",'Reels'!D54="magic"),CHOOSE('Reels'!D55+1,'Slots'!D29,'Slots'!D30,'Slots'!D31,'Slots'!D32,'Slots'!D33),0)</f>
        <v>2</v>
      </c>
      <c r="E216">
        <f>IF('Reels'!D17="heal",'Reels'!D18*'Slots'!D24,0)+IF('Reels'!D20="heal",'Reels'!D21*'Slots'!D24,0)+IF('Reels'!D54="heal",'Reels'!D55*'Slots'!D24,0)</f>
        <v>2</v>
      </c>
      <c r="F216">
        <f>IF('Reels'!D17="block",'Reels'!D18*'Slots'!D25,0)+IF('Reels'!D20="block",'Reels'!D21*'Slots'!D25,0)+IF('Reels'!D54="block",'Reels'!D55*'Slots'!D25,0)</f>
        <v>0</v>
      </c>
      <c r="G216" t="b">
        <f>AND('Reels'!D17&lt;&gt;"blank",'Reels'!D17&lt;&gt;"class",'Reels'!D17='Reels'!D54,'Reels'!D18='Reels'!D55,OR('Reels'!D20="class",AND('Reels'!D20='Reels'!D17,'Reels'!D21='Reels'!D18)))</f>
        <v>0</v>
      </c>
      <c r="H216">
        <f>IF(G216,C216,0)</f>
        <v>0</v>
      </c>
    </row>
    <row r="217" spans="1:8" x14ac:dyDescent="0.25">
      <c r="A217" t="s">
        <v>225</v>
      </c>
      <c r="B217" t="s">
        <v>3580</v>
      </c>
      <c r="C217" s="4">
        <f>('Reels'!D19/('Reels'!D4+'Reels'!D7+'Reels'!D10+'Reels'!D13+'Reels'!D16+'Reels'!D19))*('Reels'!D22/('Reels'!D22+'Reels'!D25+'Reels'!D28+'Reels'!D31+'Reels'!D34+'Reels'!D37+'Reels'!D40))*('Reels'!D59/('Reels'!D44+'Reels'!D47+'Reels'!D50+'Reels'!D53+'Reels'!D56+'Reels'!D59))</f>
        <v>0.007575757575757577</v>
      </c>
      <c r="D217">
        <f>IF(OR('Reels'!D17="attack",'Reels'!D17="magic"),CHOOSE('Reels'!D18+1,'Slots'!D29,'Slots'!D30,'Slots'!D31,'Slots'!D32,'Slots'!D33),0)+IF(OR('Reels'!D20="attack",'Reels'!D20="magic"),CHOOSE('Reels'!D21+1,'Slots'!D29,'Slots'!D30,'Slots'!D31,'Slots'!D32,'Slots'!D33),0)+IF(OR('Reels'!D57="attack",'Reels'!D57="magic"),CHOOSE('Reels'!D58+1,'Slots'!D29,'Slots'!D30,'Slots'!D31,'Slots'!D32,'Slots'!D33),0)</f>
        <v>2</v>
      </c>
      <c r="E217">
        <f>IF('Reels'!D17="heal",'Reels'!D18*'Slots'!D24,0)+IF('Reels'!D20="heal",'Reels'!D21*'Slots'!D24,0)+IF('Reels'!D57="heal",'Reels'!D58*'Slots'!D24,0)</f>
        <v>0</v>
      </c>
      <c r="F217">
        <f>IF('Reels'!D17="block",'Reels'!D18*'Slots'!D25,0)+IF('Reels'!D20="block",'Reels'!D21*'Slots'!D25,0)+IF('Reels'!D57="block",'Reels'!D58*'Slots'!D25,0)</f>
        <v>0</v>
      </c>
      <c r="G217" t="b">
        <f>AND('Reels'!D17&lt;&gt;"blank",'Reels'!D17&lt;&gt;"class",'Reels'!D17='Reels'!D57,'Reels'!D18='Reels'!D58,OR('Reels'!D20="class",AND('Reels'!D20='Reels'!D17,'Reels'!D21='Reels'!D18)))</f>
        <v>0</v>
      </c>
      <c r="H217">
        <f>IF(G217,C217,0)</f>
        <v>0</v>
      </c>
    </row>
    <row r="218" spans="1:8" x14ac:dyDescent="0.25">
      <c r="A218" t="s">
        <v>225</v>
      </c>
      <c r="B218" t="s">
        <v>3581</v>
      </c>
      <c r="C218" s="4">
        <f>('Reels'!D19/('Reels'!D4+'Reels'!D7+'Reels'!D10+'Reels'!D13+'Reels'!D16+'Reels'!D19))*('Reels'!D25/('Reels'!D22+'Reels'!D25+'Reels'!D28+'Reels'!D31+'Reels'!D34+'Reels'!D37+'Reels'!D40))*('Reels'!D44/('Reels'!D44+'Reels'!D47+'Reels'!D50+'Reels'!D53+'Reels'!D56+'Reels'!D59))</f>
        <v>0.007575757575757574</v>
      </c>
      <c r="D218">
        <f>IF(OR('Reels'!D17="attack",'Reels'!D17="magic"),CHOOSE('Reels'!D18+1,'Slots'!D29,'Slots'!D30,'Slots'!D31,'Slots'!D32,'Slots'!D33),0)+IF(OR('Reels'!D23="attack",'Reels'!D23="magic"),CHOOSE('Reels'!D24+1,'Slots'!D29,'Slots'!D30,'Slots'!D31,'Slots'!D32,'Slots'!D33),0)+IF(OR('Reels'!D42="attack",'Reels'!D42="magic"),CHOOSE('Reels'!D43+1,'Slots'!D29,'Slots'!D30,'Slots'!D31,'Slots'!D32,'Slots'!D33),0)</f>
        <v>6</v>
      </c>
      <c r="E218">
        <f>IF('Reels'!D17="heal",'Reels'!D18*'Slots'!D24,0)+IF('Reels'!D23="heal",'Reels'!D24*'Slots'!D24,0)+IF('Reels'!D42="heal",'Reels'!D43*'Slots'!D24,0)</f>
        <v>0</v>
      </c>
      <c r="F218">
        <f>IF('Reels'!D17="block",'Reels'!D18*'Slots'!D25,0)+IF('Reels'!D23="block",'Reels'!D24*'Slots'!D25,0)+IF('Reels'!D42="block",'Reels'!D43*'Slots'!D25,0)</f>
        <v>0</v>
      </c>
      <c r="G218" t="b">
        <f>AND('Reels'!D17&lt;&gt;"blank",'Reels'!D17&lt;&gt;"class",'Reels'!D17='Reels'!D42,'Reels'!D18='Reels'!D43,OR('Reels'!D23="class",AND('Reels'!D23='Reels'!D17,'Reels'!D24='Reels'!D18)))</f>
        <v>0</v>
      </c>
      <c r="H218">
        <f>IF(G218,C218,0)</f>
        <v>0</v>
      </c>
    </row>
    <row r="219" spans="1:8" x14ac:dyDescent="0.25">
      <c r="A219" t="s">
        <v>225</v>
      </c>
      <c r="B219" t="s">
        <v>3582</v>
      </c>
      <c r="C219" s="4">
        <f>('Reels'!D19/('Reels'!D4+'Reels'!D7+'Reels'!D10+'Reels'!D13+'Reels'!D16+'Reels'!D19))*('Reels'!D25/('Reels'!D22+'Reels'!D25+'Reels'!D28+'Reels'!D31+'Reels'!D34+'Reels'!D37+'Reels'!D40))*('Reels'!D47/('Reels'!D44+'Reels'!D47+'Reels'!D50+'Reels'!D53+'Reels'!D56+'Reels'!D59))</f>
        <v>0.004208754208754208</v>
      </c>
      <c r="D219">
        <f>IF(OR('Reels'!D17="attack",'Reels'!D17="magic"),CHOOSE('Reels'!D18+1,'Slots'!D29,'Slots'!D30,'Slots'!D31,'Slots'!D32,'Slots'!D33),0)+IF(OR('Reels'!D23="attack",'Reels'!D23="magic"),CHOOSE('Reels'!D24+1,'Slots'!D29,'Slots'!D30,'Slots'!D31,'Slots'!D32,'Slots'!D33),0)+IF(OR('Reels'!D45="attack",'Reels'!D45="magic"),CHOOSE('Reels'!D46+1,'Slots'!D29,'Slots'!D30,'Slots'!D31,'Slots'!D32,'Slots'!D33),0)</f>
        <v>8</v>
      </c>
      <c r="E219">
        <f>IF('Reels'!D17="heal",'Reels'!D18*'Slots'!D24,0)+IF('Reels'!D23="heal",'Reels'!D24*'Slots'!D24,0)+IF('Reels'!D45="heal",'Reels'!D46*'Slots'!D24,0)</f>
        <v>0</v>
      </c>
      <c r="F219">
        <f>IF('Reels'!D17="block",'Reels'!D18*'Slots'!D25,0)+IF('Reels'!D23="block",'Reels'!D24*'Slots'!D25,0)+IF('Reels'!D45="block",'Reels'!D46*'Slots'!D25,0)</f>
        <v>0</v>
      </c>
      <c r="G219" t="b">
        <f>AND('Reels'!D17&lt;&gt;"blank",'Reels'!D17&lt;&gt;"class",'Reels'!D17='Reels'!D45,'Reels'!D18='Reels'!D46,OR('Reels'!D23="class",AND('Reels'!D23='Reels'!D17,'Reels'!D24='Reels'!D18)))</f>
        <v>0</v>
      </c>
      <c r="H219">
        <f>IF(G219,C219,0)</f>
        <v>0</v>
      </c>
    </row>
    <row r="220" spans="1:8" x14ac:dyDescent="0.25">
      <c r="A220" t="s">
        <v>225</v>
      </c>
      <c r="B220" t="s">
        <v>3583</v>
      </c>
      <c r="C220" s="4">
        <f>('Reels'!D19/('Reels'!D4+'Reels'!D7+'Reels'!D10+'Reels'!D13+'Reels'!D16+'Reels'!D19))*('Reels'!D25/('Reels'!D22+'Reels'!D25+'Reels'!D28+'Reels'!D31+'Reels'!D34+'Reels'!D37+'Reels'!D40))*('Reels'!D50/('Reels'!D44+'Reels'!D47+'Reels'!D50+'Reels'!D53+'Reels'!D56+'Reels'!D59))</f>
        <v>0.0058922558922558915</v>
      </c>
      <c r="D220">
        <f>IF(OR('Reels'!D17="attack",'Reels'!D17="magic"),CHOOSE('Reels'!D18+1,'Slots'!D29,'Slots'!D30,'Slots'!D31,'Slots'!D32,'Slots'!D33),0)+IF(OR('Reels'!D23="attack",'Reels'!D23="magic"),CHOOSE('Reels'!D24+1,'Slots'!D29,'Slots'!D30,'Slots'!D31,'Slots'!D32,'Slots'!D33),0)+IF(OR('Reels'!D48="attack",'Reels'!D48="magic"),CHOOSE('Reels'!D49+1,'Slots'!D29,'Slots'!D30,'Slots'!D31,'Slots'!D32,'Slots'!D33),0)</f>
        <v>4</v>
      </c>
      <c r="E220">
        <f>IF('Reels'!D17="heal",'Reels'!D18*'Slots'!D24,0)+IF('Reels'!D23="heal",'Reels'!D24*'Slots'!D24,0)+IF('Reels'!D48="heal",'Reels'!D49*'Slots'!D24,0)</f>
        <v>0</v>
      </c>
      <c r="F220">
        <f>IF('Reels'!D17="block",'Reels'!D18*'Slots'!D25,0)+IF('Reels'!D23="block",'Reels'!D24*'Slots'!D25,0)+IF('Reels'!D48="block",'Reels'!D49*'Slots'!D25,0)</f>
        <v>1</v>
      </c>
      <c r="G220" t="b">
        <f>AND('Reels'!D17&lt;&gt;"blank",'Reels'!D17&lt;&gt;"class",'Reels'!D17='Reels'!D48,'Reels'!D18='Reels'!D49,OR('Reels'!D23="class",AND('Reels'!D23='Reels'!D17,'Reels'!D24='Reels'!D18)))</f>
        <v>0</v>
      </c>
      <c r="H220">
        <f>IF(G220,C220,0)</f>
        <v>0</v>
      </c>
    </row>
    <row r="221" spans="1:8" x14ac:dyDescent="0.25">
      <c r="A221" t="s">
        <v>225</v>
      </c>
      <c r="B221" t="s">
        <v>3584</v>
      </c>
      <c r="C221" s="4">
        <f>('Reels'!D19/('Reels'!D4+'Reels'!D7+'Reels'!D10+'Reels'!D13+'Reels'!D16+'Reels'!D19))*('Reels'!D25/('Reels'!D22+'Reels'!D25+'Reels'!D28+'Reels'!D31+'Reels'!D34+'Reels'!D37+'Reels'!D40))*('Reels'!D53/('Reels'!D44+'Reels'!D47+'Reels'!D50+'Reels'!D53+'Reels'!D56+'Reels'!D59))</f>
        <v>0.002525252525252525</v>
      </c>
      <c r="D221">
        <f>IF(OR('Reels'!D17="attack",'Reels'!D17="magic"),CHOOSE('Reels'!D18+1,'Slots'!D29,'Slots'!D30,'Slots'!D31,'Slots'!D32,'Slots'!D33),0)+IF(OR('Reels'!D23="attack",'Reels'!D23="magic"),CHOOSE('Reels'!D24+1,'Slots'!D29,'Slots'!D30,'Slots'!D31,'Slots'!D32,'Slots'!D33),0)+IF(OR('Reels'!D51="attack",'Reels'!D51="magic"),CHOOSE('Reels'!D52+1,'Slots'!D29,'Slots'!D30,'Slots'!D31,'Slots'!D32,'Slots'!D33),0)</f>
        <v>4</v>
      </c>
      <c r="E221">
        <f>IF('Reels'!D17="heal",'Reels'!D18*'Slots'!D24,0)+IF('Reels'!D23="heal",'Reels'!D24*'Slots'!D24,0)+IF('Reels'!D51="heal",'Reels'!D52*'Slots'!D24,0)</f>
        <v>0</v>
      </c>
      <c r="F221">
        <f>IF('Reels'!D17="block",'Reels'!D18*'Slots'!D25,0)+IF('Reels'!D23="block",'Reels'!D24*'Slots'!D25,0)+IF('Reels'!D51="block",'Reels'!D52*'Slots'!D25,0)</f>
        <v>2</v>
      </c>
      <c r="G221" t="b">
        <f>AND('Reels'!D17&lt;&gt;"blank",'Reels'!D17&lt;&gt;"class",'Reels'!D17='Reels'!D51,'Reels'!D18='Reels'!D52,OR('Reels'!D23="class",AND('Reels'!D23='Reels'!D17,'Reels'!D24='Reels'!D18)))</f>
        <v>0</v>
      </c>
      <c r="H221">
        <f>IF(G221,C221,0)</f>
        <v>0</v>
      </c>
    </row>
    <row r="222" spans="1:8" x14ac:dyDescent="0.25">
      <c r="A222" t="s">
        <v>225</v>
      </c>
      <c r="B222" t="s">
        <v>3585</v>
      </c>
      <c r="C222" s="4">
        <f>('Reels'!D19/('Reels'!D4+'Reels'!D7+'Reels'!D10+'Reels'!D13+'Reels'!D16+'Reels'!D19))*('Reels'!D25/('Reels'!D22+'Reels'!D25+'Reels'!D28+'Reels'!D31+'Reels'!D34+'Reels'!D37+'Reels'!D40))*('Reels'!D56/('Reels'!D44+'Reels'!D47+'Reels'!D50+'Reels'!D53+'Reels'!D56+'Reels'!D59))</f>
        <v>0.0008417508417508416</v>
      </c>
      <c r="D222">
        <f>IF(OR('Reels'!D17="attack",'Reels'!D17="magic"),CHOOSE('Reels'!D18+1,'Slots'!D29,'Slots'!D30,'Slots'!D31,'Slots'!D32,'Slots'!D33),0)+IF(OR('Reels'!D23="attack",'Reels'!D23="magic"),CHOOSE('Reels'!D24+1,'Slots'!D29,'Slots'!D30,'Slots'!D31,'Slots'!D32,'Slots'!D33),0)+IF(OR('Reels'!D54="attack",'Reels'!D54="magic"),CHOOSE('Reels'!D55+1,'Slots'!D29,'Slots'!D30,'Slots'!D31,'Slots'!D32,'Slots'!D33),0)</f>
        <v>4</v>
      </c>
      <c r="E222">
        <f>IF('Reels'!D17="heal",'Reels'!D18*'Slots'!D24,0)+IF('Reels'!D23="heal",'Reels'!D24*'Slots'!D24,0)+IF('Reels'!D54="heal",'Reels'!D55*'Slots'!D24,0)</f>
        <v>2</v>
      </c>
      <c r="F222">
        <f>IF('Reels'!D17="block",'Reels'!D18*'Slots'!D25,0)+IF('Reels'!D23="block",'Reels'!D24*'Slots'!D25,0)+IF('Reels'!D54="block",'Reels'!D55*'Slots'!D25,0)</f>
        <v>0</v>
      </c>
      <c r="G222" t="b">
        <f>AND('Reels'!D17&lt;&gt;"blank",'Reels'!D17&lt;&gt;"class",'Reels'!D17='Reels'!D54,'Reels'!D18='Reels'!D55,OR('Reels'!D23="class",AND('Reels'!D23='Reels'!D17,'Reels'!D24='Reels'!D18)))</f>
        <v>0</v>
      </c>
      <c r="H222">
        <f>IF(G222,C222,0)</f>
        <v>0</v>
      </c>
    </row>
    <row r="223" spans="1:8" x14ac:dyDescent="0.25">
      <c r="A223" t="s">
        <v>225</v>
      </c>
      <c r="B223" t="s">
        <v>3586</v>
      </c>
      <c r="C223" s="4">
        <f>('Reels'!D19/('Reels'!D4+'Reels'!D7+'Reels'!D10+'Reels'!D13+'Reels'!D16+'Reels'!D19))*('Reels'!D25/('Reels'!D22+'Reels'!D25+'Reels'!D28+'Reels'!D31+'Reels'!D34+'Reels'!D37+'Reels'!D40))*('Reels'!D59/('Reels'!D44+'Reels'!D47+'Reels'!D50+'Reels'!D53+'Reels'!D56+'Reels'!D59))</f>
        <v>0.004208754208754208</v>
      </c>
      <c r="D223">
        <f>IF(OR('Reels'!D17="attack",'Reels'!D17="magic"),CHOOSE('Reels'!D18+1,'Slots'!D29,'Slots'!D30,'Slots'!D31,'Slots'!D32,'Slots'!D33),0)+IF(OR('Reels'!D23="attack",'Reels'!D23="magic"),CHOOSE('Reels'!D24+1,'Slots'!D29,'Slots'!D30,'Slots'!D31,'Slots'!D32,'Slots'!D33),0)+IF(OR('Reels'!D57="attack",'Reels'!D57="magic"),CHOOSE('Reels'!D58+1,'Slots'!D29,'Slots'!D30,'Slots'!D31,'Slots'!D32,'Slots'!D33),0)</f>
        <v>4</v>
      </c>
      <c r="E223">
        <f>IF('Reels'!D17="heal",'Reels'!D18*'Slots'!D24,0)+IF('Reels'!D23="heal",'Reels'!D24*'Slots'!D24,0)+IF('Reels'!D57="heal",'Reels'!D58*'Slots'!D24,0)</f>
        <v>0</v>
      </c>
      <c r="F223">
        <f>IF('Reels'!D17="block",'Reels'!D18*'Slots'!D25,0)+IF('Reels'!D23="block",'Reels'!D24*'Slots'!D25,0)+IF('Reels'!D57="block",'Reels'!D58*'Slots'!D25,0)</f>
        <v>0</v>
      </c>
      <c r="G223" t="b">
        <f>AND('Reels'!D17&lt;&gt;"blank",'Reels'!D17&lt;&gt;"class",'Reels'!D17='Reels'!D57,'Reels'!D18='Reels'!D58,OR('Reels'!D23="class",AND('Reels'!D23='Reels'!D17,'Reels'!D24='Reels'!D18)))</f>
        <v>0</v>
      </c>
      <c r="H223">
        <f>IF(G223,C223,0)</f>
        <v>0</v>
      </c>
    </row>
    <row r="224" spans="1:8" x14ac:dyDescent="0.25">
      <c r="A224" t="s">
        <v>225</v>
      </c>
      <c r="B224" t="s">
        <v>3587</v>
      </c>
      <c r="C224" s="4">
        <f>('Reels'!D19/('Reels'!D4+'Reels'!D7+'Reels'!D10+'Reels'!D13+'Reels'!D16+'Reels'!D19))*('Reels'!D28/('Reels'!D22+'Reels'!D25+'Reels'!D28+'Reels'!D31+'Reels'!D34+'Reels'!D37+'Reels'!D40))*('Reels'!D44/('Reels'!D44+'Reels'!D47+'Reels'!D50+'Reels'!D53+'Reels'!D56+'Reels'!D59))</f>
        <v>0.010606060606060607</v>
      </c>
      <c r="D224">
        <f>IF(OR('Reels'!D17="attack",'Reels'!D17="magic"),CHOOSE('Reels'!D18+1,'Slots'!D29,'Slots'!D30,'Slots'!D31,'Slots'!D32,'Slots'!D33),0)+IF(OR('Reels'!D26="attack",'Reels'!D26="magic"),CHOOSE('Reels'!D27+1,'Slots'!D29,'Slots'!D30,'Slots'!D31,'Slots'!D32,'Slots'!D33),0)+IF(OR('Reels'!D42="attack",'Reels'!D42="magic"),CHOOSE('Reels'!D43+1,'Slots'!D29,'Slots'!D30,'Slots'!D31,'Slots'!D32,'Slots'!D33),0)</f>
        <v>2</v>
      </c>
      <c r="E224">
        <f>IF('Reels'!D17="heal",'Reels'!D18*'Slots'!D24,0)+IF('Reels'!D26="heal",'Reels'!D27*'Slots'!D24,0)+IF('Reels'!D42="heal",'Reels'!D43*'Slots'!D24,0)</f>
        <v>0</v>
      </c>
      <c r="F224">
        <f>IF('Reels'!D17="block",'Reels'!D18*'Slots'!D25,0)+IF('Reels'!D26="block",'Reels'!D27*'Slots'!D25,0)+IF('Reels'!D42="block",'Reels'!D43*'Slots'!D25,0)</f>
        <v>1</v>
      </c>
      <c r="G224" t="b">
        <f>AND('Reels'!D17&lt;&gt;"blank",'Reels'!D17&lt;&gt;"class",'Reels'!D17='Reels'!D42,'Reels'!D18='Reels'!D43,OR('Reels'!D26="class",AND('Reels'!D26='Reels'!D17,'Reels'!D27='Reels'!D18)))</f>
        <v>0</v>
      </c>
      <c r="H224">
        <f>IF(G224,C224,0)</f>
        <v>0</v>
      </c>
    </row>
    <row r="225" spans="1:8" x14ac:dyDescent="0.25">
      <c r="A225" t="s">
        <v>225</v>
      </c>
      <c r="B225" t="s">
        <v>3588</v>
      </c>
      <c r="C225" s="4">
        <f>('Reels'!D19/('Reels'!D4+'Reels'!D7+'Reels'!D10+'Reels'!D13+'Reels'!D16+'Reels'!D19))*('Reels'!D28/('Reels'!D22+'Reels'!D25+'Reels'!D28+'Reels'!D31+'Reels'!D34+'Reels'!D37+'Reels'!D40))*('Reels'!D47/('Reels'!D44+'Reels'!D47+'Reels'!D50+'Reels'!D53+'Reels'!D56+'Reels'!D59))</f>
        <v>0.005892255892255892</v>
      </c>
      <c r="D225">
        <f>IF(OR('Reels'!D17="attack",'Reels'!D17="magic"),CHOOSE('Reels'!D18+1,'Slots'!D29,'Slots'!D30,'Slots'!D31,'Slots'!D32,'Slots'!D33),0)+IF(OR('Reels'!D26="attack",'Reels'!D26="magic"),CHOOSE('Reels'!D27+1,'Slots'!D29,'Slots'!D30,'Slots'!D31,'Slots'!D32,'Slots'!D33),0)+IF(OR('Reels'!D45="attack",'Reels'!D45="magic"),CHOOSE('Reels'!D46+1,'Slots'!D29,'Slots'!D30,'Slots'!D31,'Slots'!D32,'Slots'!D33),0)</f>
        <v>4</v>
      </c>
      <c r="E225">
        <f>IF('Reels'!D17="heal",'Reels'!D18*'Slots'!D24,0)+IF('Reels'!D26="heal",'Reels'!D27*'Slots'!D24,0)+IF('Reels'!D45="heal",'Reels'!D46*'Slots'!D24,0)</f>
        <v>0</v>
      </c>
      <c r="F225">
        <f>IF('Reels'!D17="block",'Reels'!D18*'Slots'!D25,0)+IF('Reels'!D26="block",'Reels'!D27*'Slots'!D25,0)+IF('Reels'!D45="block",'Reels'!D46*'Slots'!D25,0)</f>
        <v>1</v>
      </c>
      <c r="G225" t="b">
        <f>AND('Reels'!D17&lt;&gt;"blank",'Reels'!D17&lt;&gt;"class",'Reels'!D17='Reels'!D45,'Reels'!D18='Reels'!D46,OR('Reels'!D26="class",AND('Reels'!D26='Reels'!D17,'Reels'!D27='Reels'!D18)))</f>
        <v>0</v>
      </c>
      <c r="H225">
        <f>IF(G225,C225,0)</f>
        <v>0</v>
      </c>
    </row>
    <row r="226" spans="1:8" x14ac:dyDescent="0.25">
      <c r="A226" t="s">
        <v>225</v>
      </c>
      <c r="B226" t="s">
        <v>3589</v>
      </c>
      <c r="C226" s="4">
        <f>('Reels'!D19/('Reels'!D4+'Reels'!D7+'Reels'!D10+'Reels'!D13+'Reels'!D16+'Reels'!D19))*('Reels'!D28/('Reels'!D22+'Reels'!D25+'Reels'!D28+'Reels'!D31+'Reels'!D34+'Reels'!D37+'Reels'!D40))*('Reels'!D50/('Reels'!D44+'Reels'!D47+'Reels'!D50+'Reels'!D53+'Reels'!D56+'Reels'!D59))</f>
        <v>0.008249158249158249</v>
      </c>
      <c r="D226">
        <f>IF(OR('Reels'!D17="attack",'Reels'!D17="magic"),CHOOSE('Reels'!D18+1,'Slots'!D29,'Slots'!D30,'Slots'!D31,'Slots'!D32,'Slots'!D33),0)+IF(OR('Reels'!D26="attack",'Reels'!D26="magic"),CHOOSE('Reels'!D27+1,'Slots'!D29,'Slots'!D30,'Slots'!D31,'Slots'!D32,'Slots'!D33),0)+IF(OR('Reels'!D48="attack",'Reels'!D48="magic"),CHOOSE('Reels'!D49+1,'Slots'!D29,'Slots'!D30,'Slots'!D31,'Slots'!D32,'Slots'!D33),0)</f>
        <v>0</v>
      </c>
      <c r="E226">
        <f>IF('Reels'!D17="heal",'Reels'!D18*'Slots'!D24,0)+IF('Reels'!D26="heal",'Reels'!D27*'Slots'!D24,0)+IF('Reels'!D48="heal",'Reels'!D49*'Slots'!D24,0)</f>
        <v>0</v>
      </c>
      <c r="F226">
        <f>IF('Reels'!D17="block",'Reels'!D18*'Slots'!D25,0)+IF('Reels'!D26="block",'Reels'!D27*'Slots'!D25,0)+IF('Reels'!D48="block",'Reels'!D49*'Slots'!D25,0)</f>
        <v>2</v>
      </c>
      <c r="G226" t="b">
        <f>AND('Reels'!D17&lt;&gt;"blank",'Reels'!D17&lt;&gt;"class",'Reels'!D17='Reels'!D48,'Reels'!D18='Reels'!D49,OR('Reels'!D26="class",AND('Reels'!D26='Reels'!D17,'Reels'!D27='Reels'!D18)))</f>
        <v>0</v>
      </c>
      <c r="H226">
        <f>IF(G226,C226,0)</f>
        <v>0</v>
      </c>
    </row>
    <row r="227" spans="1:8" x14ac:dyDescent="0.25">
      <c r="A227" t="s">
        <v>225</v>
      </c>
      <c r="B227" t="s">
        <v>3590</v>
      </c>
      <c r="C227" s="4">
        <f>('Reels'!D19/('Reels'!D4+'Reels'!D7+'Reels'!D10+'Reels'!D13+'Reels'!D16+'Reels'!D19))*('Reels'!D28/('Reels'!D22+'Reels'!D25+'Reels'!D28+'Reels'!D31+'Reels'!D34+'Reels'!D37+'Reels'!D40))*('Reels'!D53/('Reels'!D44+'Reels'!D47+'Reels'!D50+'Reels'!D53+'Reels'!D56+'Reels'!D59))</f>
        <v>0.003535353535353535</v>
      </c>
      <c r="D227">
        <f>IF(OR('Reels'!D17="attack",'Reels'!D17="magic"),CHOOSE('Reels'!D18+1,'Slots'!D29,'Slots'!D30,'Slots'!D31,'Slots'!D32,'Slots'!D33),0)+IF(OR('Reels'!D26="attack",'Reels'!D26="magic"),CHOOSE('Reels'!D27+1,'Slots'!D29,'Slots'!D30,'Slots'!D31,'Slots'!D32,'Slots'!D33),0)+IF(OR('Reels'!D51="attack",'Reels'!D51="magic"),CHOOSE('Reels'!D52+1,'Slots'!D29,'Slots'!D30,'Slots'!D31,'Slots'!D32,'Slots'!D33),0)</f>
        <v>0</v>
      </c>
      <c r="E227">
        <f>IF('Reels'!D17="heal",'Reels'!D18*'Slots'!D24,0)+IF('Reels'!D26="heal",'Reels'!D27*'Slots'!D24,0)+IF('Reels'!D51="heal",'Reels'!D52*'Slots'!D24,0)</f>
        <v>0</v>
      </c>
      <c r="F227">
        <f>IF('Reels'!D17="block",'Reels'!D18*'Slots'!D25,0)+IF('Reels'!D26="block",'Reels'!D27*'Slots'!D25,0)+IF('Reels'!D51="block",'Reels'!D52*'Slots'!D25,0)</f>
        <v>3</v>
      </c>
      <c r="G227" t="b">
        <f>AND('Reels'!D17&lt;&gt;"blank",'Reels'!D17&lt;&gt;"class",'Reels'!D17='Reels'!D51,'Reels'!D18='Reels'!D52,OR('Reels'!D26="class",AND('Reels'!D26='Reels'!D17,'Reels'!D27='Reels'!D18)))</f>
        <v>0</v>
      </c>
      <c r="H227">
        <f>IF(G227,C227,0)</f>
        <v>0</v>
      </c>
    </row>
    <row r="228" spans="1:8" x14ac:dyDescent="0.25">
      <c r="A228" t="s">
        <v>225</v>
      </c>
      <c r="B228" t="s">
        <v>3591</v>
      </c>
      <c r="C228" s="4">
        <f>('Reels'!D19/('Reels'!D4+'Reels'!D7+'Reels'!D10+'Reels'!D13+'Reels'!D16+'Reels'!D19))*('Reels'!D28/('Reels'!D22+'Reels'!D25+'Reels'!D28+'Reels'!D31+'Reels'!D34+'Reels'!D37+'Reels'!D40))*('Reels'!D56/('Reels'!D44+'Reels'!D47+'Reels'!D50+'Reels'!D53+'Reels'!D56+'Reels'!D59))</f>
        <v>0.0011784511784511784</v>
      </c>
      <c r="D228">
        <f>IF(OR('Reels'!D17="attack",'Reels'!D17="magic"),CHOOSE('Reels'!D18+1,'Slots'!D29,'Slots'!D30,'Slots'!D31,'Slots'!D32,'Slots'!D33),0)+IF(OR('Reels'!D26="attack",'Reels'!D26="magic"),CHOOSE('Reels'!D27+1,'Slots'!D29,'Slots'!D30,'Slots'!D31,'Slots'!D32,'Slots'!D33),0)+IF(OR('Reels'!D54="attack",'Reels'!D54="magic"),CHOOSE('Reels'!D55+1,'Slots'!D29,'Slots'!D30,'Slots'!D31,'Slots'!D32,'Slots'!D33),0)</f>
        <v>0</v>
      </c>
      <c r="E228">
        <f>IF('Reels'!D17="heal",'Reels'!D18*'Slots'!D24,0)+IF('Reels'!D26="heal",'Reels'!D27*'Slots'!D24,0)+IF('Reels'!D54="heal",'Reels'!D55*'Slots'!D24,0)</f>
        <v>2</v>
      </c>
      <c r="F228">
        <f>IF('Reels'!D17="block",'Reels'!D18*'Slots'!D25,0)+IF('Reels'!D26="block",'Reels'!D27*'Slots'!D25,0)+IF('Reels'!D54="block",'Reels'!D55*'Slots'!D25,0)</f>
        <v>1</v>
      </c>
      <c r="G228" t="b">
        <f>AND('Reels'!D17&lt;&gt;"blank",'Reels'!D17&lt;&gt;"class",'Reels'!D17='Reels'!D54,'Reels'!D18='Reels'!D55,OR('Reels'!D26="class",AND('Reels'!D26='Reels'!D17,'Reels'!D27='Reels'!D18)))</f>
        <v>0</v>
      </c>
      <c r="H228">
        <f>IF(G228,C228,0)</f>
        <v>0</v>
      </c>
    </row>
    <row r="229" spans="1:8" x14ac:dyDescent="0.25">
      <c r="A229" t="s">
        <v>225</v>
      </c>
      <c r="B229" t="s">
        <v>3592</v>
      </c>
      <c r="C229" s="4">
        <f>('Reels'!D19/('Reels'!D4+'Reels'!D7+'Reels'!D10+'Reels'!D13+'Reels'!D16+'Reels'!D19))*('Reels'!D28/('Reels'!D22+'Reels'!D25+'Reels'!D28+'Reels'!D31+'Reels'!D34+'Reels'!D37+'Reels'!D40))*('Reels'!D59/('Reels'!D44+'Reels'!D47+'Reels'!D50+'Reels'!D53+'Reels'!D56+'Reels'!D59))</f>
        <v>0.005892255892255892</v>
      </c>
      <c r="D229">
        <f>IF(OR('Reels'!D17="attack",'Reels'!D17="magic"),CHOOSE('Reels'!D18+1,'Slots'!D29,'Slots'!D30,'Slots'!D31,'Slots'!D32,'Slots'!D33),0)+IF(OR('Reels'!D26="attack",'Reels'!D26="magic"),CHOOSE('Reels'!D27+1,'Slots'!D29,'Slots'!D30,'Slots'!D31,'Slots'!D32,'Slots'!D33),0)+IF(OR('Reels'!D57="attack",'Reels'!D57="magic"),CHOOSE('Reels'!D58+1,'Slots'!D29,'Slots'!D30,'Slots'!D31,'Slots'!D32,'Slots'!D33),0)</f>
        <v>0</v>
      </c>
      <c r="E229">
        <f>IF('Reels'!D17="heal",'Reels'!D18*'Slots'!D24,0)+IF('Reels'!D26="heal",'Reels'!D27*'Slots'!D24,0)+IF('Reels'!D57="heal",'Reels'!D58*'Slots'!D24,0)</f>
        <v>0</v>
      </c>
      <c r="F229">
        <f>IF('Reels'!D17="block",'Reels'!D18*'Slots'!D25,0)+IF('Reels'!D26="block",'Reels'!D27*'Slots'!D25,0)+IF('Reels'!D57="block",'Reels'!D58*'Slots'!D25,0)</f>
        <v>1</v>
      </c>
      <c r="G229" t="b">
        <f>AND('Reels'!D17&lt;&gt;"blank",'Reels'!D17&lt;&gt;"class",'Reels'!D17='Reels'!D57,'Reels'!D18='Reels'!D58,OR('Reels'!D26="class",AND('Reels'!D26='Reels'!D17,'Reels'!D27='Reels'!D18)))</f>
        <v>0</v>
      </c>
      <c r="H229">
        <f>IF(G229,C229,0)</f>
        <v>0</v>
      </c>
    </row>
    <row r="230" spans="1:8" x14ac:dyDescent="0.25">
      <c r="A230" t="s">
        <v>225</v>
      </c>
      <c r="B230" t="s">
        <v>3593</v>
      </c>
      <c r="C230" s="4">
        <f>('Reels'!D19/('Reels'!D4+'Reels'!D7+'Reels'!D10+'Reels'!D13+'Reels'!D16+'Reels'!D19))*('Reels'!D31/('Reels'!D22+'Reels'!D25+'Reels'!D28+'Reels'!D31+'Reels'!D34+'Reels'!D37+'Reels'!D40))*('Reels'!D44/('Reels'!D44+'Reels'!D47+'Reels'!D50+'Reels'!D53+'Reels'!D56+'Reels'!D59))</f>
        <v>0.004545454545454545</v>
      </c>
      <c r="D230">
        <f>IF(OR('Reels'!D17="attack",'Reels'!D17="magic"),CHOOSE('Reels'!D18+1,'Slots'!D29,'Slots'!D30,'Slots'!D31,'Slots'!D32,'Slots'!D33),0)+IF(OR('Reels'!D29="attack",'Reels'!D29="magic"),CHOOSE('Reels'!D30+1,'Slots'!D29,'Slots'!D30,'Slots'!D31,'Slots'!D32,'Slots'!D33),0)+IF(OR('Reels'!D42="attack",'Reels'!D42="magic"),CHOOSE('Reels'!D43+1,'Slots'!D29,'Slots'!D30,'Slots'!D31,'Slots'!D32,'Slots'!D33),0)</f>
        <v>2</v>
      </c>
      <c r="E230">
        <f>IF('Reels'!D17="heal",'Reels'!D18*'Slots'!D24,0)+IF('Reels'!D29="heal",'Reels'!D30*'Slots'!D24,0)+IF('Reels'!D42="heal",'Reels'!D43*'Slots'!D24,0)</f>
        <v>0</v>
      </c>
      <c r="F230">
        <f>IF('Reels'!D17="block",'Reels'!D18*'Slots'!D25,0)+IF('Reels'!D29="block",'Reels'!D30*'Slots'!D25,0)+IF('Reels'!D42="block",'Reels'!D43*'Slots'!D25,0)</f>
        <v>2</v>
      </c>
      <c r="G230" t="b">
        <f>AND('Reels'!D17&lt;&gt;"blank",'Reels'!D17&lt;&gt;"class",'Reels'!D17='Reels'!D42,'Reels'!D18='Reels'!D43,OR('Reels'!D29="class",AND('Reels'!D29='Reels'!D17,'Reels'!D30='Reels'!D18)))</f>
        <v>0</v>
      </c>
      <c r="H230">
        <f>IF(G230,C230,0)</f>
        <v>0</v>
      </c>
    </row>
    <row r="231" spans="1:8" x14ac:dyDescent="0.25">
      <c r="A231" t="s">
        <v>225</v>
      </c>
      <c r="B231" t="s">
        <v>3594</v>
      </c>
      <c r="C231" s="4">
        <f>('Reels'!D19/('Reels'!D4+'Reels'!D7+'Reels'!D10+'Reels'!D13+'Reels'!D16+'Reels'!D19))*('Reels'!D31/('Reels'!D22+'Reels'!D25+'Reels'!D28+'Reels'!D31+'Reels'!D34+'Reels'!D37+'Reels'!D40))*('Reels'!D47/('Reels'!D44+'Reels'!D47+'Reels'!D50+'Reels'!D53+'Reels'!D56+'Reels'!D59))</f>
        <v>0.0025252525252525255</v>
      </c>
      <c r="D231">
        <f>IF(OR('Reels'!D17="attack",'Reels'!D17="magic"),CHOOSE('Reels'!D18+1,'Slots'!D29,'Slots'!D30,'Slots'!D31,'Slots'!D32,'Slots'!D33),0)+IF(OR('Reels'!D29="attack",'Reels'!D29="magic"),CHOOSE('Reels'!D30+1,'Slots'!D29,'Slots'!D30,'Slots'!D31,'Slots'!D32,'Slots'!D33),0)+IF(OR('Reels'!D45="attack",'Reels'!D45="magic"),CHOOSE('Reels'!D46+1,'Slots'!D29,'Slots'!D30,'Slots'!D31,'Slots'!D32,'Slots'!D33),0)</f>
        <v>4</v>
      </c>
      <c r="E231">
        <f>IF('Reels'!D17="heal",'Reels'!D18*'Slots'!D24,0)+IF('Reels'!D29="heal",'Reels'!D30*'Slots'!D24,0)+IF('Reels'!D45="heal",'Reels'!D46*'Slots'!D24,0)</f>
        <v>0</v>
      </c>
      <c r="F231">
        <f>IF('Reels'!D17="block",'Reels'!D18*'Slots'!D25,0)+IF('Reels'!D29="block",'Reels'!D30*'Slots'!D25,0)+IF('Reels'!D45="block",'Reels'!D46*'Slots'!D25,0)</f>
        <v>2</v>
      </c>
      <c r="G231" t="b">
        <f>AND('Reels'!D17&lt;&gt;"blank",'Reels'!D17&lt;&gt;"class",'Reels'!D17='Reels'!D45,'Reels'!D18='Reels'!D46,OR('Reels'!D29="class",AND('Reels'!D29='Reels'!D17,'Reels'!D30='Reels'!D18)))</f>
        <v>0</v>
      </c>
      <c r="H231">
        <f>IF(G231,C231,0)</f>
        <v>0</v>
      </c>
    </row>
    <row r="232" spans="1:8" x14ac:dyDescent="0.25">
      <c r="A232" t="s">
        <v>225</v>
      </c>
      <c r="B232" t="s">
        <v>3595</v>
      </c>
      <c r="C232" s="4">
        <f>('Reels'!D19/('Reels'!D4+'Reels'!D7+'Reels'!D10+'Reels'!D13+'Reels'!D16+'Reels'!D19))*('Reels'!D31/('Reels'!D22+'Reels'!D25+'Reels'!D28+'Reels'!D31+'Reels'!D34+'Reels'!D37+'Reels'!D40))*('Reels'!D50/('Reels'!D44+'Reels'!D47+'Reels'!D50+'Reels'!D53+'Reels'!D56+'Reels'!D59))</f>
        <v>0.0035353535353535356</v>
      </c>
      <c r="D232">
        <f>IF(OR('Reels'!D17="attack",'Reels'!D17="magic"),CHOOSE('Reels'!D18+1,'Slots'!D29,'Slots'!D30,'Slots'!D31,'Slots'!D32,'Slots'!D33),0)+IF(OR('Reels'!D29="attack",'Reels'!D29="magic"),CHOOSE('Reels'!D30+1,'Slots'!D29,'Slots'!D30,'Slots'!D31,'Slots'!D32,'Slots'!D33),0)+IF(OR('Reels'!D48="attack",'Reels'!D48="magic"),CHOOSE('Reels'!D49+1,'Slots'!D29,'Slots'!D30,'Slots'!D31,'Slots'!D32,'Slots'!D33),0)</f>
        <v>0</v>
      </c>
      <c r="E232">
        <f>IF('Reels'!D17="heal",'Reels'!D18*'Slots'!D24,0)+IF('Reels'!D29="heal",'Reels'!D30*'Slots'!D24,0)+IF('Reels'!D48="heal",'Reels'!D49*'Slots'!D24,0)</f>
        <v>0</v>
      </c>
      <c r="F232">
        <f>IF('Reels'!D17="block",'Reels'!D18*'Slots'!D25,0)+IF('Reels'!D29="block",'Reels'!D30*'Slots'!D25,0)+IF('Reels'!D48="block",'Reels'!D49*'Slots'!D25,0)</f>
        <v>3</v>
      </c>
      <c r="G232" t="b">
        <f>AND('Reels'!D17&lt;&gt;"blank",'Reels'!D17&lt;&gt;"class",'Reels'!D17='Reels'!D48,'Reels'!D18='Reels'!D49,OR('Reels'!D29="class",AND('Reels'!D29='Reels'!D17,'Reels'!D30='Reels'!D18)))</f>
        <v>0</v>
      </c>
      <c r="H232">
        <f>IF(G232,C232,0)</f>
        <v>0</v>
      </c>
    </row>
    <row r="233" spans="1:8" x14ac:dyDescent="0.25">
      <c r="A233" t="s">
        <v>225</v>
      </c>
      <c r="B233" t="s">
        <v>3596</v>
      </c>
      <c r="C233" s="4">
        <f>('Reels'!D19/('Reels'!D4+'Reels'!D7+'Reels'!D10+'Reels'!D13+'Reels'!D16+'Reels'!D19))*('Reels'!D31/('Reels'!D22+'Reels'!D25+'Reels'!D28+'Reels'!D31+'Reels'!D34+'Reels'!D37+'Reels'!D40))*('Reels'!D53/('Reels'!D44+'Reels'!D47+'Reels'!D50+'Reels'!D53+'Reels'!D56+'Reels'!D59))</f>
        <v>0.0015151515151515152</v>
      </c>
      <c r="D233">
        <f>IF(OR('Reels'!D17="attack",'Reels'!D17="magic"),CHOOSE('Reels'!D18+1,'Slots'!D29,'Slots'!D30,'Slots'!D31,'Slots'!D32,'Slots'!D33),0)+IF(OR('Reels'!D29="attack",'Reels'!D29="magic"),CHOOSE('Reels'!D30+1,'Slots'!D29,'Slots'!D30,'Slots'!D31,'Slots'!D32,'Slots'!D33),0)+IF(OR('Reels'!D51="attack",'Reels'!D51="magic"),CHOOSE('Reels'!D52+1,'Slots'!D29,'Slots'!D30,'Slots'!D31,'Slots'!D32,'Slots'!D33),0)</f>
        <v>0</v>
      </c>
      <c r="E233">
        <f>IF('Reels'!D17="heal",'Reels'!D18*'Slots'!D24,0)+IF('Reels'!D29="heal",'Reels'!D30*'Slots'!D24,0)+IF('Reels'!D51="heal",'Reels'!D52*'Slots'!D24,0)</f>
        <v>0</v>
      </c>
      <c r="F233">
        <f>IF('Reels'!D17="block",'Reels'!D18*'Slots'!D25,0)+IF('Reels'!D29="block",'Reels'!D30*'Slots'!D25,0)+IF('Reels'!D51="block",'Reels'!D52*'Slots'!D25,0)</f>
        <v>4</v>
      </c>
      <c r="G233" t="b">
        <f>AND('Reels'!D17&lt;&gt;"blank",'Reels'!D17&lt;&gt;"class",'Reels'!D17='Reels'!D51,'Reels'!D18='Reels'!D52,OR('Reels'!D29="class",AND('Reels'!D29='Reels'!D17,'Reels'!D30='Reels'!D18)))</f>
        <v>0</v>
      </c>
      <c r="H233">
        <f>IF(G233,C233,0)</f>
        <v>0</v>
      </c>
    </row>
    <row r="234" spans="1:8" x14ac:dyDescent="0.25">
      <c r="A234" t="s">
        <v>225</v>
      </c>
      <c r="B234" t="s">
        <v>3597</v>
      </c>
      <c r="C234" s="4">
        <f>('Reels'!D19/('Reels'!D4+'Reels'!D7+'Reels'!D10+'Reels'!D13+'Reels'!D16+'Reels'!D19))*('Reels'!D31/('Reels'!D22+'Reels'!D25+'Reels'!D28+'Reels'!D31+'Reels'!D34+'Reels'!D37+'Reels'!D40))*('Reels'!D56/('Reels'!D44+'Reels'!D47+'Reels'!D50+'Reels'!D53+'Reels'!D56+'Reels'!D59))</f>
        <v>0.000505050505050505</v>
      </c>
      <c r="D234">
        <f>IF(OR('Reels'!D17="attack",'Reels'!D17="magic"),CHOOSE('Reels'!D18+1,'Slots'!D29,'Slots'!D30,'Slots'!D31,'Slots'!D32,'Slots'!D33),0)+IF(OR('Reels'!D29="attack",'Reels'!D29="magic"),CHOOSE('Reels'!D30+1,'Slots'!D29,'Slots'!D30,'Slots'!D31,'Slots'!D32,'Slots'!D33),0)+IF(OR('Reels'!D54="attack",'Reels'!D54="magic"),CHOOSE('Reels'!D55+1,'Slots'!D29,'Slots'!D30,'Slots'!D31,'Slots'!D32,'Slots'!D33),0)</f>
        <v>0</v>
      </c>
      <c r="E234">
        <f>IF('Reels'!D17="heal",'Reels'!D18*'Slots'!D24,0)+IF('Reels'!D29="heal",'Reels'!D30*'Slots'!D24,0)+IF('Reels'!D54="heal",'Reels'!D55*'Slots'!D24,0)</f>
        <v>2</v>
      </c>
      <c r="F234">
        <f>IF('Reels'!D17="block",'Reels'!D18*'Slots'!D25,0)+IF('Reels'!D29="block",'Reels'!D30*'Slots'!D25,0)+IF('Reels'!D54="block",'Reels'!D55*'Slots'!D25,0)</f>
        <v>2</v>
      </c>
      <c r="G234" t="b">
        <f>AND('Reels'!D17&lt;&gt;"blank",'Reels'!D17&lt;&gt;"class",'Reels'!D17='Reels'!D54,'Reels'!D18='Reels'!D55,OR('Reels'!D29="class",AND('Reels'!D29='Reels'!D17,'Reels'!D30='Reels'!D18)))</f>
        <v>0</v>
      </c>
      <c r="H234">
        <f>IF(G234,C234,0)</f>
        <v>0</v>
      </c>
    </row>
    <row r="235" spans="1:8" x14ac:dyDescent="0.25">
      <c r="A235" t="s">
        <v>225</v>
      </c>
      <c r="B235" t="s">
        <v>3598</v>
      </c>
      <c r="C235" s="4">
        <f>('Reels'!D19/('Reels'!D4+'Reels'!D7+'Reels'!D10+'Reels'!D13+'Reels'!D16+'Reels'!D19))*('Reels'!D31/('Reels'!D22+'Reels'!D25+'Reels'!D28+'Reels'!D31+'Reels'!D34+'Reels'!D37+'Reels'!D40))*('Reels'!D59/('Reels'!D44+'Reels'!D47+'Reels'!D50+'Reels'!D53+'Reels'!D56+'Reels'!D59))</f>
        <v>0.0025252525252525255</v>
      </c>
      <c r="D235">
        <f>IF(OR('Reels'!D17="attack",'Reels'!D17="magic"),CHOOSE('Reels'!D18+1,'Slots'!D29,'Slots'!D30,'Slots'!D31,'Slots'!D32,'Slots'!D33),0)+IF(OR('Reels'!D29="attack",'Reels'!D29="magic"),CHOOSE('Reels'!D30+1,'Slots'!D29,'Slots'!D30,'Slots'!D31,'Slots'!D32,'Slots'!D33),0)+IF(OR('Reels'!D57="attack",'Reels'!D57="magic"),CHOOSE('Reels'!D58+1,'Slots'!D29,'Slots'!D30,'Slots'!D31,'Slots'!D32,'Slots'!D33),0)</f>
        <v>0</v>
      </c>
      <c r="E235">
        <f>IF('Reels'!D17="heal",'Reels'!D18*'Slots'!D24,0)+IF('Reels'!D29="heal",'Reels'!D30*'Slots'!D24,0)+IF('Reels'!D57="heal",'Reels'!D58*'Slots'!D24,0)</f>
        <v>0</v>
      </c>
      <c r="F235">
        <f>IF('Reels'!D17="block",'Reels'!D18*'Slots'!D25,0)+IF('Reels'!D29="block",'Reels'!D30*'Slots'!D25,0)+IF('Reels'!D57="block",'Reels'!D58*'Slots'!D25,0)</f>
        <v>2</v>
      </c>
      <c r="G235" t="b">
        <f>AND('Reels'!D17&lt;&gt;"blank",'Reels'!D17&lt;&gt;"class",'Reels'!D17='Reels'!D57,'Reels'!D18='Reels'!D58,OR('Reels'!D29="class",AND('Reels'!D29='Reels'!D17,'Reels'!D30='Reels'!D18)))</f>
        <v>0</v>
      </c>
      <c r="H235">
        <f>IF(G235,C235,0)</f>
        <v>0</v>
      </c>
    </row>
    <row r="236" spans="1:8" x14ac:dyDescent="0.25">
      <c r="A236" t="s">
        <v>225</v>
      </c>
      <c r="B236" t="s">
        <v>3599</v>
      </c>
      <c r="C236" s="4">
        <f>('Reels'!D19/('Reels'!D4+'Reels'!D7+'Reels'!D10+'Reels'!D13+'Reels'!D16+'Reels'!D19))*('Reels'!D34/('Reels'!D22+'Reels'!D25+'Reels'!D28+'Reels'!D31+'Reels'!D34+'Reels'!D37+'Reels'!D40))*('Reels'!D44/('Reels'!D44+'Reels'!D47+'Reels'!D50+'Reels'!D53+'Reels'!D56+'Reels'!D59))</f>
        <v>0.001515151515151515</v>
      </c>
      <c r="D236">
        <f>IF(OR('Reels'!D17="attack",'Reels'!D17="magic"),CHOOSE('Reels'!D18+1,'Slots'!D29,'Slots'!D30,'Slots'!D31,'Slots'!D32,'Slots'!D33),0)+IF(OR('Reels'!D32="attack",'Reels'!D32="magic"),CHOOSE('Reels'!D33+1,'Slots'!D29,'Slots'!D30,'Slots'!D31,'Slots'!D32,'Slots'!D33),0)+IF(OR('Reels'!D42="attack",'Reels'!D42="magic"),CHOOSE('Reels'!D43+1,'Slots'!D29,'Slots'!D30,'Slots'!D31,'Slots'!D32,'Slots'!D33),0)</f>
        <v>2</v>
      </c>
      <c r="E236">
        <f>IF('Reels'!D17="heal",'Reels'!D18*'Slots'!D24,0)+IF('Reels'!D32="heal",'Reels'!D33*'Slots'!D24,0)+IF('Reels'!D42="heal",'Reels'!D43*'Slots'!D24,0)</f>
        <v>2</v>
      </c>
      <c r="F236">
        <f>IF('Reels'!D17="block",'Reels'!D18*'Slots'!D25,0)+IF('Reels'!D32="block",'Reels'!D33*'Slots'!D25,0)+IF('Reels'!D42="block",'Reels'!D43*'Slots'!D25,0)</f>
        <v>0</v>
      </c>
      <c r="G236" t="b">
        <f>AND('Reels'!D17&lt;&gt;"blank",'Reels'!D17&lt;&gt;"class",'Reels'!D17='Reels'!D42,'Reels'!D18='Reels'!D43,OR('Reels'!D32="class",AND('Reels'!D32='Reels'!D17,'Reels'!D33='Reels'!D18)))</f>
        <v>0</v>
      </c>
      <c r="H236">
        <f>IF(G236,C236,0)</f>
        <v>0</v>
      </c>
    </row>
    <row r="237" spans="1:8" x14ac:dyDescent="0.25">
      <c r="A237" t="s">
        <v>225</v>
      </c>
      <c r="B237" t="s">
        <v>3600</v>
      </c>
      <c r="C237" s="4">
        <f>('Reels'!D19/('Reels'!D4+'Reels'!D7+'Reels'!D10+'Reels'!D13+'Reels'!D16+'Reels'!D19))*('Reels'!D34/('Reels'!D22+'Reels'!D25+'Reels'!D28+'Reels'!D31+'Reels'!D34+'Reels'!D37+'Reels'!D40))*('Reels'!D47/('Reels'!D44+'Reels'!D47+'Reels'!D50+'Reels'!D53+'Reels'!D56+'Reels'!D59))</f>
        <v>0.0008417508417508416</v>
      </c>
      <c r="D237">
        <f>IF(OR('Reels'!D17="attack",'Reels'!D17="magic"),CHOOSE('Reels'!D18+1,'Slots'!D29,'Slots'!D30,'Slots'!D31,'Slots'!D32,'Slots'!D33),0)+IF(OR('Reels'!D32="attack",'Reels'!D32="magic"),CHOOSE('Reels'!D33+1,'Slots'!D29,'Slots'!D30,'Slots'!D31,'Slots'!D32,'Slots'!D33),0)+IF(OR('Reels'!D45="attack",'Reels'!D45="magic"),CHOOSE('Reels'!D46+1,'Slots'!D29,'Slots'!D30,'Slots'!D31,'Slots'!D32,'Slots'!D33),0)</f>
        <v>4</v>
      </c>
      <c r="E237">
        <f>IF('Reels'!D17="heal",'Reels'!D18*'Slots'!D24,0)+IF('Reels'!D32="heal",'Reels'!D33*'Slots'!D24,0)+IF('Reels'!D45="heal",'Reels'!D46*'Slots'!D24,0)</f>
        <v>2</v>
      </c>
      <c r="F237">
        <f>IF('Reels'!D17="block",'Reels'!D18*'Slots'!D25,0)+IF('Reels'!D32="block",'Reels'!D33*'Slots'!D25,0)+IF('Reels'!D45="block",'Reels'!D46*'Slots'!D25,0)</f>
        <v>0</v>
      </c>
      <c r="G237" t="b">
        <f>AND('Reels'!D17&lt;&gt;"blank",'Reels'!D17&lt;&gt;"class",'Reels'!D17='Reels'!D45,'Reels'!D18='Reels'!D46,OR('Reels'!D32="class",AND('Reels'!D32='Reels'!D17,'Reels'!D33='Reels'!D18)))</f>
        <v>0</v>
      </c>
      <c r="H237">
        <f>IF(G237,C237,0)</f>
        <v>0</v>
      </c>
    </row>
    <row r="238" spans="1:8" x14ac:dyDescent="0.25">
      <c r="A238" t="s">
        <v>225</v>
      </c>
      <c r="B238" t="s">
        <v>3601</v>
      </c>
      <c r="C238" s="4">
        <f>('Reels'!D19/('Reels'!D4+'Reels'!D7+'Reels'!D10+'Reels'!D13+'Reels'!D16+'Reels'!D19))*('Reels'!D34/('Reels'!D22+'Reels'!D25+'Reels'!D28+'Reels'!D31+'Reels'!D34+'Reels'!D37+'Reels'!D40))*('Reels'!D50/('Reels'!D44+'Reels'!D47+'Reels'!D50+'Reels'!D53+'Reels'!D56+'Reels'!D59))</f>
        <v>0.0011784511784511784</v>
      </c>
      <c r="D238">
        <f>IF(OR('Reels'!D17="attack",'Reels'!D17="magic"),CHOOSE('Reels'!D18+1,'Slots'!D29,'Slots'!D30,'Slots'!D31,'Slots'!D32,'Slots'!D33),0)+IF(OR('Reels'!D32="attack",'Reels'!D32="magic"),CHOOSE('Reels'!D33+1,'Slots'!D29,'Slots'!D30,'Slots'!D31,'Slots'!D32,'Slots'!D33),0)+IF(OR('Reels'!D48="attack",'Reels'!D48="magic"),CHOOSE('Reels'!D49+1,'Slots'!D29,'Slots'!D30,'Slots'!D31,'Slots'!D32,'Slots'!D33),0)</f>
        <v>0</v>
      </c>
      <c r="E238">
        <f>IF('Reels'!D17="heal",'Reels'!D18*'Slots'!D24,0)+IF('Reels'!D32="heal",'Reels'!D33*'Slots'!D24,0)+IF('Reels'!D48="heal",'Reels'!D49*'Slots'!D24,0)</f>
        <v>2</v>
      </c>
      <c r="F238">
        <f>IF('Reels'!D17="block",'Reels'!D18*'Slots'!D25,0)+IF('Reels'!D32="block",'Reels'!D33*'Slots'!D25,0)+IF('Reels'!D48="block",'Reels'!D49*'Slots'!D25,0)</f>
        <v>1</v>
      </c>
      <c r="G238" t="b">
        <f>AND('Reels'!D17&lt;&gt;"blank",'Reels'!D17&lt;&gt;"class",'Reels'!D17='Reels'!D48,'Reels'!D18='Reels'!D49,OR('Reels'!D32="class",AND('Reels'!D32='Reels'!D17,'Reels'!D33='Reels'!D18)))</f>
        <v>0</v>
      </c>
      <c r="H238">
        <f>IF(G238,C238,0)</f>
        <v>0</v>
      </c>
    </row>
    <row r="239" spans="1:8" x14ac:dyDescent="0.25">
      <c r="A239" t="s">
        <v>225</v>
      </c>
      <c r="B239" t="s">
        <v>3602</v>
      </c>
      <c r="C239" s="4">
        <f>('Reels'!D19/('Reels'!D4+'Reels'!D7+'Reels'!D10+'Reels'!D13+'Reels'!D16+'Reels'!D19))*('Reels'!D34/('Reels'!D22+'Reels'!D25+'Reels'!D28+'Reels'!D31+'Reels'!D34+'Reels'!D37+'Reels'!D40))*('Reels'!D53/('Reels'!D44+'Reels'!D47+'Reels'!D50+'Reels'!D53+'Reels'!D56+'Reels'!D59))</f>
        <v>0.000505050505050505</v>
      </c>
      <c r="D239">
        <f>IF(OR('Reels'!D17="attack",'Reels'!D17="magic"),CHOOSE('Reels'!D18+1,'Slots'!D29,'Slots'!D30,'Slots'!D31,'Slots'!D32,'Slots'!D33),0)+IF(OR('Reels'!D32="attack",'Reels'!D32="magic"),CHOOSE('Reels'!D33+1,'Slots'!D29,'Slots'!D30,'Slots'!D31,'Slots'!D32,'Slots'!D33),0)+IF(OR('Reels'!D51="attack",'Reels'!D51="magic"),CHOOSE('Reels'!D52+1,'Slots'!D29,'Slots'!D30,'Slots'!D31,'Slots'!D32,'Slots'!D33),0)</f>
        <v>0</v>
      </c>
      <c r="E239">
        <f>IF('Reels'!D17="heal",'Reels'!D18*'Slots'!D24,0)+IF('Reels'!D32="heal",'Reels'!D33*'Slots'!D24,0)+IF('Reels'!D51="heal",'Reels'!D52*'Slots'!D24,0)</f>
        <v>2</v>
      </c>
      <c r="F239">
        <f>IF('Reels'!D17="block",'Reels'!D18*'Slots'!D25,0)+IF('Reels'!D32="block",'Reels'!D33*'Slots'!D25,0)+IF('Reels'!D51="block",'Reels'!D52*'Slots'!D25,0)</f>
        <v>2</v>
      </c>
      <c r="G239" t="b">
        <f>AND('Reels'!D17&lt;&gt;"blank",'Reels'!D17&lt;&gt;"class",'Reels'!D17='Reels'!D51,'Reels'!D18='Reels'!D52,OR('Reels'!D32="class",AND('Reels'!D32='Reels'!D17,'Reels'!D33='Reels'!D18)))</f>
        <v>0</v>
      </c>
      <c r="H239">
        <f>IF(G239,C239,0)</f>
        <v>0</v>
      </c>
    </row>
    <row r="240" spans="1:8" x14ac:dyDescent="0.25">
      <c r="A240" t="s">
        <v>225</v>
      </c>
      <c r="B240" t="s">
        <v>3603</v>
      </c>
      <c r="C240" s="4">
        <f>('Reels'!D19/('Reels'!D4+'Reels'!D7+'Reels'!D10+'Reels'!D13+'Reels'!D16+'Reels'!D19))*('Reels'!D34/('Reels'!D22+'Reels'!D25+'Reels'!D28+'Reels'!D31+'Reels'!D34+'Reels'!D37+'Reels'!D40))*('Reels'!D56/('Reels'!D44+'Reels'!D47+'Reels'!D50+'Reels'!D53+'Reels'!D56+'Reels'!D59))</f>
        <v>0.00016835016835016833</v>
      </c>
      <c r="D240">
        <f>IF(OR('Reels'!D17="attack",'Reels'!D17="magic"),CHOOSE('Reels'!D18+1,'Slots'!D29,'Slots'!D30,'Slots'!D31,'Slots'!D32,'Slots'!D33),0)+IF(OR('Reels'!D32="attack",'Reels'!D32="magic"),CHOOSE('Reels'!D33+1,'Slots'!D29,'Slots'!D30,'Slots'!D31,'Slots'!D32,'Slots'!D33),0)+IF(OR('Reels'!D54="attack",'Reels'!D54="magic"),CHOOSE('Reels'!D55+1,'Slots'!D29,'Slots'!D30,'Slots'!D31,'Slots'!D32,'Slots'!D33),0)</f>
        <v>0</v>
      </c>
      <c r="E240">
        <f>IF('Reels'!D17="heal",'Reels'!D18*'Slots'!D24,0)+IF('Reels'!D32="heal",'Reels'!D33*'Slots'!D24,0)+IF('Reels'!D54="heal",'Reels'!D55*'Slots'!D24,0)</f>
        <v>4</v>
      </c>
      <c r="F240">
        <f>IF('Reels'!D17="block",'Reels'!D18*'Slots'!D25,0)+IF('Reels'!D32="block",'Reels'!D33*'Slots'!D25,0)+IF('Reels'!D54="block",'Reels'!D55*'Slots'!D25,0)</f>
        <v>0</v>
      </c>
      <c r="G240" t="b">
        <f>AND('Reels'!D17&lt;&gt;"blank",'Reels'!D17&lt;&gt;"class",'Reels'!D17='Reels'!D54,'Reels'!D18='Reels'!D55,OR('Reels'!D32="class",AND('Reels'!D32='Reels'!D17,'Reels'!D33='Reels'!D18)))</f>
        <v>0</v>
      </c>
      <c r="H240">
        <f>IF(G240,C240,0)</f>
        <v>0</v>
      </c>
    </row>
    <row r="241" spans="1:8" x14ac:dyDescent="0.25">
      <c r="A241" t="s">
        <v>225</v>
      </c>
      <c r="B241" t="s">
        <v>3604</v>
      </c>
      <c r="C241" s="4">
        <f>('Reels'!D19/('Reels'!D4+'Reels'!D7+'Reels'!D10+'Reels'!D13+'Reels'!D16+'Reels'!D19))*('Reels'!D34/('Reels'!D22+'Reels'!D25+'Reels'!D28+'Reels'!D31+'Reels'!D34+'Reels'!D37+'Reels'!D40))*('Reels'!D59/('Reels'!D44+'Reels'!D47+'Reels'!D50+'Reels'!D53+'Reels'!D56+'Reels'!D59))</f>
        <v>0.0008417508417508416</v>
      </c>
      <c r="D241">
        <f>IF(OR('Reels'!D17="attack",'Reels'!D17="magic"),CHOOSE('Reels'!D18+1,'Slots'!D29,'Slots'!D30,'Slots'!D31,'Slots'!D32,'Slots'!D33),0)+IF(OR('Reels'!D32="attack",'Reels'!D32="magic"),CHOOSE('Reels'!D33+1,'Slots'!D29,'Slots'!D30,'Slots'!D31,'Slots'!D32,'Slots'!D33),0)+IF(OR('Reels'!D57="attack",'Reels'!D57="magic"),CHOOSE('Reels'!D58+1,'Slots'!D29,'Slots'!D30,'Slots'!D31,'Slots'!D32,'Slots'!D33),0)</f>
        <v>0</v>
      </c>
      <c r="E241">
        <f>IF('Reels'!D17="heal",'Reels'!D18*'Slots'!D24,0)+IF('Reels'!D32="heal",'Reels'!D33*'Slots'!D24,0)+IF('Reels'!D57="heal",'Reels'!D58*'Slots'!D24,0)</f>
        <v>2</v>
      </c>
      <c r="F241">
        <f>IF('Reels'!D17="block",'Reels'!D18*'Slots'!D25,0)+IF('Reels'!D32="block",'Reels'!D33*'Slots'!D25,0)+IF('Reels'!D57="block",'Reels'!D58*'Slots'!D25,0)</f>
        <v>0</v>
      </c>
      <c r="G241" t="b">
        <f>AND('Reels'!D17&lt;&gt;"blank",'Reels'!D17&lt;&gt;"class",'Reels'!D17='Reels'!D57,'Reels'!D18='Reels'!D58,OR('Reels'!D32="class",AND('Reels'!D32='Reels'!D17,'Reels'!D33='Reels'!D18)))</f>
        <v>0</v>
      </c>
      <c r="H241">
        <f>IF(G241,C241,0)</f>
        <v>0</v>
      </c>
    </row>
    <row r="242" spans="1:8" x14ac:dyDescent="0.25">
      <c r="A242" t="s">
        <v>225</v>
      </c>
      <c r="B242" t="s">
        <v>3605</v>
      </c>
      <c r="C242" s="4">
        <f>('Reels'!D19/('Reels'!D4+'Reels'!D7+'Reels'!D10+'Reels'!D13+'Reels'!D16+'Reels'!D19))*('Reels'!D37/('Reels'!D22+'Reels'!D25+'Reels'!D28+'Reels'!D31+'Reels'!D34+'Reels'!D37+'Reels'!D40))*('Reels'!D44/('Reels'!D44+'Reels'!D47+'Reels'!D50+'Reels'!D53+'Reels'!D56+'Reels'!D59))</f>
        <v>0.007575757575757574</v>
      </c>
      <c r="D242">
        <f>IF(OR('Reels'!D17="attack",'Reels'!D17="magic"),CHOOSE('Reels'!D18+1,'Slots'!D29,'Slots'!D30,'Slots'!D31,'Slots'!D32,'Slots'!D33),0)+IF(OR('Reels'!D35="attack",'Reels'!D35="magic"),CHOOSE('Reels'!D36+1,'Slots'!D29,'Slots'!D30,'Slots'!D31,'Slots'!D32,'Slots'!D33),0)+IF(OR('Reels'!D42="attack",'Reels'!D42="magic"),CHOOSE('Reels'!D43+1,'Slots'!D29,'Slots'!D30,'Slots'!D31,'Slots'!D32,'Slots'!D33),0)</f>
        <v>2</v>
      </c>
      <c r="E242">
        <f>IF('Reels'!D17="heal",'Reels'!D18*'Slots'!D24,0)+IF('Reels'!D35="heal",'Reels'!D36*'Slots'!D24,0)+IF('Reels'!D42="heal",'Reels'!D43*'Slots'!D24,0)</f>
        <v>0</v>
      </c>
      <c r="F242">
        <f>IF('Reels'!D17="block",'Reels'!D18*'Slots'!D25,0)+IF('Reels'!D35="block",'Reels'!D36*'Slots'!D25,0)+IF('Reels'!D42="block",'Reels'!D43*'Slots'!D25,0)</f>
        <v>0</v>
      </c>
      <c r="G242" t="b">
        <f>AND('Reels'!D17&lt;&gt;"blank",'Reels'!D17&lt;&gt;"class",'Reels'!D17='Reels'!D42,'Reels'!D18='Reels'!D43,OR('Reels'!D35="class",AND('Reels'!D35='Reels'!D17,'Reels'!D36='Reels'!D18)))</f>
        <v>0</v>
      </c>
      <c r="H242">
        <f>IF(G242,C242,0)</f>
        <v>0</v>
      </c>
    </row>
    <row r="243" spans="1:8" x14ac:dyDescent="0.25">
      <c r="A243" t="s">
        <v>225</v>
      </c>
      <c r="B243" t="s">
        <v>3606</v>
      </c>
      <c r="C243" s="4">
        <f>('Reels'!D19/('Reels'!D4+'Reels'!D7+'Reels'!D10+'Reels'!D13+'Reels'!D16+'Reels'!D19))*('Reels'!D37/('Reels'!D22+'Reels'!D25+'Reels'!D28+'Reels'!D31+'Reels'!D34+'Reels'!D37+'Reels'!D40))*('Reels'!D47/('Reels'!D44+'Reels'!D47+'Reels'!D50+'Reels'!D53+'Reels'!D56+'Reels'!D59))</f>
        <v>0.004208754208754208</v>
      </c>
      <c r="D243">
        <f>IF(OR('Reels'!D17="attack",'Reels'!D17="magic"),CHOOSE('Reels'!D18+1,'Slots'!D29,'Slots'!D30,'Slots'!D31,'Slots'!D32,'Slots'!D33),0)+IF(OR('Reels'!D35="attack",'Reels'!D35="magic"),CHOOSE('Reels'!D36+1,'Slots'!D29,'Slots'!D30,'Slots'!D31,'Slots'!D32,'Slots'!D33),0)+IF(OR('Reels'!D45="attack",'Reels'!D45="magic"),CHOOSE('Reels'!D46+1,'Slots'!D29,'Slots'!D30,'Slots'!D31,'Slots'!D32,'Slots'!D33),0)</f>
        <v>4</v>
      </c>
      <c r="E243">
        <f>IF('Reels'!D17="heal",'Reels'!D18*'Slots'!D24,0)+IF('Reels'!D35="heal",'Reels'!D36*'Slots'!D24,0)+IF('Reels'!D45="heal",'Reels'!D46*'Slots'!D24,0)</f>
        <v>0</v>
      </c>
      <c r="F243">
        <f>IF('Reels'!D17="block",'Reels'!D18*'Slots'!D25,0)+IF('Reels'!D35="block",'Reels'!D36*'Slots'!D25,0)+IF('Reels'!D45="block",'Reels'!D46*'Slots'!D25,0)</f>
        <v>0</v>
      </c>
      <c r="G243" t="b">
        <f>AND('Reels'!D17&lt;&gt;"blank",'Reels'!D17&lt;&gt;"class",'Reels'!D17='Reels'!D45,'Reels'!D18='Reels'!D46,OR('Reels'!D35="class",AND('Reels'!D35='Reels'!D17,'Reels'!D36='Reels'!D18)))</f>
        <v>0</v>
      </c>
      <c r="H243">
        <f>IF(G243,C243,0)</f>
        <v>0</v>
      </c>
    </row>
    <row r="244" spans="1:8" x14ac:dyDescent="0.25">
      <c r="A244" t="s">
        <v>225</v>
      </c>
      <c r="B244" t="s">
        <v>3607</v>
      </c>
      <c r="C244" s="4">
        <f>('Reels'!D19/('Reels'!D4+'Reels'!D7+'Reels'!D10+'Reels'!D13+'Reels'!D16+'Reels'!D19))*('Reels'!D37/('Reels'!D22+'Reels'!D25+'Reels'!D28+'Reels'!D31+'Reels'!D34+'Reels'!D37+'Reels'!D40))*('Reels'!D50/('Reels'!D44+'Reels'!D47+'Reels'!D50+'Reels'!D53+'Reels'!D56+'Reels'!D59))</f>
        <v>0.0058922558922558915</v>
      </c>
      <c r="D244">
        <f>IF(OR('Reels'!D17="attack",'Reels'!D17="magic"),CHOOSE('Reels'!D18+1,'Slots'!D29,'Slots'!D30,'Slots'!D31,'Slots'!D32,'Slots'!D33),0)+IF(OR('Reels'!D35="attack",'Reels'!D35="magic"),CHOOSE('Reels'!D36+1,'Slots'!D29,'Slots'!D30,'Slots'!D31,'Slots'!D32,'Slots'!D33),0)+IF(OR('Reels'!D48="attack",'Reels'!D48="magic"),CHOOSE('Reels'!D49+1,'Slots'!D29,'Slots'!D30,'Slots'!D31,'Slots'!D32,'Slots'!D33),0)</f>
        <v>0</v>
      </c>
      <c r="E244">
        <f>IF('Reels'!D17="heal",'Reels'!D18*'Slots'!D24,0)+IF('Reels'!D35="heal",'Reels'!D36*'Slots'!D24,0)+IF('Reels'!D48="heal",'Reels'!D49*'Slots'!D24,0)</f>
        <v>0</v>
      </c>
      <c r="F244">
        <f>IF('Reels'!D17="block",'Reels'!D18*'Slots'!D25,0)+IF('Reels'!D35="block",'Reels'!D36*'Slots'!D25,0)+IF('Reels'!D48="block",'Reels'!D49*'Slots'!D25,0)</f>
        <v>1</v>
      </c>
      <c r="G244" t="b">
        <f>AND('Reels'!D17&lt;&gt;"blank",'Reels'!D17&lt;&gt;"class",'Reels'!D17='Reels'!D48,'Reels'!D18='Reels'!D49,OR('Reels'!D35="class",AND('Reels'!D35='Reels'!D17,'Reels'!D36='Reels'!D18)))</f>
        <v>0</v>
      </c>
      <c r="H244">
        <f>IF(G244,C244,0)</f>
        <v>0</v>
      </c>
    </row>
    <row r="245" spans="1:8" x14ac:dyDescent="0.25">
      <c r="A245" t="s">
        <v>225</v>
      </c>
      <c r="B245" t="s">
        <v>3608</v>
      </c>
      <c r="C245" s="4">
        <f>('Reels'!D19/('Reels'!D4+'Reels'!D7+'Reels'!D10+'Reels'!D13+'Reels'!D16+'Reels'!D19))*('Reels'!D37/('Reels'!D22+'Reels'!D25+'Reels'!D28+'Reels'!D31+'Reels'!D34+'Reels'!D37+'Reels'!D40))*('Reels'!D53/('Reels'!D44+'Reels'!D47+'Reels'!D50+'Reels'!D53+'Reels'!D56+'Reels'!D59))</f>
        <v>0.002525252525252525</v>
      </c>
      <c r="D245">
        <f>IF(OR('Reels'!D17="attack",'Reels'!D17="magic"),CHOOSE('Reels'!D18+1,'Slots'!D29,'Slots'!D30,'Slots'!D31,'Slots'!D32,'Slots'!D33),0)+IF(OR('Reels'!D35="attack",'Reels'!D35="magic"),CHOOSE('Reels'!D36+1,'Slots'!D29,'Slots'!D30,'Slots'!D31,'Slots'!D32,'Slots'!D33),0)+IF(OR('Reels'!D51="attack",'Reels'!D51="magic"),CHOOSE('Reels'!D52+1,'Slots'!D29,'Slots'!D30,'Slots'!D31,'Slots'!D32,'Slots'!D33),0)</f>
        <v>0</v>
      </c>
      <c r="E245">
        <f>IF('Reels'!D17="heal",'Reels'!D18*'Slots'!D24,0)+IF('Reels'!D35="heal",'Reels'!D36*'Slots'!D24,0)+IF('Reels'!D51="heal",'Reels'!D52*'Slots'!D24,0)</f>
        <v>0</v>
      </c>
      <c r="F245">
        <f>IF('Reels'!D17="block",'Reels'!D18*'Slots'!D25,0)+IF('Reels'!D35="block",'Reels'!D36*'Slots'!D25,0)+IF('Reels'!D51="block",'Reels'!D52*'Slots'!D25,0)</f>
        <v>2</v>
      </c>
      <c r="G245" t="b">
        <f>AND('Reels'!D17&lt;&gt;"blank",'Reels'!D17&lt;&gt;"class",'Reels'!D17='Reels'!D51,'Reels'!D18='Reels'!D52,OR('Reels'!D35="class",AND('Reels'!D35='Reels'!D17,'Reels'!D36='Reels'!D18)))</f>
        <v>0</v>
      </c>
      <c r="H245">
        <f>IF(G245,C245,0)</f>
        <v>0</v>
      </c>
    </row>
    <row r="246" spans="1:8" x14ac:dyDescent="0.25">
      <c r="A246" t="s">
        <v>225</v>
      </c>
      <c r="B246" t="s">
        <v>3609</v>
      </c>
      <c r="C246" s="4">
        <f>('Reels'!D19/('Reels'!D4+'Reels'!D7+'Reels'!D10+'Reels'!D13+'Reels'!D16+'Reels'!D19))*('Reels'!D37/('Reels'!D22+'Reels'!D25+'Reels'!D28+'Reels'!D31+'Reels'!D34+'Reels'!D37+'Reels'!D40))*('Reels'!D56/('Reels'!D44+'Reels'!D47+'Reels'!D50+'Reels'!D53+'Reels'!D56+'Reels'!D59))</f>
        <v>0.0008417508417508416</v>
      </c>
      <c r="D246">
        <f>IF(OR('Reels'!D17="attack",'Reels'!D17="magic"),CHOOSE('Reels'!D18+1,'Slots'!D29,'Slots'!D30,'Slots'!D31,'Slots'!D32,'Slots'!D33),0)+IF(OR('Reels'!D35="attack",'Reels'!D35="magic"),CHOOSE('Reels'!D36+1,'Slots'!D29,'Slots'!D30,'Slots'!D31,'Slots'!D32,'Slots'!D33),0)+IF(OR('Reels'!D54="attack",'Reels'!D54="magic"),CHOOSE('Reels'!D55+1,'Slots'!D29,'Slots'!D30,'Slots'!D31,'Slots'!D32,'Slots'!D33),0)</f>
        <v>0</v>
      </c>
      <c r="E246">
        <f>IF('Reels'!D17="heal",'Reels'!D18*'Slots'!D24,0)+IF('Reels'!D35="heal",'Reels'!D36*'Slots'!D24,0)+IF('Reels'!D54="heal",'Reels'!D55*'Slots'!D24,0)</f>
        <v>2</v>
      </c>
      <c r="F246">
        <f>IF('Reels'!D17="block",'Reels'!D18*'Slots'!D25,0)+IF('Reels'!D35="block",'Reels'!D36*'Slots'!D25,0)+IF('Reels'!D54="block",'Reels'!D55*'Slots'!D25,0)</f>
        <v>0</v>
      </c>
      <c r="G246" t="b">
        <f>AND('Reels'!D17&lt;&gt;"blank",'Reels'!D17&lt;&gt;"class",'Reels'!D17='Reels'!D54,'Reels'!D18='Reels'!D55,OR('Reels'!D35="class",AND('Reels'!D35='Reels'!D17,'Reels'!D36='Reels'!D18)))</f>
        <v>0</v>
      </c>
      <c r="H246">
        <f>IF(G246,C246,0)</f>
        <v>0</v>
      </c>
    </row>
    <row r="247" spans="1:8" x14ac:dyDescent="0.25">
      <c r="A247" t="s">
        <v>225</v>
      </c>
      <c r="B247" t="s">
        <v>3610</v>
      </c>
      <c r="C247" s="4">
        <f>('Reels'!D19/('Reels'!D4+'Reels'!D7+'Reels'!D10+'Reels'!D13+'Reels'!D16+'Reels'!D19))*('Reels'!D37/('Reels'!D22+'Reels'!D25+'Reels'!D28+'Reels'!D31+'Reels'!D34+'Reels'!D37+'Reels'!D40))*('Reels'!D59/('Reels'!D44+'Reels'!D47+'Reels'!D50+'Reels'!D53+'Reels'!D56+'Reels'!D59))</f>
        <v>0.004208754208754208</v>
      </c>
      <c r="D247">
        <f>IF(OR('Reels'!D17="attack",'Reels'!D17="magic"),CHOOSE('Reels'!D18+1,'Slots'!D29,'Slots'!D30,'Slots'!D31,'Slots'!D32,'Slots'!D33),0)+IF(OR('Reels'!D35="attack",'Reels'!D35="magic"),CHOOSE('Reels'!D36+1,'Slots'!D29,'Slots'!D30,'Slots'!D31,'Slots'!D32,'Slots'!D33),0)+IF(OR('Reels'!D57="attack",'Reels'!D57="magic"),CHOOSE('Reels'!D58+1,'Slots'!D29,'Slots'!D30,'Slots'!D31,'Slots'!D32,'Slots'!D33),0)</f>
        <v>0</v>
      </c>
      <c r="E247">
        <f>IF('Reels'!D17="heal",'Reels'!D18*'Slots'!D24,0)+IF('Reels'!D35="heal",'Reels'!D36*'Slots'!D24,0)+IF('Reels'!D57="heal",'Reels'!D58*'Slots'!D24,0)</f>
        <v>0</v>
      </c>
      <c r="F247">
        <f>IF('Reels'!D17="block",'Reels'!D18*'Slots'!D25,0)+IF('Reels'!D35="block",'Reels'!D36*'Slots'!D25,0)+IF('Reels'!D57="block",'Reels'!D58*'Slots'!D25,0)</f>
        <v>0</v>
      </c>
      <c r="G247" t="b">
        <f>AND('Reels'!D17&lt;&gt;"blank",'Reels'!D17&lt;&gt;"class",'Reels'!D17='Reels'!D57,'Reels'!D18='Reels'!D58,OR('Reels'!D35="class",AND('Reels'!D35='Reels'!D17,'Reels'!D36='Reels'!D18)))</f>
        <v>0</v>
      </c>
      <c r="H247">
        <f>IF(G247,C247,0)</f>
        <v>0</v>
      </c>
    </row>
    <row r="248" spans="1:8" x14ac:dyDescent="0.25">
      <c r="A248" t="s">
        <v>225</v>
      </c>
      <c r="B248" t="s">
        <v>3611</v>
      </c>
      <c r="C248" s="4">
        <f>('Reels'!D19/('Reels'!D4+'Reels'!D7+'Reels'!D10+'Reels'!D13+'Reels'!D16+'Reels'!D19))*('Reels'!D40/('Reels'!D22+'Reels'!D25+'Reels'!D28+'Reels'!D31+'Reels'!D34+'Reels'!D37+'Reels'!D40))*('Reels'!D44/('Reels'!D44+'Reels'!D47+'Reels'!D50+'Reels'!D53+'Reels'!D56+'Reels'!D59))</f>
        <v>0.004545454545454545</v>
      </c>
      <c r="D248">
        <f>IF(OR('Reels'!D17="attack",'Reels'!D17="magic"),CHOOSE('Reels'!D18+1,'Slots'!D29,'Slots'!D30,'Slots'!D31,'Slots'!D32,'Slots'!D33),0)+IF(OR('Reels'!D38="attack",'Reels'!D38="magic"),CHOOSE('Reels'!D39+1,'Slots'!D29,'Slots'!D30,'Slots'!D31,'Slots'!D32,'Slots'!D33),0)+IF(OR('Reels'!D42="attack",'Reels'!D42="magic"),CHOOSE('Reels'!D43+1,'Slots'!D29,'Slots'!D30,'Slots'!D31,'Slots'!D32,'Slots'!D33),0)</f>
        <v>2</v>
      </c>
      <c r="E248">
        <f>IF('Reels'!D17="heal",'Reels'!D18*'Slots'!D24,0)+IF('Reels'!D38="heal",'Reels'!D39*'Slots'!D24,0)+IF('Reels'!D42="heal",'Reels'!D43*'Slots'!D24,0)</f>
        <v>0</v>
      </c>
      <c r="F248">
        <f>IF('Reels'!D17="block",'Reels'!D18*'Slots'!D25,0)+IF('Reels'!D38="block",'Reels'!D39*'Slots'!D25,0)+IF('Reels'!D42="block",'Reels'!D43*'Slots'!D25,0)</f>
        <v>0</v>
      </c>
      <c r="G248" t="b">
        <f>AND('Reels'!D17&lt;&gt;"blank",'Reels'!D17&lt;&gt;"class",'Reels'!D17='Reels'!D42,'Reels'!D18='Reels'!D43,OR('Reels'!D38="class",AND('Reels'!D38='Reels'!D17,'Reels'!D39='Reels'!D18)))</f>
        <v>0</v>
      </c>
      <c r="H248">
        <f>IF(G248,C248,0)</f>
        <v>0</v>
      </c>
    </row>
    <row r="249" spans="1:8" x14ac:dyDescent="0.25">
      <c r="A249" t="s">
        <v>225</v>
      </c>
      <c r="B249" t="s">
        <v>3612</v>
      </c>
      <c r="C249" s="4">
        <f>('Reels'!D19/('Reels'!D4+'Reels'!D7+'Reels'!D10+'Reels'!D13+'Reels'!D16+'Reels'!D19))*('Reels'!D40/('Reels'!D22+'Reels'!D25+'Reels'!D28+'Reels'!D31+'Reels'!D34+'Reels'!D37+'Reels'!D40))*('Reels'!D47/('Reels'!D44+'Reels'!D47+'Reels'!D50+'Reels'!D53+'Reels'!D56+'Reels'!D59))</f>
        <v>0.0025252525252525255</v>
      </c>
      <c r="D249">
        <f>IF(OR('Reels'!D17="attack",'Reels'!D17="magic"),CHOOSE('Reels'!D18+1,'Slots'!D29,'Slots'!D30,'Slots'!D31,'Slots'!D32,'Slots'!D33),0)+IF(OR('Reels'!D38="attack",'Reels'!D38="magic"),CHOOSE('Reels'!D39+1,'Slots'!D29,'Slots'!D30,'Slots'!D31,'Slots'!D32,'Slots'!D33),0)+IF(OR('Reels'!D45="attack",'Reels'!D45="magic"),CHOOSE('Reels'!D46+1,'Slots'!D29,'Slots'!D30,'Slots'!D31,'Slots'!D32,'Slots'!D33),0)</f>
        <v>4</v>
      </c>
      <c r="E249">
        <f>IF('Reels'!D17="heal",'Reels'!D18*'Slots'!D24,0)+IF('Reels'!D38="heal",'Reels'!D39*'Slots'!D24,0)+IF('Reels'!D45="heal",'Reels'!D46*'Slots'!D24,0)</f>
        <v>0</v>
      </c>
      <c r="F249">
        <f>IF('Reels'!D17="block",'Reels'!D18*'Slots'!D25,0)+IF('Reels'!D38="block",'Reels'!D39*'Slots'!D25,0)+IF('Reels'!D45="block",'Reels'!D46*'Slots'!D25,0)</f>
        <v>0</v>
      </c>
      <c r="G249" t="b">
        <f>AND('Reels'!D17&lt;&gt;"blank",'Reels'!D17&lt;&gt;"class",'Reels'!D17='Reels'!D45,'Reels'!D18='Reels'!D46,OR('Reels'!D38="class",AND('Reels'!D38='Reels'!D17,'Reels'!D39='Reels'!D18)))</f>
        <v>0</v>
      </c>
      <c r="H249">
        <f>IF(G249,C249,0)</f>
        <v>0</v>
      </c>
    </row>
    <row r="250" spans="1:8" x14ac:dyDescent="0.25">
      <c r="A250" t="s">
        <v>225</v>
      </c>
      <c r="B250" t="s">
        <v>3613</v>
      </c>
      <c r="C250" s="4">
        <f>('Reels'!D19/('Reels'!D4+'Reels'!D7+'Reels'!D10+'Reels'!D13+'Reels'!D16+'Reels'!D19))*('Reels'!D40/('Reels'!D22+'Reels'!D25+'Reels'!D28+'Reels'!D31+'Reels'!D34+'Reels'!D37+'Reels'!D40))*('Reels'!D50/('Reels'!D44+'Reels'!D47+'Reels'!D50+'Reels'!D53+'Reels'!D56+'Reels'!D59))</f>
        <v>0.0035353535353535356</v>
      </c>
      <c r="D250">
        <f>IF(OR('Reels'!D17="attack",'Reels'!D17="magic"),CHOOSE('Reels'!D18+1,'Slots'!D29,'Slots'!D30,'Slots'!D31,'Slots'!D32,'Slots'!D33),0)+IF(OR('Reels'!D38="attack",'Reels'!D38="magic"),CHOOSE('Reels'!D39+1,'Slots'!D29,'Slots'!D30,'Slots'!D31,'Slots'!D32,'Slots'!D33),0)+IF(OR('Reels'!D48="attack",'Reels'!D48="magic"),CHOOSE('Reels'!D49+1,'Slots'!D29,'Slots'!D30,'Slots'!D31,'Slots'!D32,'Slots'!D33),0)</f>
        <v>0</v>
      </c>
      <c r="E250">
        <f>IF('Reels'!D17="heal",'Reels'!D18*'Slots'!D24,0)+IF('Reels'!D38="heal",'Reels'!D39*'Slots'!D24,0)+IF('Reels'!D48="heal",'Reels'!D49*'Slots'!D24,0)</f>
        <v>0</v>
      </c>
      <c r="F250">
        <f>IF('Reels'!D17="block",'Reels'!D18*'Slots'!D25,0)+IF('Reels'!D38="block",'Reels'!D39*'Slots'!D25,0)+IF('Reels'!D48="block",'Reels'!D49*'Slots'!D25,0)</f>
        <v>1</v>
      </c>
      <c r="G250" t="b">
        <f>AND('Reels'!D17&lt;&gt;"blank",'Reels'!D17&lt;&gt;"class",'Reels'!D17='Reels'!D48,'Reels'!D18='Reels'!D49,OR('Reels'!D38="class",AND('Reels'!D38='Reels'!D17,'Reels'!D39='Reels'!D18)))</f>
        <v>0</v>
      </c>
      <c r="H250">
        <f>IF(G250,C250,0)</f>
        <v>0</v>
      </c>
    </row>
    <row r="251" spans="1:8" x14ac:dyDescent="0.25">
      <c r="A251" t="s">
        <v>225</v>
      </c>
      <c r="B251" t="s">
        <v>3614</v>
      </c>
      <c r="C251" s="4">
        <f>('Reels'!D19/('Reels'!D4+'Reels'!D7+'Reels'!D10+'Reels'!D13+'Reels'!D16+'Reels'!D19))*('Reels'!D40/('Reels'!D22+'Reels'!D25+'Reels'!D28+'Reels'!D31+'Reels'!D34+'Reels'!D37+'Reels'!D40))*('Reels'!D53/('Reels'!D44+'Reels'!D47+'Reels'!D50+'Reels'!D53+'Reels'!D56+'Reels'!D59))</f>
        <v>0.0015151515151515152</v>
      </c>
      <c r="D251">
        <f>IF(OR('Reels'!D17="attack",'Reels'!D17="magic"),CHOOSE('Reels'!D18+1,'Slots'!D29,'Slots'!D30,'Slots'!D31,'Slots'!D32,'Slots'!D33),0)+IF(OR('Reels'!D38="attack",'Reels'!D38="magic"),CHOOSE('Reels'!D39+1,'Slots'!D29,'Slots'!D30,'Slots'!D31,'Slots'!D32,'Slots'!D33),0)+IF(OR('Reels'!D51="attack",'Reels'!D51="magic"),CHOOSE('Reels'!D52+1,'Slots'!D29,'Slots'!D30,'Slots'!D31,'Slots'!D32,'Slots'!D33),0)</f>
        <v>0</v>
      </c>
      <c r="E251">
        <f>IF('Reels'!D17="heal",'Reels'!D18*'Slots'!D24,0)+IF('Reels'!D38="heal",'Reels'!D39*'Slots'!D24,0)+IF('Reels'!D51="heal",'Reels'!D52*'Slots'!D24,0)</f>
        <v>0</v>
      </c>
      <c r="F251">
        <f>IF('Reels'!D17="block",'Reels'!D18*'Slots'!D25,0)+IF('Reels'!D38="block",'Reels'!D39*'Slots'!D25,0)+IF('Reels'!D51="block",'Reels'!D52*'Slots'!D25,0)</f>
        <v>2</v>
      </c>
      <c r="G251" t="b">
        <f>AND('Reels'!D17&lt;&gt;"blank",'Reels'!D17&lt;&gt;"class",'Reels'!D17='Reels'!D51,'Reels'!D18='Reels'!D52,OR('Reels'!D38="class",AND('Reels'!D38='Reels'!D17,'Reels'!D39='Reels'!D18)))</f>
        <v>0</v>
      </c>
      <c r="H251">
        <f>IF(G251,C251,0)</f>
        <v>0</v>
      </c>
    </row>
    <row r="252" spans="1:8" x14ac:dyDescent="0.25">
      <c r="A252" t="s">
        <v>225</v>
      </c>
      <c r="B252" t="s">
        <v>3615</v>
      </c>
      <c r="C252" s="4">
        <f>('Reels'!D19/('Reels'!D4+'Reels'!D7+'Reels'!D10+'Reels'!D13+'Reels'!D16+'Reels'!D19))*('Reels'!D40/('Reels'!D22+'Reels'!D25+'Reels'!D28+'Reels'!D31+'Reels'!D34+'Reels'!D37+'Reels'!D40))*('Reels'!D56/('Reels'!D44+'Reels'!D47+'Reels'!D50+'Reels'!D53+'Reels'!D56+'Reels'!D59))</f>
        <v>0.000505050505050505</v>
      </c>
      <c r="D252">
        <f>IF(OR('Reels'!D17="attack",'Reels'!D17="magic"),CHOOSE('Reels'!D18+1,'Slots'!D29,'Slots'!D30,'Slots'!D31,'Slots'!D32,'Slots'!D33),0)+IF(OR('Reels'!D38="attack",'Reels'!D38="magic"),CHOOSE('Reels'!D39+1,'Slots'!D29,'Slots'!D30,'Slots'!D31,'Slots'!D32,'Slots'!D33),0)+IF(OR('Reels'!D54="attack",'Reels'!D54="magic"),CHOOSE('Reels'!D55+1,'Slots'!D29,'Slots'!D30,'Slots'!D31,'Slots'!D32,'Slots'!D33),0)</f>
        <v>0</v>
      </c>
      <c r="E252">
        <f>IF('Reels'!D17="heal",'Reels'!D18*'Slots'!D24,0)+IF('Reels'!D38="heal",'Reels'!D39*'Slots'!D24,0)+IF('Reels'!D54="heal",'Reels'!D55*'Slots'!D24,0)</f>
        <v>2</v>
      </c>
      <c r="F252">
        <f>IF('Reels'!D17="block",'Reels'!D18*'Slots'!D25,0)+IF('Reels'!D38="block",'Reels'!D39*'Slots'!D25,0)+IF('Reels'!D54="block",'Reels'!D55*'Slots'!D25,0)</f>
        <v>0</v>
      </c>
      <c r="G252" t="b">
        <f>AND('Reels'!D17&lt;&gt;"blank",'Reels'!D17&lt;&gt;"class",'Reels'!D17='Reels'!D54,'Reels'!D18='Reels'!D55,OR('Reels'!D38="class",AND('Reels'!D38='Reels'!D17,'Reels'!D39='Reels'!D18)))</f>
        <v>0</v>
      </c>
      <c r="H252">
        <f>IF(G252,C252,0)</f>
        <v>0</v>
      </c>
    </row>
    <row r="253" spans="1:8" x14ac:dyDescent="0.25">
      <c r="A253" t="s">
        <v>225</v>
      </c>
      <c r="B253" t="s">
        <v>3616</v>
      </c>
      <c r="C253" s="4">
        <f>('Reels'!D19/('Reels'!D4+'Reels'!D7+'Reels'!D10+'Reels'!D13+'Reels'!D16+'Reels'!D19))*('Reels'!D40/('Reels'!D22+'Reels'!D25+'Reels'!D28+'Reels'!D31+'Reels'!D34+'Reels'!D37+'Reels'!D40))*('Reels'!D59/('Reels'!D44+'Reels'!D47+'Reels'!D50+'Reels'!D53+'Reels'!D56+'Reels'!D59))</f>
        <v>0.0025252525252525255</v>
      </c>
      <c r="D253">
        <f>IF(OR('Reels'!D17="attack",'Reels'!D17="magic"),CHOOSE('Reels'!D18+1,'Slots'!D29,'Slots'!D30,'Slots'!D31,'Slots'!D32,'Slots'!D33),0)+IF(OR('Reels'!D38="attack",'Reels'!D38="magic"),CHOOSE('Reels'!D39+1,'Slots'!D29,'Slots'!D30,'Slots'!D31,'Slots'!D32,'Slots'!D33),0)+IF(OR('Reels'!D57="attack",'Reels'!D57="magic"),CHOOSE('Reels'!D58+1,'Slots'!D29,'Slots'!D30,'Slots'!D31,'Slots'!D32,'Slots'!D33),0)</f>
        <v>0</v>
      </c>
      <c r="E253">
        <f>IF('Reels'!D17="heal",'Reels'!D18*'Slots'!D24,0)+IF('Reels'!D38="heal",'Reels'!D39*'Slots'!D24,0)+IF('Reels'!D57="heal",'Reels'!D58*'Slots'!D24,0)</f>
        <v>0</v>
      </c>
      <c r="F253">
        <f>IF('Reels'!D17="block",'Reels'!D18*'Slots'!D25,0)+IF('Reels'!D38="block",'Reels'!D39*'Slots'!D25,0)+IF('Reels'!D57="block",'Reels'!D58*'Slots'!D25,0)</f>
        <v>0</v>
      </c>
      <c r="G253" t="b">
        <f>AND('Reels'!D17&lt;&gt;"blank",'Reels'!D17&lt;&gt;"class",'Reels'!D17='Reels'!D57,'Reels'!D18='Reels'!D58,OR('Reels'!D38="class",AND('Reels'!D38='Reels'!D17,'Reels'!D39='Reels'!D18)))</f>
        <v>0</v>
      </c>
      <c r="H253">
        <f>IF(G253,C253,0)</f>
        <v>0</v>
      </c>
    </row>
    <row r="254" spans="1:8" x14ac:dyDescent="0.25">
      <c r="A254" t="s">
        <v>247</v>
      </c>
      <c r="B254" t="s">
        <v>3561</v>
      </c>
      <c r="C254" s="4">
        <f>('Reels'!D62/('Reels'!D62+'Reels'!D65+'Reels'!D68+'Reels'!D71+'Reels'!D74+'Reels'!D77))*('Reels'!D80/('Reels'!D80+'Reels'!D83+'Reels'!D86+'Reels'!D89+'Reels'!D92+'Reels'!D95+'Reels'!D98))*('Reels'!D102/('Reels'!D102+'Reels'!D105+'Reels'!D108+'Reels'!D111+'Reels'!D114+'Reels'!D117))</f>
        <v>0.06415411951744131</v>
      </c>
      <c r="D254">
        <f>IF(OR('Reels'!D60="attack",'Reels'!D60="magic"),CHOOSE('Reels'!D61+1,'Slots'!D29,'Slots'!D30,'Slots'!D31,'Slots'!D32,'Slots'!D33),0)+IF(OR('Reels'!D78="attack",'Reels'!D78="magic"),CHOOSE('Reels'!D79+1,'Slots'!D29,'Slots'!D30,'Slots'!D31,'Slots'!D32,'Slots'!D33),0)+IF(OR('Reels'!D100="attack",'Reels'!D100="magic"),CHOOSE('Reels'!D101+1,'Slots'!D29,'Slots'!D30,'Slots'!D31,'Slots'!D32,'Slots'!D33),0)</f>
        <v>0</v>
      </c>
      <c r="E254">
        <f>IF('Reels'!D60="heal",'Reels'!D61*'Slots'!D24,0)+IF('Reels'!D78="heal",'Reels'!D79*'Slots'!D24,0)+IF('Reels'!D100="heal",'Reels'!D101*'Slots'!D24,0)</f>
        <v>6</v>
      </c>
      <c r="F254">
        <f>IF('Reels'!D60="block",'Reels'!D61*'Slots'!D25,0)+IF('Reels'!D78="block",'Reels'!D79*'Slots'!D25,0)+IF('Reels'!D100="block",'Reels'!D101*'Slots'!D25,0)</f>
        <v>0</v>
      </c>
      <c r="G254" t="b">
        <f>AND('Reels'!D60&lt;&gt;"blank",'Reels'!D60&lt;&gt;"class",'Reels'!D60='Reels'!D100,'Reels'!D61='Reels'!D101,OR('Reels'!D78="class",AND('Reels'!D78='Reels'!D60,'Reels'!D79='Reels'!D61)))</f>
        <v>1</v>
      </c>
      <c r="H254">
        <f>IF(G254,C254,0)</f>
        <v>0.06415411951744131</v>
      </c>
    </row>
    <row r="255" spans="1:8" x14ac:dyDescent="0.25">
      <c r="A255" t="s">
        <v>247</v>
      </c>
      <c r="B255" t="s">
        <v>3617</v>
      </c>
      <c r="C255" s="4">
        <f>('Reels'!D62/('Reels'!D62+'Reels'!D65+'Reels'!D68+'Reels'!D71+'Reels'!D74+'Reels'!D77))*('Reels'!D80/('Reels'!D80+'Reels'!D83+'Reels'!D86+'Reels'!D89+'Reels'!D92+'Reels'!D95+'Reels'!D98))*('Reels'!D105/('Reels'!D102+'Reels'!D105+'Reels'!D108+'Reels'!D111+'Reels'!D114+'Reels'!D117))</f>
        <v>0.054989245300663986</v>
      </c>
      <c r="D255">
        <f>IF(OR('Reels'!D60="attack",'Reels'!D60="magic"),CHOOSE('Reels'!D61+1,'Slots'!D29,'Slots'!D30,'Slots'!D31,'Slots'!D32,'Slots'!D33),0)+IF(OR('Reels'!D78="attack",'Reels'!D78="magic"),CHOOSE('Reels'!D79+1,'Slots'!D29,'Slots'!D30,'Slots'!D31,'Slots'!D32,'Slots'!D33),0)+IF(OR('Reels'!D103="attack",'Reels'!D103="magic"),CHOOSE('Reels'!D104+1,'Slots'!D29,'Slots'!D30,'Slots'!D31,'Slots'!D32,'Slots'!D33),0)</f>
        <v>0</v>
      </c>
      <c r="E255">
        <f>IF('Reels'!D60="heal",'Reels'!D61*'Slots'!D24,0)+IF('Reels'!D78="heal",'Reels'!D79*'Slots'!D24,0)+IF('Reels'!D103="heal",'Reels'!D104*'Slots'!D24,0)</f>
        <v>8</v>
      </c>
      <c r="F255">
        <f>IF('Reels'!D60="block",'Reels'!D61*'Slots'!D25,0)+IF('Reels'!D78="block",'Reels'!D79*'Slots'!D25,0)+IF('Reels'!D103="block",'Reels'!D104*'Slots'!D25,0)</f>
        <v>0</v>
      </c>
      <c r="G255" t="b">
        <f>AND('Reels'!D60&lt;&gt;"blank",'Reels'!D60&lt;&gt;"class",'Reels'!D60='Reels'!D103,'Reels'!D61='Reels'!D104,OR('Reels'!D78="class",AND('Reels'!D78='Reels'!D60,'Reels'!D79='Reels'!D61)))</f>
        <v>0</v>
      </c>
      <c r="H255">
        <f>IF(G255,C255,0)</f>
        <v>0</v>
      </c>
    </row>
    <row r="256" spans="1:8" x14ac:dyDescent="0.25">
      <c r="A256" t="s">
        <v>247</v>
      </c>
      <c r="B256" t="s">
        <v>3559</v>
      </c>
      <c r="C256" s="4">
        <f>('Reels'!D62/('Reels'!D62+'Reels'!D65+'Reels'!D68+'Reels'!D71+'Reels'!D74+'Reels'!D77))*('Reels'!D80/('Reels'!D80+'Reels'!D83+'Reels'!D86+'Reels'!D89+'Reels'!D92+'Reels'!D95+'Reels'!D98))*('Reels'!D108/('Reels'!D102+'Reels'!D105+'Reels'!D108+'Reels'!D111+'Reels'!D114+'Reels'!D117))</f>
        <v>0.00916487421677733</v>
      </c>
      <c r="D256">
        <f>IF(OR('Reels'!D60="attack",'Reels'!D60="magic"),CHOOSE('Reels'!D61+1,'Slots'!D29,'Slots'!D30,'Slots'!D31,'Slots'!D32,'Slots'!D33),0)+IF(OR('Reels'!D78="attack",'Reels'!D78="magic"),CHOOSE('Reels'!D79+1,'Slots'!D29,'Slots'!D30,'Slots'!D31,'Slots'!D32,'Slots'!D33),0)+IF(OR('Reels'!D106="attack",'Reels'!D106="magic"),CHOOSE('Reels'!D107+1,'Slots'!D29,'Slots'!D30,'Slots'!D31,'Slots'!D32,'Slots'!D33),0)</f>
        <v>0</v>
      </c>
      <c r="E256">
        <f>IF('Reels'!D60="heal",'Reels'!D61*'Slots'!D24,0)+IF('Reels'!D78="heal",'Reels'!D79*'Slots'!D24,0)+IF('Reels'!D106="heal",'Reels'!D107*'Slots'!D24,0)</f>
        <v>4</v>
      </c>
      <c r="F256">
        <f>IF('Reels'!D60="block",'Reels'!D61*'Slots'!D25,0)+IF('Reels'!D78="block",'Reels'!D79*'Slots'!D25,0)+IF('Reels'!D106="block",'Reels'!D107*'Slots'!D25,0)</f>
        <v>1</v>
      </c>
      <c r="G256" t="b">
        <f>AND('Reels'!D60&lt;&gt;"blank",'Reels'!D60&lt;&gt;"class",'Reels'!D60='Reels'!D106,'Reels'!D61='Reels'!D107,OR('Reels'!D78="class",AND('Reels'!D78='Reels'!D60,'Reels'!D79='Reels'!D61)))</f>
        <v>0</v>
      </c>
      <c r="H256">
        <f>IF(G256,C256,0)</f>
        <v>0</v>
      </c>
    </row>
    <row r="257" spans="1:8" x14ac:dyDescent="0.25">
      <c r="A257" t="s">
        <v>247</v>
      </c>
      <c r="B257" t="s">
        <v>3618</v>
      </c>
      <c r="C257" s="4">
        <f>('Reels'!D62/('Reels'!D62+'Reels'!D65+'Reels'!D68+'Reels'!D71+'Reels'!D74+'Reels'!D77))*('Reels'!D80/('Reels'!D80+'Reels'!D83+'Reels'!D86+'Reels'!D89+'Reels'!D92+'Reels'!D95+'Reels'!D98))*('Reels'!D111/('Reels'!D102+'Reels'!D105+'Reels'!D108+'Reels'!D111+'Reels'!D114+'Reels'!D117))</f>
        <v>0.004582437108388665</v>
      </c>
      <c r="D257">
        <f>IF(OR('Reels'!D60="attack",'Reels'!D60="magic"),CHOOSE('Reels'!D61+1,'Slots'!D29,'Slots'!D30,'Slots'!D31,'Slots'!D32,'Slots'!D33),0)+IF(OR('Reels'!D78="attack",'Reels'!D78="magic"),CHOOSE('Reels'!D79+1,'Slots'!D29,'Slots'!D30,'Slots'!D31,'Slots'!D32,'Slots'!D33),0)+IF(OR('Reels'!D109="attack",'Reels'!D109="magic"),CHOOSE('Reels'!D110+1,'Slots'!D29,'Slots'!D30,'Slots'!D31,'Slots'!D32,'Slots'!D33),0)</f>
        <v>0</v>
      </c>
      <c r="E257">
        <f>IF('Reels'!D60="heal",'Reels'!D61*'Slots'!D24,0)+IF('Reels'!D78="heal",'Reels'!D79*'Slots'!D24,0)+IF('Reels'!D109="heal",'Reels'!D110*'Slots'!D24,0)</f>
        <v>4</v>
      </c>
      <c r="F257">
        <f>IF('Reels'!D60="block",'Reels'!D61*'Slots'!D25,0)+IF('Reels'!D78="block",'Reels'!D79*'Slots'!D25,0)+IF('Reels'!D109="block",'Reels'!D110*'Slots'!D25,0)</f>
        <v>0</v>
      </c>
      <c r="G257" t="b">
        <f>AND('Reels'!D60&lt;&gt;"blank",'Reels'!D60&lt;&gt;"class",'Reels'!D60='Reels'!D109,'Reels'!D61='Reels'!D110,OR('Reels'!D78="class",AND('Reels'!D78='Reels'!D60,'Reels'!D79='Reels'!D61)))</f>
        <v>0</v>
      </c>
      <c r="H257">
        <f>IF(G257,C257,0)</f>
        <v>0</v>
      </c>
    </row>
    <row r="258" spans="1:8" x14ac:dyDescent="0.25">
      <c r="A258" t="s">
        <v>247</v>
      </c>
      <c r="B258" t="s">
        <v>3619</v>
      </c>
      <c r="C258" s="4">
        <f>('Reels'!D62/('Reels'!D62+'Reels'!D65+'Reels'!D68+'Reels'!D71+'Reels'!D74+'Reels'!D77))*('Reels'!D80/('Reels'!D80+'Reels'!D83+'Reels'!D86+'Reels'!D89+'Reels'!D92+'Reels'!D95+'Reels'!D98))*('Reels'!D114/('Reels'!D102+'Reels'!D105+'Reels'!D108+'Reels'!D111+'Reels'!D114+'Reels'!D117))</f>
        <v>0.004582437108388665</v>
      </c>
      <c r="D258">
        <f>IF(OR('Reels'!D60="attack",'Reels'!D60="magic"),CHOOSE('Reels'!D61+1,'Slots'!D29,'Slots'!D30,'Slots'!D31,'Slots'!D32,'Slots'!D33),0)+IF(OR('Reels'!D78="attack",'Reels'!D78="magic"),CHOOSE('Reels'!D79+1,'Slots'!D29,'Slots'!D30,'Slots'!D31,'Slots'!D32,'Slots'!D33),0)+IF(OR('Reels'!D112="attack",'Reels'!D112="magic"),CHOOSE('Reels'!D113+1,'Slots'!D29,'Slots'!D30,'Slots'!D31,'Slots'!D32,'Slots'!D33),0)</f>
        <v>2</v>
      </c>
      <c r="E258">
        <f>IF('Reels'!D60="heal",'Reels'!D61*'Slots'!D24,0)+IF('Reels'!D78="heal",'Reels'!D79*'Slots'!D24,0)+IF('Reels'!D112="heal",'Reels'!D113*'Slots'!D24,0)</f>
        <v>4</v>
      </c>
      <c r="F258">
        <f>IF('Reels'!D60="block",'Reels'!D61*'Slots'!D25,0)+IF('Reels'!D78="block",'Reels'!D79*'Slots'!D25,0)+IF('Reels'!D112="block",'Reels'!D113*'Slots'!D25,0)</f>
        <v>0</v>
      </c>
      <c r="G258" t="b">
        <f>AND('Reels'!D60&lt;&gt;"blank",'Reels'!D60&lt;&gt;"class",'Reels'!D60='Reels'!D112,'Reels'!D61='Reels'!D113,OR('Reels'!D78="class",AND('Reels'!D78='Reels'!D60,'Reels'!D79='Reels'!D61)))</f>
        <v>0</v>
      </c>
      <c r="H258">
        <f>IF(G258,C258,0)</f>
        <v>0</v>
      </c>
    </row>
    <row r="259" spans="1:8" x14ac:dyDescent="0.25">
      <c r="A259" t="s">
        <v>247</v>
      </c>
      <c r="B259" t="s">
        <v>3562</v>
      </c>
      <c r="C259" s="4">
        <f>('Reels'!D62/('Reels'!D62+'Reels'!D65+'Reels'!D68+'Reels'!D71+'Reels'!D74+'Reels'!D77))*('Reels'!D80/('Reels'!D80+'Reels'!D83+'Reels'!D86+'Reels'!D89+'Reels'!D92+'Reels'!D95+'Reels'!D98))*('Reels'!D117/('Reels'!D102+'Reels'!D105+'Reels'!D108+'Reels'!D111+'Reels'!D114+'Reels'!D117))</f>
        <v>0.01832974843355466</v>
      </c>
      <c r="D259">
        <f>IF(OR('Reels'!D60="attack",'Reels'!D60="magic"),CHOOSE('Reels'!D61+1,'Slots'!D29,'Slots'!D30,'Slots'!D31,'Slots'!D32,'Slots'!D33),0)+IF(OR('Reels'!D78="attack",'Reels'!D78="magic"),CHOOSE('Reels'!D79+1,'Slots'!D29,'Slots'!D30,'Slots'!D31,'Slots'!D32,'Slots'!D33),0)+IF(OR('Reels'!D115="attack",'Reels'!D115="magic"),CHOOSE('Reels'!D116+1,'Slots'!D29,'Slots'!D30,'Slots'!D31,'Slots'!D32,'Slots'!D33),0)</f>
        <v>0</v>
      </c>
      <c r="E259">
        <f>IF('Reels'!D60="heal",'Reels'!D61*'Slots'!D24,0)+IF('Reels'!D78="heal",'Reels'!D79*'Slots'!D24,0)+IF('Reels'!D115="heal",'Reels'!D116*'Slots'!D24,0)</f>
        <v>4</v>
      </c>
      <c r="F259">
        <f>IF('Reels'!D60="block",'Reels'!D61*'Slots'!D25,0)+IF('Reels'!D78="block",'Reels'!D79*'Slots'!D25,0)+IF('Reels'!D115="block",'Reels'!D116*'Slots'!D25,0)</f>
        <v>0</v>
      </c>
      <c r="G259" t="b">
        <f>AND('Reels'!D60&lt;&gt;"blank",'Reels'!D60&lt;&gt;"class",'Reels'!D60='Reels'!D115,'Reels'!D61='Reels'!D116,OR('Reels'!D78="class",AND('Reels'!D78='Reels'!D60,'Reels'!D79='Reels'!D61)))</f>
        <v>0</v>
      </c>
      <c r="H259">
        <f>IF(G259,C259,0)</f>
        <v>0</v>
      </c>
    </row>
    <row r="260" spans="1:8" x14ac:dyDescent="0.25">
      <c r="A260" t="s">
        <v>247</v>
      </c>
      <c r="B260" t="s">
        <v>3620</v>
      </c>
      <c r="C260" s="4">
        <f>('Reels'!D62/('Reels'!D62+'Reels'!D65+'Reels'!D68+'Reels'!D71+'Reels'!D74+'Reels'!D77))*('Reels'!D83/('Reels'!D80+'Reels'!D83+'Reels'!D86+'Reels'!D89+'Reels'!D92+'Reels'!D95+'Reels'!D98))*('Reels'!D102/('Reels'!D102+'Reels'!D105+'Reels'!D108+'Reels'!D111+'Reels'!D114+'Reels'!D117))</f>
        <v>0.054989245300663986</v>
      </c>
      <c r="D260">
        <f>IF(OR('Reels'!D60="attack",'Reels'!D60="magic"),CHOOSE('Reels'!D61+1,'Slots'!D29,'Slots'!D30,'Slots'!D31,'Slots'!D32,'Slots'!D33),0)+IF(OR('Reels'!D81="attack",'Reels'!D81="magic"),CHOOSE('Reels'!D82+1,'Slots'!D29,'Slots'!D30,'Slots'!D31,'Slots'!D32,'Slots'!D33),0)+IF(OR('Reels'!D100="attack",'Reels'!D100="magic"),CHOOSE('Reels'!D101+1,'Slots'!D29,'Slots'!D30,'Slots'!D31,'Slots'!D32,'Slots'!D33),0)</f>
        <v>0</v>
      </c>
      <c r="E260">
        <f>IF('Reels'!D60="heal",'Reels'!D61*'Slots'!D24,0)+IF('Reels'!D81="heal",'Reels'!D82*'Slots'!D24,0)+IF('Reels'!D100="heal",'Reels'!D101*'Slots'!D24,0)</f>
        <v>8</v>
      </c>
      <c r="F260">
        <f>IF('Reels'!D60="block",'Reels'!D61*'Slots'!D25,0)+IF('Reels'!D81="block",'Reels'!D82*'Slots'!D25,0)+IF('Reels'!D100="block",'Reels'!D101*'Slots'!D25,0)</f>
        <v>0</v>
      </c>
      <c r="G260" t="b">
        <f>AND('Reels'!D60&lt;&gt;"blank",'Reels'!D60&lt;&gt;"class",'Reels'!D60='Reels'!D100,'Reels'!D61='Reels'!D101,OR('Reels'!D81="class",AND('Reels'!D81='Reels'!D60,'Reels'!D82='Reels'!D61)))</f>
        <v>0</v>
      </c>
      <c r="H260">
        <f>IF(G260,C260,0)</f>
        <v>0</v>
      </c>
    </row>
    <row r="261" spans="1:8" x14ac:dyDescent="0.25">
      <c r="A261" t="s">
        <v>247</v>
      </c>
      <c r="B261" t="s">
        <v>3621</v>
      </c>
      <c r="C261" s="4">
        <f>('Reels'!D62/('Reels'!D62+'Reels'!D65+'Reels'!D68+'Reels'!D71+'Reels'!D74+'Reels'!D77))*('Reels'!D83/('Reels'!D80+'Reels'!D83+'Reels'!D86+'Reels'!D89+'Reels'!D92+'Reels'!D95+'Reels'!D98))*('Reels'!D105/('Reels'!D102+'Reels'!D105+'Reels'!D108+'Reels'!D111+'Reels'!D114+'Reels'!D117))</f>
        <v>0.04713363882914056</v>
      </c>
      <c r="D261">
        <f>IF(OR('Reels'!D60="attack",'Reels'!D60="magic"),CHOOSE('Reels'!D61+1,'Slots'!D29,'Slots'!D30,'Slots'!D31,'Slots'!D32,'Slots'!D33),0)+IF(OR('Reels'!D81="attack",'Reels'!D81="magic"),CHOOSE('Reels'!D82+1,'Slots'!D29,'Slots'!D30,'Slots'!D31,'Slots'!D32,'Slots'!D33),0)+IF(OR('Reels'!D103="attack",'Reels'!D103="magic"),CHOOSE('Reels'!D104+1,'Slots'!D29,'Slots'!D30,'Slots'!D31,'Slots'!D32,'Slots'!D33),0)</f>
        <v>0</v>
      </c>
      <c r="E261">
        <f>IF('Reels'!D60="heal",'Reels'!D61*'Slots'!D24,0)+IF('Reels'!D81="heal",'Reels'!D82*'Slots'!D24,0)+IF('Reels'!D103="heal",'Reels'!D104*'Slots'!D24,0)</f>
        <v>10</v>
      </c>
      <c r="F261">
        <f>IF('Reels'!D60="block",'Reels'!D61*'Slots'!D25,0)+IF('Reels'!D81="block",'Reels'!D82*'Slots'!D25,0)+IF('Reels'!D103="block",'Reels'!D104*'Slots'!D25,0)</f>
        <v>0</v>
      </c>
      <c r="G261" t="b">
        <f>AND('Reels'!D60&lt;&gt;"blank",'Reels'!D60&lt;&gt;"class",'Reels'!D60='Reels'!D103,'Reels'!D61='Reels'!D104,OR('Reels'!D81="class",AND('Reels'!D81='Reels'!D60,'Reels'!D82='Reels'!D61)))</f>
        <v>0</v>
      </c>
      <c r="H261">
        <f>IF(G261,C261,0)</f>
        <v>0</v>
      </c>
    </row>
    <row r="262" spans="1:8" x14ac:dyDescent="0.25">
      <c r="A262" t="s">
        <v>247</v>
      </c>
      <c r="B262" t="s">
        <v>3622</v>
      </c>
      <c r="C262" s="4">
        <f>('Reels'!D62/('Reels'!D62+'Reels'!D65+'Reels'!D68+'Reels'!D71+'Reels'!D74+'Reels'!D77))*('Reels'!D83/('Reels'!D80+'Reels'!D83+'Reels'!D86+'Reels'!D89+'Reels'!D92+'Reels'!D95+'Reels'!D98))*('Reels'!D108/('Reels'!D102+'Reels'!D105+'Reels'!D108+'Reels'!D111+'Reels'!D114+'Reels'!D117))</f>
        <v>0.007855606471523427</v>
      </c>
      <c r="D262">
        <f>IF(OR('Reels'!D60="attack",'Reels'!D60="magic"),CHOOSE('Reels'!D61+1,'Slots'!D29,'Slots'!D30,'Slots'!D31,'Slots'!D32,'Slots'!D33),0)+IF(OR('Reels'!D81="attack",'Reels'!D81="magic"),CHOOSE('Reels'!D82+1,'Slots'!D29,'Slots'!D30,'Slots'!D31,'Slots'!D32,'Slots'!D33),0)+IF(OR('Reels'!D106="attack",'Reels'!D106="magic"),CHOOSE('Reels'!D107+1,'Slots'!D29,'Slots'!D30,'Slots'!D31,'Slots'!D32,'Slots'!D33),0)</f>
        <v>0</v>
      </c>
      <c r="E262">
        <f>IF('Reels'!D60="heal",'Reels'!D61*'Slots'!D24,0)+IF('Reels'!D81="heal",'Reels'!D82*'Slots'!D24,0)+IF('Reels'!D106="heal",'Reels'!D107*'Slots'!D24,0)</f>
        <v>6</v>
      </c>
      <c r="F262">
        <f>IF('Reels'!D60="block",'Reels'!D61*'Slots'!D25,0)+IF('Reels'!D81="block",'Reels'!D82*'Slots'!D25,0)+IF('Reels'!D106="block",'Reels'!D107*'Slots'!D25,0)</f>
        <v>1</v>
      </c>
      <c r="G262" t="b">
        <f>AND('Reels'!D60&lt;&gt;"blank",'Reels'!D60&lt;&gt;"class",'Reels'!D60='Reels'!D106,'Reels'!D61='Reels'!D107,OR('Reels'!D81="class",AND('Reels'!D81='Reels'!D60,'Reels'!D82='Reels'!D61)))</f>
        <v>0</v>
      </c>
      <c r="H262">
        <f>IF(G262,C262,0)</f>
        <v>0</v>
      </c>
    </row>
    <row r="263" spans="1:8" x14ac:dyDescent="0.25">
      <c r="A263" t="s">
        <v>247</v>
      </c>
      <c r="B263" t="s">
        <v>3623</v>
      </c>
      <c r="C263" s="4">
        <f>('Reels'!D62/('Reels'!D62+'Reels'!D65+'Reels'!D68+'Reels'!D71+'Reels'!D74+'Reels'!D77))*('Reels'!D83/('Reels'!D80+'Reels'!D83+'Reels'!D86+'Reels'!D89+'Reels'!D92+'Reels'!D95+'Reels'!D98))*('Reels'!D111/('Reels'!D102+'Reels'!D105+'Reels'!D108+'Reels'!D111+'Reels'!D114+'Reels'!D117))</f>
        <v>0.003927803235761714</v>
      </c>
      <c r="D263">
        <f>IF(OR('Reels'!D60="attack",'Reels'!D60="magic"),CHOOSE('Reels'!D61+1,'Slots'!D29,'Slots'!D30,'Slots'!D31,'Slots'!D32,'Slots'!D33),0)+IF(OR('Reels'!D81="attack",'Reels'!D81="magic"),CHOOSE('Reels'!D82+1,'Slots'!D29,'Slots'!D30,'Slots'!D31,'Slots'!D32,'Slots'!D33),0)+IF(OR('Reels'!D109="attack",'Reels'!D109="magic"),CHOOSE('Reels'!D110+1,'Slots'!D29,'Slots'!D30,'Slots'!D31,'Slots'!D32,'Slots'!D33),0)</f>
        <v>0</v>
      </c>
      <c r="E263">
        <f>IF('Reels'!D60="heal",'Reels'!D61*'Slots'!D24,0)+IF('Reels'!D81="heal",'Reels'!D82*'Slots'!D24,0)+IF('Reels'!D109="heal",'Reels'!D110*'Slots'!D24,0)</f>
        <v>6</v>
      </c>
      <c r="F263">
        <f>IF('Reels'!D60="block",'Reels'!D61*'Slots'!D25,0)+IF('Reels'!D81="block",'Reels'!D82*'Slots'!D25,0)+IF('Reels'!D109="block",'Reels'!D110*'Slots'!D25,0)</f>
        <v>0</v>
      </c>
      <c r="G263" t="b">
        <f>AND('Reels'!D60&lt;&gt;"blank",'Reels'!D60&lt;&gt;"class",'Reels'!D60='Reels'!D109,'Reels'!D61='Reels'!D110,OR('Reels'!D81="class",AND('Reels'!D81='Reels'!D60,'Reels'!D82='Reels'!D61)))</f>
        <v>0</v>
      </c>
      <c r="H263">
        <f>IF(G263,C263,0)</f>
        <v>0</v>
      </c>
    </row>
    <row r="264" spans="1:8" x14ac:dyDescent="0.25">
      <c r="A264" t="s">
        <v>247</v>
      </c>
      <c r="B264" t="s">
        <v>3624</v>
      </c>
      <c r="C264" s="4">
        <f>('Reels'!D62/('Reels'!D62+'Reels'!D65+'Reels'!D68+'Reels'!D71+'Reels'!D74+'Reels'!D77))*('Reels'!D83/('Reels'!D80+'Reels'!D83+'Reels'!D86+'Reels'!D89+'Reels'!D92+'Reels'!D95+'Reels'!D98))*('Reels'!D114/('Reels'!D102+'Reels'!D105+'Reels'!D108+'Reels'!D111+'Reels'!D114+'Reels'!D117))</f>
        <v>0.003927803235761714</v>
      </c>
      <c r="D264">
        <f>IF(OR('Reels'!D60="attack",'Reels'!D60="magic"),CHOOSE('Reels'!D61+1,'Slots'!D29,'Slots'!D30,'Slots'!D31,'Slots'!D32,'Slots'!D33),0)+IF(OR('Reels'!D81="attack",'Reels'!D81="magic"),CHOOSE('Reels'!D82+1,'Slots'!D29,'Slots'!D30,'Slots'!D31,'Slots'!D32,'Slots'!D33),0)+IF(OR('Reels'!D112="attack",'Reels'!D112="magic"),CHOOSE('Reels'!D113+1,'Slots'!D29,'Slots'!D30,'Slots'!D31,'Slots'!D32,'Slots'!D33),0)</f>
        <v>2</v>
      </c>
      <c r="E264">
        <f>IF('Reels'!D60="heal",'Reels'!D61*'Slots'!D24,0)+IF('Reels'!D81="heal",'Reels'!D82*'Slots'!D24,0)+IF('Reels'!D112="heal",'Reels'!D113*'Slots'!D24,0)</f>
        <v>6</v>
      </c>
      <c r="F264">
        <f>IF('Reels'!D60="block",'Reels'!D61*'Slots'!D25,0)+IF('Reels'!D81="block",'Reels'!D82*'Slots'!D25,0)+IF('Reels'!D112="block",'Reels'!D113*'Slots'!D25,0)</f>
        <v>0</v>
      </c>
      <c r="G264" t="b">
        <f>AND('Reels'!D60&lt;&gt;"blank",'Reels'!D60&lt;&gt;"class",'Reels'!D60='Reels'!D112,'Reels'!D61='Reels'!D113,OR('Reels'!D81="class",AND('Reels'!D81='Reels'!D60,'Reels'!D82='Reels'!D61)))</f>
        <v>0</v>
      </c>
      <c r="H264">
        <f>IF(G264,C264,0)</f>
        <v>0</v>
      </c>
    </row>
    <row r="265" spans="1:8" x14ac:dyDescent="0.25">
      <c r="A265" t="s">
        <v>247</v>
      </c>
      <c r="B265" t="s">
        <v>3625</v>
      </c>
      <c r="C265" s="4">
        <f>('Reels'!D62/('Reels'!D62+'Reels'!D65+'Reels'!D68+'Reels'!D71+'Reels'!D74+'Reels'!D77))*('Reels'!D83/('Reels'!D80+'Reels'!D83+'Reels'!D86+'Reels'!D89+'Reels'!D92+'Reels'!D95+'Reels'!D98))*('Reels'!D117/('Reels'!D102+'Reels'!D105+'Reels'!D108+'Reels'!D111+'Reels'!D114+'Reels'!D117))</f>
        <v>0.015711212943046855</v>
      </c>
      <c r="D265">
        <f>IF(OR('Reels'!D60="attack",'Reels'!D60="magic"),CHOOSE('Reels'!D61+1,'Slots'!D29,'Slots'!D30,'Slots'!D31,'Slots'!D32,'Slots'!D33),0)+IF(OR('Reels'!D81="attack",'Reels'!D81="magic"),CHOOSE('Reels'!D82+1,'Slots'!D29,'Slots'!D30,'Slots'!D31,'Slots'!D32,'Slots'!D33),0)+IF(OR('Reels'!D115="attack",'Reels'!D115="magic"),CHOOSE('Reels'!D116+1,'Slots'!D29,'Slots'!D30,'Slots'!D31,'Slots'!D32,'Slots'!D33),0)</f>
        <v>0</v>
      </c>
      <c r="E265">
        <f>IF('Reels'!D60="heal",'Reels'!D61*'Slots'!D24,0)+IF('Reels'!D81="heal",'Reels'!D82*'Slots'!D24,0)+IF('Reels'!D115="heal",'Reels'!D116*'Slots'!D24,0)</f>
        <v>6</v>
      </c>
      <c r="F265">
        <f>IF('Reels'!D60="block",'Reels'!D61*'Slots'!D25,0)+IF('Reels'!D81="block",'Reels'!D82*'Slots'!D25,0)+IF('Reels'!D115="block",'Reels'!D116*'Slots'!D25,0)</f>
        <v>0</v>
      </c>
      <c r="G265" t="b">
        <f>AND('Reels'!D60&lt;&gt;"blank",'Reels'!D60&lt;&gt;"class",'Reels'!D60='Reels'!D115,'Reels'!D61='Reels'!D116,OR('Reels'!D81="class",AND('Reels'!D81='Reels'!D60,'Reels'!D82='Reels'!D61)))</f>
        <v>0</v>
      </c>
      <c r="H265">
        <f>IF(G265,C265,0)</f>
        <v>0</v>
      </c>
    </row>
    <row r="266" spans="1:8" x14ac:dyDescent="0.25">
      <c r="A266" t="s">
        <v>247</v>
      </c>
      <c r="B266" t="s">
        <v>3549</v>
      </c>
      <c r="C266" s="4">
        <f>('Reels'!D62/('Reels'!D62+'Reels'!D65+'Reels'!D68+'Reels'!D71+'Reels'!D74+'Reels'!D77))*('Reels'!D86/('Reels'!D80+'Reels'!D83+'Reels'!D86+'Reels'!D89+'Reels'!D92+'Reels'!D95+'Reels'!D98))*('Reels'!D102/('Reels'!D102+'Reels'!D105+'Reels'!D108+'Reels'!D111+'Reels'!D114+'Reels'!D117))</f>
        <v>0.00916487421677733</v>
      </c>
      <c r="D266">
        <f>IF(OR('Reels'!D60="attack",'Reels'!D60="magic"),CHOOSE('Reels'!D61+1,'Slots'!D29,'Slots'!D30,'Slots'!D31,'Slots'!D32,'Slots'!D33),0)+IF(OR('Reels'!D84="attack",'Reels'!D84="magic"),CHOOSE('Reels'!D85+1,'Slots'!D29,'Slots'!D30,'Slots'!D31,'Slots'!D32,'Slots'!D33),0)+IF(OR('Reels'!D100="attack",'Reels'!D100="magic"),CHOOSE('Reels'!D101+1,'Slots'!D29,'Slots'!D30,'Slots'!D31,'Slots'!D32,'Slots'!D33),0)</f>
        <v>0</v>
      </c>
      <c r="E266">
        <f>IF('Reels'!D60="heal",'Reels'!D61*'Slots'!D24,0)+IF('Reels'!D84="heal",'Reels'!D85*'Slots'!D24,0)+IF('Reels'!D100="heal",'Reels'!D101*'Slots'!D24,0)</f>
        <v>4</v>
      </c>
      <c r="F266">
        <f>IF('Reels'!D60="block",'Reels'!D61*'Slots'!D25,0)+IF('Reels'!D84="block",'Reels'!D85*'Slots'!D25,0)+IF('Reels'!D100="block",'Reels'!D101*'Slots'!D25,0)</f>
        <v>1</v>
      </c>
      <c r="G266" t="b">
        <f>AND('Reels'!D60&lt;&gt;"blank",'Reels'!D60&lt;&gt;"class",'Reels'!D60='Reels'!D100,'Reels'!D61='Reels'!D101,OR('Reels'!D84="class",AND('Reels'!D84='Reels'!D60,'Reels'!D85='Reels'!D61)))</f>
        <v>0</v>
      </c>
      <c r="H266">
        <f>IF(G266,C266,0)</f>
        <v>0</v>
      </c>
    </row>
    <row r="267" spans="1:8" x14ac:dyDescent="0.25">
      <c r="A267" t="s">
        <v>247</v>
      </c>
      <c r="B267" t="s">
        <v>3626</v>
      </c>
      <c r="C267" s="4">
        <f>('Reels'!D62/('Reels'!D62+'Reels'!D65+'Reels'!D68+'Reels'!D71+'Reels'!D74+'Reels'!D77))*('Reels'!D86/('Reels'!D80+'Reels'!D83+'Reels'!D86+'Reels'!D89+'Reels'!D92+'Reels'!D95+'Reels'!D98))*('Reels'!D105/('Reels'!D102+'Reels'!D105+'Reels'!D108+'Reels'!D111+'Reels'!D114+'Reels'!D117))</f>
        <v>0.007855606471523427</v>
      </c>
      <c r="D267">
        <f>IF(OR('Reels'!D60="attack",'Reels'!D60="magic"),CHOOSE('Reels'!D61+1,'Slots'!D29,'Slots'!D30,'Slots'!D31,'Slots'!D32,'Slots'!D33),0)+IF(OR('Reels'!D84="attack",'Reels'!D84="magic"),CHOOSE('Reels'!D85+1,'Slots'!D29,'Slots'!D30,'Slots'!D31,'Slots'!D32,'Slots'!D33),0)+IF(OR('Reels'!D103="attack",'Reels'!D103="magic"),CHOOSE('Reels'!D104+1,'Slots'!D29,'Slots'!D30,'Slots'!D31,'Slots'!D32,'Slots'!D33),0)</f>
        <v>0</v>
      </c>
      <c r="E267">
        <f>IF('Reels'!D60="heal",'Reels'!D61*'Slots'!D24,0)+IF('Reels'!D84="heal",'Reels'!D85*'Slots'!D24,0)+IF('Reels'!D103="heal",'Reels'!D104*'Slots'!D24,0)</f>
        <v>6</v>
      </c>
      <c r="F267">
        <f>IF('Reels'!D60="block",'Reels'!D61*'Slots'!D25,0)+IF('Reels'!D84="block",'Reels'!D85*'Slots'!D25,0)+IF('Reels'!D103="block",'Reels'!D104*'Slots'!D25,0)</f>
        <v>1</v>
      </c>
      <c r="G267" t="b">
        <f>AND('Reels'!D60&lt;&gt;"blank",'Reels'!D60&lt;&gt;"class",'Reels'!D60='Reels'!D103,'Reels'!D61='Reels'!D104,OR('Reels'!D84="class",AND('Reels'!D84='Reels'!D60,'Reels'!D85='Reels'!D61)))</f>
        <v>0</v>
      </c>
      <c r="H267">
        <f>IF(G267,C267,0)</f>
        <v>0</v>
      </c>
    </row>
    <row r="268" spans="1:8" x14ac:dyDescent="0.25">
      <c r="A268" t="s">
        <v>247</v>
      </c>
      <c r="B268" t="s">
        <v>3547</v>
      </c>
      <c r="C268" s="4">
        <f>('Reels'!D62/('Reels'!D62+'Reels'!D65+'Reels'!D68+'Reels'!D71+'Reels'!D74+'Reels'!D77))*('Reels'!D86/('Reels'!D80+'Reels'!D83+'Reels'!D86+'Reels'!D89+'Reels'!D92+'Reels'!D95+'Reels'!D98))*('Reels'!D108/('Reels'!D102+'Reels'!D105+'Reels'!D108+'Reels'!D111+'Reels'!D114+'Reels'!D117))</f>
        <v>0.0013092677452539044</v>
      </c>
      <c r="D268">
        <f>IF(OR('Reels'!D60="attack",'Reels'!D60="magic"),CHOOSE('Reels'!D61+1,'Slots'!D29,'Slots'!D30,'Slots'!D31,'Slots'!D32,'Slots'!D33),0)+IF(OR('Reels'!D84="attack",'Reels'!D84="magic"),CHOOSE('Reels'!D85+1,'Slots'!D29,'Slots'!D30,'Slots'!D31,'Slots'!D32,'Slots'!D33),0)+IF(OR('Reels'!D106="attack",'Reels'!D106="magic"),CHOOSE('Reels'!D107+1,'Slots'!D29,'Slots'!D30,'Slots'!D31,'Slots'!D32,'Slots'!D33),0)</f>
        <v>0</v>
      </c>
      <c r="E268">
        <f>IF('Reels'!D60="heal",'Reels'!D61*'Slots'!D24,0)+IF('Reels'!D84="heal",'Reels'!D85*'Slots'!D24,0)+IF('Reels'!D106="heal",'Reels'!D107*'Slots'!D24,0)</f>
        <v>2</v>
      </c>
      <c r="F268">
        <f>IF('Reels'!D60="block",'Reels'!D61*'Slots'!D25,0)+IF('Reels'!D84="block",'Reels'!D85*'Slots'!D25,0)+IF('Reels'!D106="block",'Reels'!D107*'Slots'!D25,0)</f>
        <v>2</v>
      </c>
      <c r="G268" t="b">
        <f>AND('Reels'!D60&lt;&gt;"blank",'Reels'!D60&lt;&gt;"class",'Reels'!D60='Reels'!D106,'Reels'!D61='Reels'!D107,OR('Reels'!D84="class",AND('Reels'!D84='Reels'!D60,'Reels'!D85='Reels'!D61)))</f>
        <v>0</v>
      </c>
      <c r="H268">
        <f>IF(G268,C268,0)</f>
        <v>0</v>
      </c>
    </row>
    <row r="269" spans="1:8" x14ac:dyDescent="0.25">
      <c r="A269" t="s">
        <v>247</v>
      </c>
      <c r="B269" t="s">
        <v>3627</v>
      </c>
      <c r="C269" s="4">
        <f>('Reels'!D62/('Reels'!D62+'Reels'!D65+'Reels'!D68+'Reels'!D71+'Reels'!D74+'Reels'!D77))*('Reels'!D86/('Reels'!D80+'Reels'!D83+'Reels'!D86+'Reels'!D89+'Reels'!D92+'Reels'!D95+'Reels'!D98))*('Reels'!D111/('Reels'!D102+'Reels'!D105+'Reels'!D108+'Reels'!D111+'Reels'!D114+'Reels'!D117))</f>
        <v>0.0006546338726269522</v>
      </c>
      <c r="D269">
        <f>IF(OR('Reels'!D60="attack",'Reels'!D60="magic"),CHOOSE('Reels'!D61+1,'Slots'!D29,'Slots'!D30,'Slots'!D31,'Slots'!D32,'Slots'!D33),0)+IF(OR('Reels'!D84="attack",'Reels'!D84="magic"),CHOOSE('Reels'!D85+1,'Slots'!D29,'Slots'!D30,'Slots'!D31,'Slots'!D32,'Slots'!D33),0)+IF(OR('Reels'!D109="attack",'Reels'!D109="magic"),CHOOSE('Reels'!D110+1,'Slots'!D29,'Slots'!D30,'Slots'!D31,'Slots'!D32,'Slots'!D33),0)</f>
        <v>0</v>
      </c>
      <c r="E269">
        <f>IF('Reels'!D60="heal",'Reels'!D61*'Slots'!D24,0)+IF('Reels'!D84="heal",'Reels'!D85*'Slots'!D24,0)+IF('Reels'!D109="heal",'Reels'!D110*'Slots'!D24,0)</f>
        <v>2</v>
      </c>
      <c r="F269">
        <f>IF('Reels'!D60="block",'Reels'!D61*'Slots'!D25,0)+IF('Reels'!D84="block",'Reels'!D85*'Slots'!D25,0)+IF('Reels'!D109="block",'Reels'!D110*'Slots'!D25,0)</f>
        <v>1</v>
      </c>
      <c r="G269" t="b">
        <f>AND('Reels'!D60&lt;&gt;"blank",'Reels'!D60&lt;&gt;"class",'Reels'!D60='Reels'!D109,'Reels'!D61='Reels'!D110,OR('Reels'!D84="class",AND('Reels'!D84='Reels'!D60,'Reels'!D85='Reels'!D61)))</f>
        <v>0</v>
      </c>
      <c r="H269">
        <f>IF(G269,C269,0)</f>
        <v>0</v>
      </c>
    </row>
    <row r="270" spans="1:8" x14ac:dyDescent="0.25">
      <c r="A270" t="s">
        <v>247</v>
      </c>
      <c r="B270" t="s">
        <v>3628</v>
      </c>
      <c r="C270" s="4">
        <f>('Reels'!D62/('Reels'!D62+'Reels'!D65+'Reels'!D68+'Reels'!D71+'Reels'!D74+'Reels'!D77))*('Reels'!D86/('Reels'!D80+'Reels'!D83+'Reels'!D86+'Reels'!D89+'Reels'!D92+'Reels'!D95+'Reels'!D98))*('Reels'!D114/('Reels'!D102+'Reels'!D105+'Reels'!D108+'Reels'!D111+'Reels'!D114+'Reels'!D117))</f>
        <v>0.0006546338726269522</v>
      </c>
      <c r="D270">
        <f>IF(OR('Reels'!D60="attack",'Reels'!D60="magic"),CHOOSE('Reels'!D61+1,'Slots'!D29,'Slots'!D30,'Slots'!D31,'Slots'!D32,'Slots'!D33),0)+IF(OR('Reels'!D84="attack",'Reels'!D84="magic"),CHOOSE('Reels'!D85+1,'Slots'!D29,'Slots'!D30,'Slots'!D31,'Slots'!D32,'Slots'!D33),0)+IF(OR('Reels'!D112="attack",'Reels'!D112="magic"),CHOOSE('Reels'!D113+1,'Slots'!D29,'Slots'!D30,'Slots'!D31,'Slots'!D32,'Slots'!D33),0)</f>
        <v>2</v>
      </c>
      <c r="E270">
        <f>IF('Reels'!D60="heal",'Reels'!D61*'Slots'!D24,0)+IF('Reels'!D84="heal",'Reels'!D85*'Slots'!D24,0)+IF('Reels'!D112="heal",'Reels'!D113*'Slots'!D24,0)</f>
        <v>2</v>
      </c>
      <c r="F270">
        <f>IF('Reels'!D60="block",'Reels'!D61*'Slots'!D25,0)+IF('Reels'!D84="block",'Reels'!D85*'Slots'!D25,0)+IF('Reels'!D112="block",'Reels'!D113*'Slots'!D25,0)</f>
        <v>1</v>
      </c>
      <c r="G270" t="b">
        <f>AND('Reels'!D60&lt;&gt;"blank",'Reels'!D60&lt;&gt;"class",'Reels'!D60='Reels'!D112,'Reels'!D61='Reels'!D113,OR('Reels'!D84="class",AND('Reels'!D84='Reels'!D60,'Reels'!D85='Reels'!D61)))</f>
        <v>0</v>
      </c>
      <c r="H270">
        <f>IF(G270,C270,0)</f>
        <v>0</v>
      </c>
    </row>
    <row r="271" spans="1:8" x14ac:dyDescent="0.25">
      <c r="A271" t="s">
        <v>247</v>
      </c>
      <c r="B271" t="s">
        <v>3550</v>
      </c>
      <c r="C271" s="4">
        <f>('Reels'!D62/('Reels'!D62+'Reels'!D65+'Reels'!D68+'Reels'!D71+'Reels'!D74+'Reels'!D77))*('Reels'!D86/('Reels'!D80+'Reels'!D83+'Reels'!D86+'Reels'!D89+'Reels'!D92+'Reels'!D95+'Reels'!D98))*('Reels'!D117/('Reels'!D102+'Reels'!D105+'Reels'!D108+'Reels'!D111+'Reels'!D114+'Reels'!D117))</f>
        <v>0.002618535490507809</v>
      </c>
      <c r="D271">
        <f>IF(OR('Reels'!D60="attack",'Reels'!D60="magic"),CHOOSE('Reels'!D61+1,'Slots'!D29,'Slots'!D30,'Slots'!D31,'Slots'!D32,'Slots'!D33),0)+IF(OR('Reels'!D84="attack",'Reels'!D84="magic"),CHOOSE('Reels'!D85+1,'Slots'!D29,'Slots'!D30,'Slots'!D31,'Slots'!D32,'Slots'!D33),0)+IF(OR('Reels'!D115="attack",'Reels'!D115="magic"),CHOOSE('Reels'!D116+1,'Slots'!D29,'Slots'!D30,'Slots'!D31,'Slots'!D32,'Slots'!D33),0)</f>
        <v>0</v>
      </c>
      <c r="E271">
        <f>IF('Reels'!D60="heal",'Reels'!D61*'Slots'!D24,0)+IF('Reels'!D84="heal",'Reels'!D85*'Slots'!D24,0)+IF('Reels'!D115="heal",'Reels'!D116*'Slots'!D24,0)</f>
        <v>2</v>
      </c>
      <c r="F271">
        <f>IF('Reels'!D60="block",'Reels'!D61*'Slots'!D25,0)+IF('Reels'!D84="block",'Reels'!D85*'Slots'!D25,0)+IF('Reels'!D115="block",'Reels'!D116*'Slots'!D25,0)</f>
        <v>1</v>
      </c>
      <c r="G271" t="b">
        <f>AND('Reels'!D60&lt;&gt;"blank",'Reels'!D60&lt;&gt;"class",'Reels'!D60='Reels'!D115,'Reels'!D61='Reels'!D116,OR('Reels'!D84="class",AND('Reels'!D84='Reels'!D60,'Reels'!D85='Reels'!D61)))</f>
        <v>0</v>
      </c>
      <c r="H271">
        <f>IF(G271,C271,0)</f>
        <v>0</v>
      </c>
    </row>
    <row r="272" spans="1:8" x14ac:dyDescent="0.25">
      <c r="A272" t="s">
        <v>247</v>
      </c>
      <c r="B272" t="s">
        <v>3629</v>
      </c>
      <c r="C272" s="4">
        <f>('Reels'!D62/('Reels'!D62+'Reels'!D65+'Reels'!D68+'Reels'!D71+'Reels'!D74+'Reels'!D77))*('Reels'!D89/('Reels'!D80+'Reels'!D83+'Reels'!D86+'Reels'!D89+'Reels'!D92+'Reels'!D95+'Reels'!D98))*('Reels'!D102/('Reels'!D102+'Reels'!D105+'Reels'!D108+'Reels'!D111+'Reels'!D114+'Reels'!D117))</f>
        <v>0.004582437108388665</v>
      </c>
      <c r="D272">
        <f>IF(OR('Reels'!D60="attack",'Reels'!D60="magic"),CHOOSE('Reels'!D61+1,'Slots'!D29,'Slots'!D30,'Slots'!D31,'Slots'!D32,'Slots'!D33),0)+IF(OR('Reels'!D87="attack",'Reels'!D87="magic"),CHOOSE('Reels'!D88+1,'Slots'!D29,'Slots'!D30,'Slots'!D31,'Slots'!D32,'Slots'!D33),0)+IF(OR('Reels'!D100="attack",'Reels'!D100="magic"),CHOOSE('Reels'!D101+1,'Slots'!D29,'Slots'!D30,'Slots'!D31,'Slots'!D32,'Slots'!D33),0)</f>
        <v>0</v>
      </c>
      <c r="E272">
        <f>IF('Reels'!D60="heal",'Reels'!D61*'Slots'!D24,0)+IF('Reels'!D87="heal",'Reels'!D88*'Slots'!D24,0)+IF('Reels'!D100="heal",'Reels'!D101*'Slots'!D24,0)</f>
        <v>4</v>
      </c>
      <c r="F272">
        <f>IF('Reels'!D60="block",'Reels'!D61*'Slots'!D25,0)+IF('Reels'!D87="block",'Reels'!D88*'Slots'!D25,0)+IF('Reels'!D100="block",'Reels'!D101*'Slots'!D25,0)</f>
        <v>0</v>
      </c>
      <c r="G272" t="b">
        <f>AND('Reels'!D60&lt;&gt;"blank",'Reels'!D60&lt;&gt;"class",'Reels'!D60='Reels'!D100,'Reels'!D61='Reels'!D101,OR('Reels'!D87="class",AND('Reels'!D87='Reels'!D60,'Reels'!D88='Reels'!D61)))</f>
        <v>0</v>
      </c>
      <c r="H272">
        <f>IF(G272,C272,0)</f>
        <v>0</v>
      </c>
    </row>
    <row r="273" spans="1:8" x14ac:dyDescent="0.25">
      <c r="A273" t="s">
        <v>247</v>
      </c>
      <c r="B273" t="s">
        <v>3630</v>
      </c>
      <c r="C273" s="4">
        <f>('Reels'!D62/('Reels'!D62+'Reels'!D65+'Reels'!D68+'Reels'!D71+'Reels'!D74+'Reels'!D77))*('Reels'!D89/('Reels'!D80+'Reels'!D83+'Reels'!D86+'Reels'!D89+'Reels'!D92+'Reels'!D95+'Reels'!D98))*('Reels'!D105/('Reels'!D102+'Reels'!D105+'Reels'!D108+'Reels'!D111+'Reels'!D114+'Reels'!D117))</f>
        <v>0.003927803235761714</v>
      </c>
      <c r="D273">
        <f>IF(OR('Reels'!D60="attack",'Reels'!D60="magic"),CHOOSE('Reels'!D61+1,'Slots'!D29,'Slots'!D30,'Slots'!D31,'Slots'!D32,'Slots'!D33),0)+IF(OR('Reels'!D87="attack",'Reels'!D87="magic"),CHOOSE('Reels'!D88+1,'Slots'!D29,'Slots'!D30,'Slots'!D31,'Slots'!D32,'Slots'!D33),0)+IF(OR('Reels'!D103="attack",'Reels'!D103="magic"),CHOOSE('Reels'!D104+1,'Slots'!D29,'Slots'!D30,'Slots'!D31,'Slots'!D32,'Slots'!D33),0)</f>
        <v>0</v>
      </c>
      <c r="E273">
        <f>IF('Reels'!D60="heal",'Reels'!D61*'Slots'!D24,0)+IF('Reels'!D87="heal",'Reels'!D88*'Slots'!D24,0)+IF('Reels'!D103="heal",'Reels'!D104*'Slots'!D24,0)</f>
        <v>6</v>
      </c>
      <c r="F273">
        <f>IF('Reels'!D60="block",'Reels'!D61*'Slots'!D25,0)+IF('Reels'!D87="block",'Reels'!D88*'Slots'!D25,0)+IF('Reels'!D103="block",'Reels'!D104*'Slots'!D25,0)</f>
        <v>0</v>
      </c>
      <c r="G273" t="b">
        <f>AND('Reels'!D60&lt;&gt;"blank",'Reels'!D60&lt;&gt;"class",'Reels'!D60='Reels'!D103,'Reels'!D61='Reels'!D104,OR('Reels'!D87="class",AND('Reels'!D87='Reels'!D60,'Reels'!D88='Reels'!D61)))</f>
        <v>0</v>
      </c>
      <c r="H273">
        <f>IF(G273,C273,0)</f>
        <v>0</v>
      </c>
    </row>
    <row r="274" spans="1:8" x14ac:dyDescent="0.25">
      <c r="A274" t="s">
        <v>247</v>
      </c>
      <c r="B274" t="s">
        <v>3631</v>
      </c>
      <c r="C274" s="4">
        <f>('Reels'!D62/('Reels'!D62+'Reels'!D65+'Reels'!D68+'Reels'!D71+'Reels'!D74+'Reels'!D77))*('Reels'!D89/('Reels'!D80+'Reels'!D83+'Reels'!D86+'Reels'!D89+'Reels'!D92+'Reels'!D95+'Reels'!D98))*('Reels'!D108/('Reels'!D102+'Reels'!D105+'Reels'!D108+'Reels'!D111+'Reels'!D114+'Reels'!D117))</f>
        <v>0.0006546338726269522</v>
      </c>
      <c r="D274">
        <f>IF(OR('Reels'!D60="attack",'Reels'!D60="magic"),CHOOSE('Reels'!D61+1,'Slots'!D29,'Slots'!D30,'Slots'!D31,'Slots'!D32,'Slots'!D33),0)+IF(OR('Reels'!D87="attack",'Reels'!D87="magic"),CHOOSE('Reels'!D88+1,'Slots'!D29,'Slots'!D30,'Slots'!D31,'Slots'!D32,'Slots'!D33),0)+IF(OR('Reels'!D106="attack",'Reels'!D106="magic"),CHOOSE('Reels'!D107+1,'Slots'!D29,'Slots'!D30,'Slots'!D31,'Slots'!D32,'Slots'!D33),0)</f>
        <v>0</v>
      </c>
      <c r="E274">
        <f>IF('Reels'!D60="heal",'Reels'!D61*'Slots'!D24,0)+IF('Reels'!D87="heal",'Reels'!D88*'Slots'!D24,0)+IF('Reels'!D106="heal",'Reels'!D107*'Slots'!D24,0)</f>
        <v>2</v>
      </c>
      <c r="F274">
        <f>IF('Reels'!D60="block",'Reels'!D61*'Slots'!D25,0)+IF('Reels'!D87="block",'Reels'!D88*'Slots'!D25,0)+IF('Reels'!D106="block",'Reels'!D107*'Slots'!D25,0)</f>
        <v>1</v>
      </c>
      <c r="G274" t="b">
        <f>AND('Reels'!D60&lt;&gt;"blank",'Reels'!D60&lt;&gt;"class",'Reels'!D60='Reels'!D106,'Reels'!D61='Reels'!D107,OR('Reels'!D87="class",AND('Reels'!D87='Reels'!D60,'Reels'!D88='Reels'!D61)))</f>
        <v>0</v>
      </c>
      <c r="H274">
        <f>IF(G274,C274,0)</f>
        <v>0</v>
      </c>
    </row>
    <row r="275" spans="1:8" x14ac:dyDescent="0.25">
      <c r="A275" t="s">
        <v>247</v>
      </c>
      <c r="B275" t="s">
        <v>3632</v>
      </c>
      <c r="C275" s="4">
        <f>('Reels'!D62/('Reels'!D62+'Reels'!D65+'Reels'!D68+'Reels'!D71+'Reels'!D74+'Reels'!D77))*('Reels'!D89/('Reels'!D80+'Reels'!D83+'Reels'!D86+'Reels'!D89+'Reels'!D92+'Reels'!D95+'Reels'!D98))*('Reels'!D111/('Reels'!D102+'Reels'!D105+'Reels'!D108+'Reels'!D111+'Reels'!D114+'Reels'!D117))</f>
        <v>0.0003273169363134761</v>
      </c>
      <c r="D275">
        <f>IF(OR('Reels'!D60="attack",'Reels'!D60="magic"),CHOOSE('Reels'!D61+1,'Slots'!D29,'Slots'!D30,'Slots'!D31,'Slots'!D32,'Slots'!D33),0)+IF(OR('Reels'!D87="attack",'Reels'!D87="magic"),CHOOSE('Reels'!D88+1,'Slots'!D29,'Slots'!D30,'Slots'!D31,'Slots'!D32,'Slots'!D33),0)+IF(OR('Reels'!D109="attack",'Reels'!D109="magic"),CHOOSE('Reels'!D110+1,'Slots'!D29,'Slots'!D30,'Slots'!D31,'Slots'!D32,'Slots'!D33),0)</f>
        <v>0</v>
      </c>
      <c r="E275">
        <f>IF('Reels'!D60="heal",'Reels'!D61*'Slots'!D24,0)+IF('Reels'!D87="heal",'Reels'!D88*'Slots'!D24,0)+IF('Reels'!D109="heal",'Reels'!D110*'Slots'!D24,0)</f>
        <v>2</v>
      </c>
      <c r="F275">
        <f>IF('Reels'!D60="block",'Reels'!D61*'Slots'!D25,0)+IF('Reels'!D87="block",'Reels'!D88*'Slots'!D25,0)+IF('Reels'!D109="block",'Reels'!D110*'Slots'!D25,0)</f>
        <v>0</v>
      </c>
      <c r="G275" t="b">
        <f>AND('Reels'!D60&lt;&gt;"blank",'Reels'!D60&lt;&gt;"class",'Reels'!D60='Reels'!D109,'Reels'!D61='Reels'!D110,OR('Reels'!D87="class",AND('Reels'!D87='Reels'!D60,'Reels'!D88='Reels'!D61)))</f>
        <v>0</v>
      </c>
      <c r="H275">
        <f>IF(G275,C275,0)</f>
        <v>0</v>
      </c>
    </row>
    <row r="276" spans="1:8" x14ac:dyDescent="0.25">
      <c r="A276" t="s">
        <v>247</v>
      </c>
      <c r="B276" t="s">
        <v>3633</v>
      </c>
      <c r="C276" s="4">
        <f>('Reels'!D62/('Reels'!D62+'Reels'!D65+'Reels'!D68+'Reels'!D71+'Reels'!D74+'Reels'!D77))*('Reels'!D89/('Reels'!D80+'Reels'!D83+'Reels'!D86+'Reels'!D89+'Reels'!D92+'Reels'!D95+'Reels'!D98))*('Reels'!D114/('Reels'!D102+'Reels'!D105+'Reels'!D108+'Reels'!D111+'Reels'!D114+'Reels'!D117))</f>
        <v>0.0003273169363134761</v>
      </c>
      <c r="D276">
        <f>IF(OR('Reels'!D60="attack",'Reels'!D60="magic"),CHOOSE('Reels'!D61+1,'Slots'!D29,'Slots'!D30,'Slots'!D31,'Slots'!D32,'Slots'!D33),0)+IF(OR('Reels'!D87="attack",'Reels'!D87="magic"),CHOOSE('Reels'!D88+1,'Slots'!D29,'Slots'!D30,'Slots'!D31,'Slots'!D32,'Slots'!D33),0)+IF(OR('Reels'!D112="attack",'Reels'!D112="magic"),CHOOSE('Reels'!D113+1,'Slots'!D29,'Slots'!D30,'Slots'!D31,'Slots'!D32,'Slots'!D33),0)</f>
        <v>2</v>
      </c>
      <c r="E276">
        <f>IF('Reels'!D60="heal",'Reels'!D61*'Slots'!D24,0)+IF('Reels'!D87="heal",'Reels'!D88*'Slots'!D24,0)+IF('Reels'!D112="heal",'Reels'!D113*'Slots'!D24,0)</f>
        <v>2</v>
      </c>
      <c r="F276">
        <f>IF('Reels'!D60="block",'Reels'!D61*'Slots'!D25,0)+IF('Reels'!D87="block",'Reels'!D88*'Slots'!D25,0)+IF('Reels'!D112="block",'Reels'!D113*'Slots'!D25,0)</f>
        <v>0</v>
      </c>
      <c r="G276" t="b">
        <f>AND('Reels'!D60&lt;&gt;"blank",'Reels'!D60&lt;&gt;"class",'Reels'!D60='Reels'!D112,'Reels'!D61='Reels'!D113,OR('Reels'!D87="class",AND('Reels'!D87='Reels'!D60,'Reels'!D88='Reels'!D61)))</f>
        <v>0</v>
      </c>
      <c r="H276">
        <f>IF(G276,C276,0)</f>
        <v>0</v>
      </c>
    </row>
    <row r="277" spans="1:8" x14ac:dyDescent="0.25">
      <c r="A277" t="s">
        <v>247</v>
      </c>
      <c r="B277" t="s">
        <v>3634</v>
      </c>
      <c r="C277" s="4">
        <f>('Reels'!D62/('Reels'!D62+'Reels'!D65+'Reels'!D68+'Reels'!D71+'Reels'!D74+'Reels'!D77))*('Reels'!D89/('Reels'!D80+'Reels'!D83+'Reels'!D86+'Reels'!D89+'Reels'!D92+'Reels'!D95+'Reels'!D98))*('Reels'!D117/('Reels'!D102+'Reels'!D105+'Reels'!D108+'Reels'!D111+'Reels'!D114+'Reels'!D117))</f>
        <v>0.0013092677452539044</v>
      </c>
      <c r="D277">
        <f>IF(OR('Reels'!D60="attack",'Reels'!D60="magic"),CHOOSE('Reels'!D61+1,'Slots'!D29,'Slots'!D30,'Slots'!D31,'Slots'!D32,'Slots'!D33),0)+IF(OR('Reels'!D87="attack",'Reels'!D87="magic"),CHOOSE('Reels'!D88+1,'Slots'!D29,'Slots'!D30,'Slots'!D31,'Slots'!D32,'Slots'!D33),0)+IF(OR('Reels'!D115="attack",'Reels'!D115="magic"),CHOOSE('Reels'!D116+1,'Slots'!D29,'Slots'!D30,'Slots'!D31,'Slots'!D32,'Slots'!D33),0)</f>
        <v>0</v>
      </c>
      <c r="E277">
        <f>IF('Reels'!D60="heal",'Reels'!D61*'Slots'!D24,0)+IF('Reels'!D87="heal",'Reels'!D88*'Slots'!D24,0)+IF('Reels'!D115="heal",'Reels'!D116*'Slots'!D24,0)</f>
        <v>2</v>
      </c>
      <c r="F277">
        <f>IF('Reels'!D60="block",'Reels'!D61*'Slots'!D25,0)+IF('Reels'!D87="block",'Reels'!D88*'Slots'!D25,0)+IF('Reels'!D115="block",'Reels'!D116*'Slots'!D25,0)</f>
        <v>0</v>
      </c>
      <c r="G277" t="b">
        <f>AND('Reels'!D60&lt;&gt;"blank",'Reels'!D60&lt;&gt;"class",'Reels'!D60='Reels'!D115,'Reels'!D61='Reels'!D116,OR('Reels'!D87="class",AND('Reels'!D87='Reels'!D60,'Reels'!D88='Reels'!D61)))</f>
        <v>0</v>
      </c>
      <c r="H277">
        <f>IF(G277,C277,0)</f>
        <v>0</v>
      </c>
    </row>
    <row r="278" spans="1:8" x14ac:dyDescent="0.25">
      <c r="A278" t="s">
        <v>247</v>
      </c>
      <c r="B278" t="s">
        <v>3635</v>
      </c>
      <c r="C278" s="4">
        <f>('Reels'!D62/('Reels'!D62+'Reels'!D65+'Reels'!D68+'Reels'!D71+'Reels'!D74+'Reels'!D77))*('Reels'!D92/('Reels'!D80+'Reels'!D83+'Reels'!D86+'Reels'!D89+'Reels'!D92+'Reels'!D95+'Reels'!D98))*('Reels'!D102/('Reels'!D102+'Reels'!D105+'Reels'!D108+'Reels'!D111+'Reels'!D114+'Reels'!D117))</f>
        <v>0.004582437108388665</v>
      </c>
      <c r="D278">
        <f>IF(OR('Reels'!D60="attack",'Reels'!D60="magic"),CHOOSE('Reels'!D61+1,'Slots'!D29,'Slots'!D30,'Slots'!D31,'Slots'!D32,'Slots'!D33),0)+IF(OR('Reels'!D90="attack",'Reels'!D90="magic"),CHOOSE('Reels'!D91+1,'Slots'!D29,'Slots'!D30,'Slots'!D31,'Slots'!D32,'Slots'!D33),0)+IF(OR('Reels'!D100="attack",'Reels'!D100="magic"),CHOOSE('Reels'!D101+1,'Slots'!D29,'Slots'!D30,'Slots'!D31,'Slots'!D32,'Slots'!D33),0)</f>
        <v>2</v>
      </c>
      <c r="E278">
        <f>IF('Reels'!D60="heal",'Reels'!D61*'Slots'!D24,0)+IF('Reels'!D90="heal",'Reels'!D91*'Slots'!D24,0)+IF('Reels'!D100="heal",'Reels'!D101*'Slots'!D24,0)</f>
        <v>4</v>
      </c>
      <c r="F278">
        <f>IF('Reels'!D60="block",'Reels'!D61*'Slots'!D25,0)+IF('Reels'!D90="block",'Reels'!D91*'Slots'!D25,0)+IF('Reels'!D100="block",'Reels'!D101*'Slots'!D25,0)</f>
        <v>0</v>
      </c>
      <c r="G278" t="b">
        <f>AND('Reels'!D60&lt;&gt;"blank",'Reels'!D60&lt;&gt;"class",'Reels'!D60='Reels'!D100,'Reels'!D61='Reels'!D101,OR('Reels'!D90="class",AND('Reels'!D90='Reels'!D60,'Reels'!D91='Reels'!D61)))</f>
        <v>0</v>
      </c>
      <c r="H278">
        <f>IF(G278,C278,0)</f>
        <v>0</v>
      </c>
    </row>
    <row r="279" spans="1:8" x14ac:dyDescent="0.25">
      <c r="A279" t="s">
        <v>247</v>
      </c>
      <c r="B279" t="s">
        <v>3636</v>
      </c>
      <c r="C279" s="4">
        <f>('Reels'!D62/('Reels'!D62+'Reels'!D65+'Reels'!D68+'Reels'!D71+'Reels'!D74+'Reels'!D77))*('Reels'!D92/('Reels'!D80+'Reels'!D83+'Reels'!D86+'Reels'!D89+'Reels'!D92+'Reels'!D95+'Reels'!D98))*('Reels'!D105/('Reels'!D102+'Reels'!D105+'Reels'!D108+'Reels'!D111+'Reels'!D114+'Reels'!D117))</f>
        <v>0.003927803235761714</v>
      </c>
      <c r="D279">
        <f>IF(OR('Reels'!D60="attack",'Reels'!D60="magic"),CHOOSE('Reels'!D61+1,'Slots'!D29,'Slots'!D30,'Slots'!D31,'Slots'!D32,'Slots'!D33),0)+IF(OR('Reels'!D90="attack",'Reels'!D90="magic"),CHOOSE('Reels'!D91+1,'Slots'!D29,'Slots'!D30,'Slots'!D31,'Slots'!D32,'Slots'!D33),0)+IF(OR('Reels'!D103="attack",'Reels'!D103="magic"),CHOOSE('Reels'!D104+1,'Slots'!D29,'Slots'!D30,'Slots'!D31,'Slots'!D32,'Slots'!D33),0)</f>
        <v>2</v>
      </c>
      <c r="E279">
        <f>IF('Reels'!D60="heal",'Reels'!D61*'Slots'!D24,0)+IF('Reels'!D90="heal",'Reels'!D91*'Slots'!D24,0)+IF('Reels'!D103="heal",'Reels'!D104*'Slots'!D24,0)</f>
        <v>6</v>
      </c>
      <c r="F279">
        <f>IF('Reels'!D60="block",'Reels'!D61*'Slots'!D25,0)+IF('Reels'!D90="block",'Reels'!D91*'Slots'!D25,0)+IF('Reels'!D103="block",'Reels'!D104*'Slots'!D25,0)</f>
        <v>0</v>
      </c>
      <c r="G279" t="b">
        <f>AND('Reels'!D60&lt;&gt;"blank",'Reels'!D60&lt;&gt;"class",'Reels'!D60='Reels'!D103,'Reels'!D61='Reels'!D104,OR('Reels'!D90="class",AND('Reels'!D90='Reels'!D60,'Reels'!D91='Reels'!D61)))</f>
        <v>0</v>
      </c>
      <c r="H279">
        <f>IF(G279,C279,0)</f>
        <v>0</v>
      </c>
    </row>
    <row r="280" spans="1:8" x14ac:dyDescent="0.25">
      <c r="A280" t="s">
        <v>247</v>
      </c>
      <c r="B280" t="s">
        <v>3637</v>
      </c>
      <c r="C280" s="4">
        <f>('Reels'!D62/('Reels'!D62+'Reels'!D65+'Reels'!D68+'Reels'!D71+'Reels'!D74+'Reels'!D77))*('Reels'!D92/('Reels'!D80+'Reels'!D83+'Reels'!D86+'Reels'!D89+'Reels'!D92+'Reels'!D95+'Reels'!D98))*('Reels'!D108/('Reels'!D102+'Reels'!D105+'Reels'!D108+'Reels'!D111+'Reels'!D114+'Reels'!D117))</f>
        <v>0.0006546338726269522</v>
      </c>
      <c r="D280">
        <f>IF(OR('Reels'!D60="attack",'Reels'!D60="magic"),CHOOSE('Reels'!D61+1,'Slots'!D29,'Slots'!D30,'Slots'!D31,'Slots'!D32,'Slots'!D33),0)+IF(OR('Reels'!D90="attack",'Reels'!D90="magic"),CHOOSE('Reels'!D91+1,'Slots'!D29,'Slots'!D30,'Slots'!D31,'Slots'!D32,'Slots'!D33),0)+IF(OR('Reels'!D106="attack",'Reels'!D106="magic"),CHOOSE('Reels'!D107+1,'Slots'!D29,'Slots'!D30,'Slots'!D31,'Slots'!D32,'Slots'!D33),0)</f>
        <v>2</v>
      </c>
      <c r="E280">
        <f>IF('Reels'!D60="heal",'Reels'!D61*'Slots'!D24,0)+IF('Reels'!D90="heal",'Reels'!D91*'Slots'!D24,0)+IF('Reels'!D106="heal",'Reels'!D107*'Slots'!D24,0)</f>
        <v>2</v>
      </c>
      <c r="F280">
        <f>IF('Reels'!D60="block",'Reels'!D61*'Slots'!D25,0)+IF('Reels'!D90="block",'Reels'!D91*'Slots'!D25,0)+IF('Reels'!D106="block",'Reels'!D107*'Slots'!D25,0)</f>
        <v>1</v>
      </c>
      <c r="G280" t="b">
        <f>AND('Reels'!D60&lt;&gt;"blank",'Reels'!D60&lt;&gt;"class",'Reels'!D60='Reels'!D106,'Reels'!D61='Reels'!D107,OR('Reels'!D90="class",AND('Reels'!D90='Reels'!D60,'Reels'!D91='Reels'!D61)))</f>
        <v>0</v>
      </c>
      <c r="H280">
        <f>IF(G280,C280,0)</f>
        <v>0</v>
      </c>
    </row>
    <row r="281" spans="1:8" x14ac:dyDescent="0.25">
      <c r="A281" t="s">
        <v>247</v>
      </c>
      <c r="B281" t="s">
        <v>3638</v>
      </c>
      <c r="C281" s="4">
        <f>('Reels'!D62/('Reels'!D62+'Reels'!D65+'Reels'!D68+'Reels'!D71+'Reels'!D74+'Reels'!D77))*('Reels'!D92/('Reels'!D80+'Reels'!D83+'Reels'!D86+'Reels'!D89+'Reels'!D92+'Reels'!D95+'Reels'!D98))*('Reels'!D111/('Reels'!D102+'Reels'!D105+'Reels'!D108+'Reels'!D111+'Reels'!D114+'Reels'!D117))</f>
        <v>0.0003273169363134761</v>
      </c>
      <c r="D281">
        <f>IF(OR('Reels'!D60="attack",'Reels'!D60="magic"),CHOOSE('Reels'!D61+1,'Slots'!D29,'Slots'!D30,'Slots'!D31,'Slots'!D32,'Slots'!D33),0)+IF(OR('Reels'!D90="attack",'Reels'!D90="magic"),CHOOSE('Reels'!D91+1,'Slots'!D29,'Slots'!D30,'Slots'!D31,'Slots'!D32,'Slots'!D33),0)+IF(OR('Reels'!D109="attack",'Reels'!D109="magic"),CHOOSE('Reels'!D110+1,'Slots'!D29,'Slots'!D30,'Slots'!D31,'Slots'!D32,'Slots'!D33),0)</f>
        <v>2</v>
      </c>
      <c r="E281">
        <f>IF('Reels'!D60="heal",'Reels'!D61*'Slots'!D24,0)+IF('Reels'!D90="heal",'Reels'!D91*'Slots'!D24,0)+IF('Reels'!D109="heal",'Reels'!D110*'Slots'!D24,0)</f>
        <v>2</v>
      </c>
      <c r="F281">
        <f>IF('Reels'!D60="block",'Reels'!D61*'Slots'!D25,0)+IF('Reels'!D90="block",'Reels'!D91*'Slots'!D25,0)+IF('Reels'!D109="block",'Reels'!D110*'Slots'!D25,0)</f>
        <v>0</v>
      </c>
      <c r="G281" t="b">
        <f>AND('Reels'!D60&lt;&gt;"blank",'Reels'!D60&lt;&gt;"class",'Reels'!D60='Reels'!D109,'Reels'!D61='Reels'!D110,OR('Reels'!D90="class",AND('Reels'!D90='Reels'!D60,'Reels'!D91='Reels'!D61)))</f>
        <v>0</v>
      </c>
      <c r="H281">
        <f>IF(G281,C281,0)</f>
        <v>0</v>
      </c>
    </row>
    <row r="282" spans="1:8" x14ac:dyDescent="0.25">
      <c r="A282" t="s">
        <v>247</v>
      </c>
      <c r="B282" t="s">
        <v>3639</v>
      </c>
      <c r="C282" s="4">
        <f>('Reels'!D62/('Reels'!D62+'Reels'!D65+'Reels'!D68+'Reels'!D71+'Reels'!D74+'Reels'!D77))*('Reels'!D92/('Reels'!D80+'Reels'!D83+'Reels'!D86+'Reels'!D89+'Reels'!D92+'Reels'!D95+'Reels'!D98))*('Reels'!D114/('Reels'!D102+'Reels'!D105+'Reels'!D108+'Reels'!D111+'Reels'!D114+'Reels'!D117))</f>
        <v>0.0003273169363134761</v>
      </c>
      <c r="D282">
        <f>IF(OR('Reels'!D60="attack",'Reels'!D60="magic"),CHOOSE('Reels'!D61+1,'Slots'!D29,'Slots'!D30,'Slots'!D31,'Slots'!D32,'Slots'!D33),0)+IF(OR('Reels'!D90="attack",'Reels'!D90="magic"),CHOOSE('Reels'!D91+1,'Slots'!D29,'Slots'!D30,'Slots'!D31,'Slots'!D32,'Slots'!D33),0)+IF(OR('Reels'!D112="attack",'Reels'!D112="magic"),CHOOSE('Reels'!D113+1,'Slots'!D29,'Slots'!D30,'Slots'!D31,'Slots'!D32,'Slots'!D33),0)</f>
        <v>4</v>
      </c>
      <c r="E282">
        <f>IF('Reels'!D60="heal",'Reels'!D61*'Slots'!D24,0)+IF('Reels'!D90="heal",'Reels'!D91*'Slots'!D24,0)+IF('Reels'!D112="heal",'Reels'!D113*'Slots'!D24,0)</f>
        <v>2</v>
      </c>
      <c r="F282">
        <f>IF('Reels'!D60="block",'Reels'!D61*'Slots'!D25,0)+IF('Reels'!D90="block",'Reels'!D91*'Slots'!D25,0)+IF('Reels'!D112="block",'Reels'!D113*'Slots'!D25,0)</f>
        <v>0</v>
      </c>
      <c r="G282" t="b">
        <f>AND('Reels'!D60&lt;&gt;"blank",'Reels'!D60&lt;&gt;"class",'Reels'!D60='Reels'!D112,'Reels'!D61='Reels'!D113,OR('Reels'!D90="class",AND('Reels'!D90='Reels'!D60,'Reels'!D91='Reels'!D61)))</f>
        <v>0</v>
      </c>
      <c r="H282">
        <f>IF(G282,C282,0)</f>
        <v>0</v>
      </c>
    </row>
    <row r="283" spans="1:8" x14ac:dyDescent="0.25">
      <c r="A283" t="s">
        <v>247</v>
      </c>
      <c r="B283" t="s">
        <v>3640</v>
      </c>
      <c r="C283" s="4">
        <f>('Reels'!D62/('Reels'!D62+'Reels'!D65+'Reels'!D68+'Reels'!D71+'Reels'!D74+'Reels'!D77))*('Reels'!D92/('Reels'!D80+'Reels'!D83+'Reels'!D86+'Reels'!D89+'Reels'!D92+'Reels'!D95+'Reels'!D98))*('Reels'!D117/('Reels'!D102+'Reels'!D105+'Reels'!D108+'Reels'!D111+'Reels'!D114+'Reels'!D117))</f>
        <v>0.0013092677452539044</v>
      </c>
      <c r="D283">
        <f>IF(OR('Reels'!D60="attack",'Reels'!D60="magic"),CHOOSE('Reels'!D61+1,'Slots'!D29,'Slots'!D30,'Slots'!D31,'Slots'!D32,'Slots'!D33),0)+IF(OR('Reels'!D90="attack",'Reels'!D90="magic"),CHOOSE('Reels'!D91+1,'Slots'!D29,'Slots'!D30,'Slots'!D31,'Slots'!D32,'Slots'!D33),0)+IF(OR('Reels'!D115="attack",'Reels'!D115="magic"),CHOOSE('Reels'!D116+1,'Slots'!D29,'Slots'!D30,'Slots'!D31,'Slots'!D32,'Slots'!D33),0)</f>
        <v>2</v>
      </c>
      <c r="E283">
        <f>IF('Reels'!D60="heal",'Reels'!D61*'Slots'!D24,0)+IF('Reels'!D90="heal",'Reels'!D91*'Slots'!D24,0)+IF('Reels'!D115="heal",'Reels'!D116*'Slots'!D24,0)</f>
        <v>2</v>
      </c>
      <c r="F283">
        <f>IF('Reels'!D60="block",'Reels'!D61*'Slots'!D25,0)+IF('Reels'!D90="block",'Reels'!D91*'Slots'!D25,0)+IF('Reels'!D115="block",'Reels'!D116*'Slots'!D25,0)</f>
        <v>0</v>
      </c>
      <c r="G283" t="b">
        <f>AND('Reels'!D60&lt;&gt;"blank",'Reels'!D60&lt;&gt;"class",'Reels'!D60='Reels'!D115,'Reels'!D61='Reels'!D116,OR('Reels'!D90="class",AND('Reels'!D90='Reels'!D60,'Reels'!D91='Reels'!D61)))</f>
        <v>0</v>
      </c>
      <c r="H283">
        <f>IF(G283,C283,0)</f>
        <v>0</v>
      </c>
    </row>
    <row r="284" spans="1:8" x14ac:dyDescent="0.25">
      <c r="A284" t="s">
        <v>247</v>
      </c>
      <c r="B284" t="s">
        <v>3567</v>
      </c>
      <c r="C284" s="4">
        <f>('Reels'!D62/('Reels'!D62+'Reels'!D65+'Reels'!D68+'Reels'!D71+'Reels'!D74+'Reels'!D77))*('Reels'!D95/('Reels'!D80+'Reels'!D83+'Reels'!D86+'Reels'!D89+'Reels'!D92+'Reels'!D95+'Reels'!D98))*('Reels'!D102/('Reels'!D102+'Reels'!D105+'Reels'!D108+'Reels'!D111+'Reels'!D114+'Reels'!D117))</f>
        <v>0.01832974843355466</v>
      </c>
      <c r="D284">
        <f>IF(OR('Reels'!D60="attack",'Reels'!D60="magic"),CHOOSE('Reels'!D61+1,'Slots'!D29,'Slots'!D30,'Slots'!D31,'Slots'!D32,'Slots'!D33),0)+IF(OR('Reels'!D93="attack",'Reels'!D93="magic"),CHOOSE('Reels'!D94+1,'Slots'!D29,'Slots'!D30,'Slots'!D31,'Slots'!D32,'Slots'!D33),0)+IF(OR('Reels'!D100="attack",'Reels'!D100="magic"),CHOOSE('Reels'!D101+1,'Slots'!D29,'Slots'!D30,'Slots'!D31,'Slots'!D32,'Slots'!D33),0)</f>
        <v>0</v>
      </c>
      <c r="E284">
        <f>IF('Reels'!D60="heal",'Reels'!D61*'Slots'!D24,0)+IF('Reels'!D93="heal",'Reels'!D94*'Slots'!D24,0)+IF('Reels'!D100="heal",'Reels'!D101*'Slots'!D24,0)</f>
        <v>4</v>
      </c>
      <c r="F284">
        <f>IF('Reels'!D60="block",'Reels'!D61*'Slots'!D25,0)+IF('Reels'!D93="block",'Reels'!D94*'Slots'!D25,0)+IF('Reels'!D100="block",'Reels'!D101*'Slots'!D25,0)</f>
        <v>0</v>
      </c>
      <c r="G284" t="b">
        <f>AND('Reels'!D60&lt;&gt;"blank",'Reels'!D60&lt;&gt;"class",'Reels'!D60='Reels'!D100,'Reels'!D61='Reels'!D101,OR('Reels'!D93="class",AND('Reels'!D93='Reels'!D60,'Reels'!D94='Reels'!D61)))</f>
        <v>0</v>
      </c>
      <c r="H284">
        <f>IF(G284,C284,0)</f>
        <v>0</v>
      </c>
    </row>
    <row r="285" spans="1:8" x14ac:dyDescent="0.25">
      <c r="A285" t="s">
        <v>247</v>
      </c>
      <c r="B285" t="s">
        <v>3641</v>
      </c>
      <c r="C285" s="4">
        <f>('Reels'!D62/('Reels'!D62+'Reels'!D65+'Reels'!D68+'Reels'!D71+'Reels'!D74+'Reels'!D77))*('Reels'!D95/('Reels'!D80+'Reels'!D83+'Reels'!D86+'Reels'!D89+'Reels'!D92+'Reels'!D95+'Reels'!D98))*('Reels'!D105/('Reels'!D102+'Reels'!D105+'Reels'!D108+'Reels'!D111+'Reels'!D114+'Reels'!D117))</f>
        <v>0.015711212943046855</v>
      </c>
      <c r="D285">
        <f>IF(OR('Reels'!D60="attack",'Reels'!D60="magic"),CHOOSE('Reels'!D61+1,'Slots'!D29,'Slots'!D30,'Slots'!D31,'Slots'!D32,'Slots'!D33),0)+IF(OR('Reels'!D93="attack",'Reels'!D93="magic"),CHOOSE('Reels'!D94+1,'Slots'!D29,'Slots'!D30,'Slots'!D31,'Slots'!D32,'Slots'!D33),0)+IF(OR('Reels'!D103="attack",'Reels'!D103="magic"),CHOOSE('Reels'!D104+1,'Slots'!D29,'Slots'!D30,'Slots'!D31,'Slots'!D32,'Slots'!D33),0)</f>
        <v>0</v>
      </c>
      <c r="E285">
        <f>IF('Reels'!D60="heal",'Reels'!D61*'Slots'!D24,0)+IF('Reels'!D93="heal",'Reels'!D94*'Slots'!D24,0)+IF('Reels'!D103="heal",'Reels'!D104*'Slots'!D24,0)</f>
        <v>6</v>
      </c>
      <c r="F285">
        <f>IF('Reels'!D60="block",'Reels'!D61*'Slots'!D25,0)+IF('Reels'!D93="block",'Reels'!D94*'Slots'!D25,0)+IF('Reels'!D103="block",'Reels'!D104*'Slots'!D25,0)</f>
        <v>0</v>
      </c>
      <c r="G285" t="b">
        <f>AND('Reels'!D60&lt;&gt;"blank",'Reels'!D60&lt;&gt;"class",'Reels'!D60='Reels'!D103,'Reels'!D61='Reels'!D104,OR('Reels'!D93="class",AND('Reels'!D93='Reels'!D60,'Reels'!D94='Reels'!D61)))</f>
        <v>0</v>
      </c>
      <c r="H285">
        <f>IF(G285,C285,0)</f>
        <v>0</v>
      </c>
    </row>
    <row r="286" spans="1:8" x14ac:dyDescent="0.25">
      <c r="A286" t="s">
        <v>247</v>
      </c>
      <c r="B286" t="s">
        <v>3565</v>
      </c>
      <c r="C286" s="4">
        <f>('Reels'!D62/('Reels'!D62+'Reels'!D65+'Reels'!D68+'Reels'!D71+'Reels'!D74+'Reels'!D77))*('Reels'!D95/('Reels'!D80+'Reels'!D83+'Reels'!D86+'Reels'!D89+'Reels'!D92+'Reels'!D95+'Reels'!D98))*('Reels'!D108/('Reels'!D102+'Reels'!D105+'Reels'!D108+'Reels'!D111+'Reels'!D114+'Reels'!D117))</f>
        <v>0.002618535490507809</v>
      </c>
      <c r="D286">
        <f>IF(OR('Reels'!D60="attack",'Reels'!D60="magic"),CHOOSE('Reels'!D61+1,'Slots'!D29,'Slots'!D30,'Slots'!D31,'Slots'!D32,'Slots'!D33),0)+IF(OR('Reels'!D93="attack",'Reels'!D93="magic"),CHOOSE('Reels'!D94+1,'Slots'!D29,'Slots'!D30,'Slots'!D31,'Slots'!D32,'Slots'!D33),0)+IF(OR('Reels'!D106="attack",'Reels'!D106="magic"),CHOOSE('Reels'!D107+1,'Slots'!D29,'Slots'!D30,'Slots'!D31,'Slots'!D32,'Slots'!D33),0)</f>
        <v>0</v>
      </c>
      <c r="E286">
        <f>IF('Reels'!D60="heal",'Reels'!D61*'Slots'!D24,0)+IF('Reels'!D93="heal",'Reels'!D94*'Slots'!D24,0)+IF('Reels'!D106="heal",'Reels'!D107*'Slots'!D24,0)</f>
        <v>2</v>
      </c>
      <c r="F286">
        <f>IF('Reels'!D60="block",'Reels'!D61*'Slots'!D25,0)+IF('Reels'!D93="block",'Reels'!D94*'Slots'!D25,0)+IF('Reels'!D106="block",'Reels'!D107*'Slots'!D25,0)</f>
        <v>1</v>
      </c>
      <c r="G286" t="b">
        <f>AND('Reels'!D60&lt;&gt;"blank",'Reels'!D60&lt;&gt;"class",'Reels'!D60='Reels'!D106,'Reels'!D61='Reels'!D107,OR('Reels'!D93="class",AND('Reels'!D93='Reels'!D60,'Reels'!D94='Reels'!D61)))</f>
        <v>0</v>
      </c>
      <c r="H286">
        <f>IF(G286,C286,0)</f>
        <v>0</v>
      </c>
    </row>
    <row r="287" spans="1:8" x14ac:dyDescent="0.25">
      <c r="A287" t="s">
        <v>247</v>
      </c>
      <c r="B287" t="s">
        <v>3642</v>
      </c>
      <c r="C287" s="4">
        <f>('Reels'!D62/('Reels'!D62+'Reels'!D65+'Reels'!D68+'Reels'!D71+'Reels'!D74+'Reels'!D77))*('Reels'!D95/('Reels'!D80+'Reels'!D83+'Reels'!D86+'Reels'!D89+'Reels'!D92+'Reels'!D95+'Reels'!D98))*('Reels'!D111/('Reels'!D102+'Reels'!D105+'Reels'!D108+'Reels'!D111+'Reels'!D114+'Reels'!D117))</f>
        <v>0.0013092677452539044</v>
      </c>
      <c r="D287">
        <f>IF(OR('Reels'!D60="attack",'Reels'!D60="magic"),CHOOSE('Reels'!D61+1,'Slots'!D29,'Slots'!D30,'Slots'!D31,'Slots'!D32,'Slots'!D33),0)+IF(OR('Reels'!D93="attack",'Reels'!D93="magic"),CHOOSE('Reels'!D94+1,'Slots'!D29,'Slots'!D30,'Slots'!D31,'Slots'!D32,'Slots'!D33),0)+IF(OR('Reels'!D109="attack",'Reels'!D109="magic"),CHOOSE('Reels'!D110+1,'Slots'!D29,'Slots'!D30,'Slots'!D31,'Slots'!D32,'Slots'!D33),0)</f>
        <v>0</v>
      </c>
      <c r="E287">
        <f>IF('Reels'!D60="heal",'Reels'!D61*'Slots'!D24,0)+IF('Reels'!D93="heal",'Reels'!D94*'Slots'!D24,0)+IF('Reels'!D109="heal",'Reels'!D110*'Slots'!D24,0)</f>
        <v>2</v>
      </c>
      <c r="F287">
        <f>IF('Reels'!D60="block",'Reels'!D61*'Slots'!D25,0)+IF('Reels'!D93="block",'Reels'!D94*'Slots'!D25,0)+IF('Reels'!D109="block",'Reels'!D110*'Slots'!D25,0)</f>
        <v>0</v>
      </c>
      <c r="G287" t="b">
        <f>AND('Reels'!D60&lt;&gt;"blank",'Reels'!D60&lt;&gt;"class",'Reels'!D60='Reels'!D109,'Reels'!D61='Reels'!D110,OR('Reels'!D93="class",AND('Reels'!D93='Reels'!D60,'Reels'!D94='Reels'!D61)))</f>
        <v>0</v>
      </c>
      <c r="H287">
        <f>IF(G287,C287,0)</f>
        <v>0</v>
      </c>
    </row>
    <row r="288" spans="1:8" x14ac:dyDescent="0.25">
      <c r="A288" t="s">
        <v>247</v>
      </c>
      <c r="B288" t="s">
        <v>3643</v>
      </c>
      <c r="C288" s="4">
        <f>('Reels'!D62/('Reels'!D62+'Reels'!D65+'Reels'!D68+'Reels'!D71+'Reels'!D74+'Reels'!D77))*('Reels'!D95/('Reels'!D80+'Reels'!D83+'Reels'!D86+'Reels'!D89+'Reels'!D92+'Reels'!D95+'Reels'!D98))*('Reels'!D114/('Reels'!D102+'Reels'!D105+'Reels'!D108+'Reels'!D111+'Reels'!D114+'Reels'!D117))</f>
        <v>0.0013092677452539044</v>
      </c>
      <c r="D288">
        <f>IF(OR('Reels'!D60="attack",'Reels'!D60="magic"),CHOOSE('Reels'!D61+1,'Slots'!D29,'Slots'!D30,'Slots'!D31,'Slots'!D32,'Slots'!D33),0)+IF(OR('Reels'!D93="attack",'Reels'!D93="magic"),CHOOSE('Reels'!D94+1,'Slots'!D29,'Slots'!D30,'Slots'!D31,'Slots'!D32,'Slots'!D33),0)+IF(OR('Reels'!D112="attack",'Reels'!D112="magic"),CHOOSE('Reels'!D113+1,'Slots'!D29,'Slots'!D30,'Slots'!D31,'Slots'!D32,'Slots'!D33),0)</f>
        <v>2</v>
      </c>
      <c r="E288">
        <f>IF('Reels'!D60="heal",'Reels'!D61*'Slots'!D24,0)+IF('Reels'!D93="heal",'Reels'!D94*'Slots'!D24,0)+IF('Reels'!D112="heal",'Reels'!D113*'Slots'!D24,0)</f>
        <v>2</v>
      </c>
      <c r="F288">
        <f>IF('Reels'!D60="block",'Reels'!D61*'Slots'!D25,0)+IF('Reels'!D93="block",'Reels'!D94*'Slots'!D25,0)+IF('Reels'!D112="block",'Reels'!D113*'Slots'!D25,0)</f>
        <v>0</v>
      </c>
      <c r="G288" t="b">
        <f>AND('Reels'!D60&lt;&gt;"blank",'Reels'!D60&lt;&gt;"class",'Reels'!D60='Reels'!D112,'Reels'!D61='Reels'!D113,OR('Reels'!D93="class",AND('Reels'!D93='Reels'!D60,'Reels'!D94='Reels'!D61)))</f>
        <v>0</v>
      </c>
      <c r="H288">
        <f>IF(G288,C288,0)</f>
        <v>0</v>
      </c>
    </row>
    <row r="289" spans="1:8" x14ac:dyDescent="0.25">
      <c r="A289" t="s">
        <v>247</v>
      </c>
      <c r="B289" t="s">
        <v>3568</v>
      </c>
      <c r="C289" s="4">
        <f>('Reels'!D62/('Reels'!D62+'Reels'!D65+'Reels'!D68+'Reels'!D71+'Reels'!D74+'Reels'!D77))*('Reels'!D95/('Reels'!D80+'Reels'!D83+'Reels'!D86+'Reels'!D89+'Reels'!D92+'Reels'!D95+'Reels'!D98))*('Reels'!D117/('Reels'!D102+'Reels'!D105+'Reels'!D108+'Reels'!D111+'Reels'!D114+'Reels'!D117))</f>
        <v>0.005237070981015618</v>
      </c>
      <c r="D289">
        <f>IF(OR('Reels'!D60="attack",'Reels'!D60="magic"),CHOOSE('Reels'!D61+1,'Slots'!D29,'Slots'!D30,'Slots'!D31,'Slots'!D32,'Slots'!D33),0)+IF(OR('Reels'!D93="attack",'Reels'!D93="magic"),CHOOSE('Reels'!D94+1,'Slots'!D29,'Slots'!D30,'Slots'!D31,'Slots'!D32,'Slots'!D33),0)+IF(OR('Reels'!D115="attack",'Reels'!D115="magic"),CHOOSE('Reels'!D116+1,'Slots'!D29,'Slots'!D30,'Slots'!D31,'Slots'!D32,'Slots'!D33),0)</f>
        <v>0</v>
      </c>
      <c r="E289">
        <f>IF('Reels'!D60="heal",'Reels'!D61*'Slots'!D24,0)+IF('Reels'!D93="heal",'Reels'!D94*'Slots'!D24,0)+IF('Reels'!D115="heal",'Reels'!D116*'Slots'!D24,0)</f>
        <v>2</v>
      </c>
      <c r="F289">
        <f>IF('Reels'!D60="block",'Reels'!D61*'Slots'!D25,0)+IF('Reels'!D93="block",'Reels'!D94*'Slots'!D25,0)+IF('Reels'!D115="block",'Reels'!D116*'Slots'!D25,0)</f>
        <v>0</v>
      </c>
      <c r="G289" t="b">
        <f>AND('Reels'!D60&lt;&gt;"blank",'Reels'!D60&lt;&gt;"class",'Reels'!D60='Reels'!D115,'Reels'!D61='Reels'!D116,OR('Reels'!D93="class",AND('Reels'!D93='Reels'!D60,'Reels'!D94='Reels'!D61)))</f>
        <v>0</v>
      </c>
      <c r="H289">
        <f>IF(G289,C289,0)</f>
        <v>0</v>
      </c>
    </row>
    <row r="290" spans="1:8" x14ac:dyDescent="0.25">
      <c r="A290" t="s">
        <v>247</v>
      </c>
      <c r="B290" t="s">
        <v>3573</v>
      </c>
      <c r="C290" s="4">
        <f>('Reels'!D62/('Reels'!D62+'Reels'!D65+'Reels'!D68+'Reels'!D71+'Reels'!D74+'Reels'!D77))*('Reels'!D98/('Reels'!D80+'Reels'!D83+'Reels'!D86+'Reels'!D89+'Reels'!D92+'Reels'!D95+'Reels'!D98))*('Reels'!D102/('Reels'!D102+'Reels'!D105+'Reels'!D108+'Reels'!D111+'Reels'!D114+'Reels'!D117))</f>
        <v>0.013747311325165996</v>
      </c>
      <c r="D290">
        <f>IF(OR('Reels'!D60="attack",'Reels'!D60="magic"),CHOOSE('Reels'!D61+1,'Slots'!D29,'Slots'!D30,'Slots'!D31,'Slots'!D32,'Slots'!D33),0)+IF(OR('Reels'!D96="attack",'Reels'!D96="magic"),CHOOSE('Reels'!D97+1,'Slots'!D29,'Slots'!D30,'Slots'!D31,'Slots'!D32,'Slots'!D33),0)+IF(OR('Reels'!D100="attack",'Reels'!D100="magic"),CHOOSE('Reels'!D101+1,'Slots'!D29,'Slots'!D30,'Slots'!D31,'Slots'!D32,'Slots'!D33),0)</f>
        <v>0</v>
      </c>
      <c r="E290">
        <f>IF('Reels'!D60="heal",'Reels'!D61*'Slots'!D24,0)+IF('Reels'!D96="heal",'Reels'!D97*'Slots'!D24,0)+IF('Reels'!D100="heal",'Reels'!D101*'Slots'!D24,0)</f>
        <v>4</v>
      </c>
      <c r="F290">
        <f>IF('Reels'!D60="block",'Reels'!D61*'Slots'!D25,0)+IF('Reels'!D96="block",'Reels'!D97*'Slots'!D25,0)+IF('Reels'!D100="block",'Reels'!D101*'Slots'!D25,0)</f>
        <v>0</v>
      </c>
      <c r="G290" t="b">
        <f>AND('Reels'!D60&lt;&gt;"blank",'Reels'!D60&lt;&gt;"class",'Reels'!D60='Reels'!D100,'Reels'!D61='Reels'!D101,OR('Reels'!D96="class",AND('Reels'!D96='Reels'!D60,'Reels'!D97='Reels'!D61)))</f>
        <v>1</v>
      </c>
      <c r="H290">
        <f>IF(G290,C290,0)</f>
        <v>0.013747311325165996</v>
      </c>
    </row>
    <row r="291" spans="1:8" x14ac:dyDescent="0.25">
      <c r="A291" t="s">
        <v>247</v>
      </c>
      <c r="B291" t="s">
        <v>3644</v>
      </c>
      <c r="C291" s="4">
        <f>('Reels'!D62/('Reels'!D62+'Reels'!D65+'Reels'!D68+'Reels'!D71+'Reels'!D74+'Reels'!D77))*('Reels'!D98/('Reels'!D80+'Reels'!D83+'Reels'!D86+'Reels'!D89+'Reels'!D92+'Reels'!D95+'Reels'!D98))*('Reels'!D105/('Reels'!D102+'Reels'!D105+'Reels'!D108+'Reels'!D111+'Reels'!D114+'Reels'!D117))</f>
        <v>0.01178340970728514</v>
      </c>
      <c r="D291">
        <f>IF(OR('Reels'!D60="attack",'Reels'!D60="magic"),CHOOSE('Reels'!D61+1,'Slots'!D29,'Slots'!D30,'Slots'!D31,'Slots'!D32,'Slots'!D33),0)+IF(OR('Reels'!D96="attack",'Reels'!D96="magic"),CHOOSE('Reels'!D97+1,'Slots'!D29,'Slots'!D30,'Slots'!D31,'Slots'!D32,'Slots'!D33),0)+IF(OR('Reels'!D103="attack",'Reels'!D103="magic"),CHOOSE('Reels'!D104+1,'Slots'!D29,'Slots'!D30,'Slots'!D31,'Slots'!D32,'Slots'!D33),0)</f>
        <v>0</v>
      </c>
      <c r="E291">
        <f>IF('Reels'!D60="heal",'Reels'!D61*'Slots'!D24,0)+IF('Reels'!D96="heal",'Reels'!D97*'Slots'!D24,0)+IF('Reels'!D103="heal",'Reels'!D104*'Slots'!D24,0)</f>
        <v>6</v>
      </c>
      <c r="F291">
        <f>IF('Reels'!D60="block",'Reels'!D61*'Slots'!D25,0)+IF('Reels'!D96="block",'Reels'!D97*'Slots'!D25,0)+IF('Reels'!D103="block",'Reels'!D104*'Slots'!D25,0)</f>
        <v>0</v>
      </c>
      <c r="G291" t="b">
        <f>AND('Reels'!D60&lt;&gt;"blank",'Reels'!D60&lt;&gt;"class",'Reels'!D60='Reels'!D103,'Reels'!D61='Reels'!D104,OR('Reels'!D96="class",AND('Reels'!D96='Reels'!D60,'Reels'!D97='Reels'!D61)))</f>
        <v>0</v>
      </c>
      <c r="H291">
        <f>IF(G291,C291,0)</f>
        <v>0</v>
      </c>
    </row>
    <row r="292" spans="1:8" x14ac:dyDescent="0.25">
      <c r="A292" t="s">
        <v>247</v>
      </c>
      <c r="B292" t="s">
        <v>3571</v>
      </c>
      <c r="C292" s="4">
        <f>('Reels'!D62/('Reels'!D62+'Reels'!D65+'Reels'!D68+'Reels'!D71+'Reels'!D74+'Reels'!D77))*('Reels'!D98/('Reels'!D80+'Reels'!D83+'Reels'!D86+'Reels'!D89+'Reels'!D92+'Reels'!D95+'Reels'!D98))*('Reels'!D108/('Reels'!D102+'Reels'!D105+'Reels'!D108+'Reels'!D111+'Reels'!D114+'Reels'!D117))</f>
        <v>0.001963901617880857</v>
      </c>
      <c r="D292">
        <f>IF(OR('Reels'!D60="attack",'Reels'!D60="magic"),CHOOSE('Reels'!D61+1,'Slots'!D29,'Slots'!D30,'Slots'!D31,'Slots'!D32,'Slots'!D33),0)+IF(OR('Reels'!D96="attack",'Reels'!D96="magic"),CHOOSE('Reels'!D97+1,'Slots'!D29,'Slots'!D30,'Slots'!D31,'Slots'!D32,'Slots'!D33),0)+IF(OR('Reels'!D106="attack",'Reels'!D106="magic"),CHOOSE('Reels'!D107+1,'Slots'!D29,'Slots'!D30,'Slots'!D31,'Slots'!D32,'Slots'!D33),0)</f>
        <v>0</v>
      </c>
      <c r="E292">
        <f>IF('Reels'!D60="heal",'Reels'!D61*'Slots'!D24,0)+IF('Reels'!D96="heal",'Reels'!D97*'Slots'!D24,0)+IF('Reels'!D106="heal",'Reels'!D107*'Slots'!D24,0)</f>
        <v>2</v>
      </c>
      <c r="F292">
        <f>IF('Reels'!D60="block",'Reels'!D61*'Slots'!D25,0)+IF('Reels'!D96="block",'Reels'!D97*'Slots'!D25,0)+IF('Reels'!D106="block",'Reels'!D107*'Slots'!D25,0)</f>
        <v>1</v>
      </c>
      <c r="G292" t="b">
        <f>AND('Reels'!D60&lt;&gt;"blank",'Reels'!D60&lt;&gt;"class",'Reels'!D60='Reels'!D106,'Reels'!D61='Reels'!D107,OR('Reels'!D96="class",AND('Reels'!D96='Reels'!D60,'Reels'!D97='Reels'!D61)))</f>
        <v>0</v>
      </c>
      <c r="H292">
        <f>IF(G292,C292,0)</f>
        <v>0</v>
      </c>
    </row>
    <row r="293" spans="1:8" x14ac:dyDescent="0.25">
      <c r="A293" t="s">
        <v>247</v>
      </c>
      <c r="B293" t="s">
        <v>3645</v>
      </c>
      <c r="C293" s="4">
        <f>('Reels'!D62/('Reels'!D62+'Reels'!D65+'Reels'!D68+'Reels'!D71+'Reels'!D74+'Reels'!D77))*('Reels'!D98/('Reels'!D80+'Reels'!D83+'Reels'!D86+'Reels'!D89+'Reels'!D92+'Reels'!D95+'Reels'!D98))*('Reels'!D111/('Reels'!D102+'Reels'!D105+'Reels'!D108+'Reels'!D111+'Reels'!D114+'Reels'!D117))</f>
        <v>0.0009819508089404284</v>
      </c>
      <c r="D293">
        <f>IF(OR('Reels'!D60="attack",'Reels'!D60="magic"),CHOOSE('Reels'!D61+1,'Slots'!D29,'Slots'!D30,'Slots'!D31,'Slots'!D32,'Slots'!D33),0)+IF(OR('Reels'!D96="attack",'Reels'!D96="magic"),CHOOSE('Reels'!D97+1,'Slots'!D29,'Slots'!D30,'Slots'!D31,'Slots'!D32,'Slots'!D33),0)+IF(OR('Reels'!D109="attack",'Reels'!D109="magic"),CHOOSE('Reels'!D110+1,'Slots'!D29,'Slots'!D30,'Slots'!D31,'Slots'!D32,'Slots'!D33),0)</f>
        <v>0</v>
      </c>
      <c r="E293">
        <f>IF('Reels'!D60="heal",'Reels'!D61*'Slots'!D24,0)+IF('Reels'!D96="heal",'Reels'!D97*'Slots'!D24,0)+IF('Reels'!D109="heal",'Reels'!D110*'Slots'!D24,0)</f>
        <v>2</v>
      </c>
      <c r="F293">
        <f>IF('Reels'!D60="block",'Reels'!D61*'Slots'!D25,0)+IF('Reels'!D96="block",'Reels'!D97*'Slots'!D25,0)+IF('Reels'!D109="block",'Reels'!D110*'Slots'!D25,0)</f>
        <v>0</v>
      </c>
      <c r="G293" t="b">
        <f>AND('Reels'!D60&lt;&gt;"blank",'Reels'!D60&lt;&gt;"class",'Reels'!D60='Reels'!D109,'Reels'!D61='Reels'!D110,OR('Reels'!D96="class",AND('Reels'!D96='Reels'!D60,'Reels'!D97='Reels'!D61)))</f>
        <v>0</v>
      </c>
      <c r="H293">
        <f>IF(G293,C293,0)</f>
        <v>0</v>
      </c>
    </row>
    <row r="294" spans="1:8" x14ac:dyDescent="0.25">
      <c r="A294" t="s">
        <v>247</v>
      </c>
      <c r="B294" t="s">
        <v>3646</v>
      </c>
      <c r="C294" s="4">
        <f>('Reels'!D62/('Reels'!D62+'Reels'!D65+'Reels'!D68+'Reels'!D71+'Reels'!D74+'Reels'!D77))*('Reels'!D98/('Reels'!D80+'Reels'!D83+'Reels'!D86+'Reels'!D89+'Reels'!D92+'Reels'!D95+'Reels'!D98))*('Reels'!D114/('Reels'!D102+'Reels'!D105+'Reels'!D108+'Reels'!D111+'Reels'!D114+'Reels'!D117))</f>
        <v>0.0009819508089404284</v>
      </c>
      <c r="D294">
        <f>IF(OR('Reels'!D60="attack",'Reels'!D60="magic"),CHOOSE('Reels'!D61+1,'Slots'!D29,'Slots'!D30,'Slots'!D31,'Slots'!D32,'Slots'!D33),0)+IF(OR('Reels'!D96="attack",'Reels'!D96="magic"),CHOOSE('Reels'!D97+1,'Slots'!D29,'Slots'!D30,'Slots'!D31,'Slots'!D32,'Slots'!D33),0)+IF(OR('Reels'!D112="attack",'Reels'!D112="magic"),CHOOSE('Reels'!D113+1,'Slots'!D29,'Slots'!D30,'Slots'!D31,'Slots'!D32,'Slots'!D33),0)</f>
        <v>2</v>
      </c>
      <c r="E294">
        <f>IF('Reels'!D60="heal",'Reels'!D61*'Slots'!D24,0)+IF('Reels'!D96="heal",'Reels'!D97*'Slots'!D24,0)+IF('Reels'!D112="heal",'Reels'!D113*'Slots'!D24,0)</f>
        <v>2</v>
      </c>
      <c r="F294">
        <f>IF('Reels'!D60="block",'Reels'!D61*'Slots'!D25,0)+IF('Reels'!D96="block",'Reels'!D97*'Slots'!D25,0)+IF('Reels'!D112="block",'Reels'!D113*'Slots'!D25,0)</f>
        <v>0</v>
      </c>
      <c r="G294" t="b">
        <f>AND('Reels'!D60&lt;&gt;"blank",'Reels'!D60&lt;&gt;"class",'Reels'!D60='Reels'!D112,'Reels'!D61='Reels'!D113,OR('Reels'!D96="class",AND('Reels'!D96='Reels'!D60,'Reels'!D97='Reels'!D61)))</f>
        <v>0</v>
      </c>
      <c r="H294">
        <f>IF(G294,C294,0)</f>
        <v>0</v>
      </c>
    </row>
    <row r="295" spans="1:8" x14ac:dyDescent="0.25">
      <c r="A295" t="s">
        <v>247</v>
      </c>
      <c r="B295" t="s">
        <v>3574</v>
      </c>
      <c r="C295" s="4">
        <f>('Reels'!D62/('Reels'!D62+'Reels'!D65+'Reels'!D68+'Reels'!D71+'Reels'!D74+'Reels'!D77))*('Reels'!D98/('Reels'!D80+'Reels'!D83+'Reels'!D86+'Reels'!D89+'Reels'!D92+'Reels'!D95+'Reels'!D98))*('Reels'!D117/('Reels'!D102+'Reels'!D105+'Reels'!D108+'Reels'!D111+'Reels'!D114+'Reels'!D117))</f>
        <v>0.003927803235761714</v>
      </c>
      <c r="D295">
        <f>IF(OR('Reels'!D60="attack",'Reels'!D60="magic"),CHOOSE('Reels'!D61+1,'Slots'!D29,'Slots'!D30,'Slots'!D31,'Slots'!D32,'Slots'!D33),0)+IF(OR('Reels'!D96="attack",'Reels'!D96="magic"),CHOOSE('Reels'!D97+1,'Slots'!D29,'Slots'!D30,'Slots'!D31,'Slots'!D32,'Slots'!D33),0)+IF(OR('Reels'!D115="attack",'Reels'!D115="magic"),CHOOSE('Reels'!D116+1,'Slots'!D29,'Slots'!D30,'Slots'!D31,'Slots'!D32,'Slots'!D33),0)</f>
        <v>0</v>
      </c>
      <c r="E295">
        <f>IF('Reels'!D60="heal",'Reels'!D61*'Slots'!D24,0)+IF('Reels'!D96="heal",'Reels'!D97*'Slots'!D24,0)+IF('Reels'!D115="heal",'Reels'!D116*'Slots'!D24,0)</f>
        <v>2</v>
      </c>
      <c r="F295">
        <f>IF('Reels'!D60="block",'Reels'!D61*'Slots'!D25,0)+IF('Reels'!D96="block",'Reels'!D97*'Slots'!D25,0)+IF('Reels'!D115="block",'Reels'!D116*'Slots'!D25,0)</f>
        <v>0</v>
      </c>
      <c r="G295" t="b">
        <f>AND('Reels'!D60&lt;&gt;"blank",'Reels'!D60&lt;&gt;"class",'Reels'!D60='Reels'!D115,'Reels'!D61='Reels'!D116,OR('Reels'!D96="class",AND('Reels'!D96='Reels'!D60,'Reels'!D97='Reels'!D61)))</f>
        <v>0</v>
      </c>
      <c r="H295">
        <f>IF(G295,C295,0)</f>
        <v>0</v>
      </c>
    </row>
    <row r="296" spans="1:8" x14ac:dyDescent="0.25">
      <c r="A296" t="s">
        <v>247</v>
      </c>
      <c r="B296" t="s">
        <v>3647</v>
      </c>
      <c r="C296" s="4">
        <f>('Reels'!D65/('Reels'!D62+'Reels'!D65+'Reels'!D68+'Reels'!D71+'Reels'!D74+'Reels'!D77))*('Reels'!D80/('Reels'!D80+'Reels'!D83+'Reels'!D86+'Reels'!D89+'Reels'!D92+'Reels'!D95+'Reels'!D98))*('Reels'!D102/('Reels'!D102+'Reels'!D105+'Reels'!D108+'Reels'!D111+'Reels'!D114+'Reels'!D117))</f>
        <v>0.054989245300663986</v>
      </c>
      <c r="D296">
        <f>IF(OR('Reels'!D63="attack",'Reels'!D63="magic"),CHOOSE('Reels'!D64+1,'Slots'!D29,'Slots'!D30,'Slots'!D31,'Slots'!D32,'Slots'!D33),0)+IF(OR('Reels'!D78="attack",'Reels'!D78="magic"),CHOOSE('Reels'!D79+1,'Slots'!D29,'Slots'!D30,'Slots'!D31,'Slots'!D32,'Slots'!D33),0)+IF(OR('Reels'!D100="attack",'Reels'!D100="magic"),CHOOSE('Reels'!D101+1,'Slots'!D29,'Slots'!D30,'Slots'!D31,'Slots'!D32,'Slots'!D33),0)</f>
        <v>0</v>
      </c>
      <c r="E296">
        <f>IF('Reels'!D63="heal",'Reels'!D64*'Slots'!D24,0)+IF('Reels'!D78="heal",'Reels'!D79*'Slots'!D24,0)+IF('Reels'!D100="heal",'Reels'!D101*'Slots'!D24,0)</f>
        <v>8</v>
      </c>
      <c r="F296">
        <f>IF('Reels'!D63="block",'Reels'!D64*'Slots'!D25,0)+IF('Reels'!D78="block",'Reels'!D79*'Slots'!D25,0)+IF('Reels'!D100="block",'Reels'!D101*'Slots'!D25,0)</f>
        <v>0</v>
      </c>
      <c r="G296" t="b">
        <f>AND('Reels'!D63&lt;&gt;"blank",'Reels'!D63&lt;&gt;"class",'Reels'!D63='Reels'!D100,'Reels'!D64='Reels'!D101,OR('Reels'!D78="class",AND('Reels'!D78='Reels'!D63,'Reels'!D79='Reels'!D64)))</f>
        <v>0</v>
      </c>
      <c r="H296">
        <f>IF(G296,C296,0)</f>
        <v>0</v>
      </c>
    </row>
    <row r="297" spans="1:8" x14ac:dyDescent="0.25">
      <c r="A297" t="s">
        <v>247</v>
      </c>
      <c r="B297" t="s">
        <v>3648</v>
      </c>
      <c r="C297" s="4">
        <f>('Reels'!D65/('Reels'!D62+'Reels'!D65+'Reels'!D68+'Reels'!D71+'Reels'!D74+'Reels'!D77))*('Reels'!D80/('Reels'!D80+'Reels'!D83+'Reels'!D86+'Reels'!D89+'Reels'!D92+'Reels'!D95+'Reels'!D98))*('Reels'!D105/('Reels'!D102+'Reels'!D105+'Reels'!D108+'Reels'!D111+'Reels'!D114+'Reels'!D117))</f>
        <v>0.04713363882914056</v>
      </c>
      <c r="D297">
        <f>IF(OR('Reels'!D63="attack",'Reels'!D63="magic"),CHOOSE('Reels'!D64+1,'Slots'!D29,'Slots'!D30,'Slots'!D31,'Slots'!D32,'Slots'!D33),0)+IF(OR('Reels'!D78="attack",'Reels'!D78="magic"),CHOOSE('Reels'!D79+1,'Slots'!D29,'Slots'!D30,'Slots'!D31,'Slots'!D32,'Slots'!D33),0)+IF(OR('Reels'!D103="attack",'Reels'!D103="magic"),CHOOSE('Reels'!D104+1,'Slots'!D29,'Slots'!D30,'Slots'!D31,'Slots'!D32,'Slots'!D33),0)</f>
        <v>0</v>
      </c>
      <c r="E297">
        <f>IF('Reels'!D63="heal",'Reels'!D64*'Slots'!D24,0)+IF('Reels'!D78="heal",'Reels'!D79*'Slots'!D24,0)+IF('Reels'!D103="heal",'Reels'!D104*'Slots'!D24,0)</f>
        <v>10</v>
      </c>
      <c r="F297">
        <f>IF('Reels'!D63="block",'Reels'!D64*'Slots'!D25,0)+IF('Reels'!D78="block",'Reels'!D79*'Slots'!D25,0)+IF('Reels'!D103="block",'Reels'!D104*'Slots'!D25,0)</f>
        <v>0</v>
      </c>
      <c r="G297" t="b">
        <f>AND('Reels'!D63&lt;&gt;"blank",'Reels'!D63&lt;&gt;"class",'Reels'!D63='Reels'!D103,'Reels'!D64='Reels'!D104,OR('Reels'!D78="class",AND('Reels'!D78='Reels'!D63,'Reels'!D79='Reels'!D64)))</f>
        <v>0</v>
      </c>
      <c r="H297">
        <f>IF(G297,C297,0)</f>
        <v>0</v>
      </c>
    </row>
    <row r="298" spans="1:8" x14ac:dyDescent="0.25">
      <c r="A298" t="s">
        <v>247</v>
      </c>
      <c r="B298" t="s">
        <v>3649</v>
      </c>
      <c r="C298" s="4">
        <f>('Reels'!D65/('Reels'!D62+'Reels'!D65+'Reels'!D68+'Reels'!D71+'Reels'!D74+'Reels'!D77))*('Reels'!D80/('Reels'!D80+'Reels'!D83+'Reels'!D86+'Reels'!D89+'Reels'!D92+'Reels'!D95+'Reels'!D98))*('Reels'!D108/('Reels'!D102+'Reels'!D105+'Reels'!D108+'Reels'!D111+'Reels'!D114+'Reels'!D117))</f>
        <v>0.007855606471523427</v>
      </c>
      <c r="D298">
        <f>IF(OR('Reels'!D63="attack",'Reels'!D63="magic"),CHOOSE('Reels'!D64+1,'Slots'!D29,'Slots'!D30,'Slots'!D31,'Slots'!D32,'Slots'!D33),0)+IF(OR('Reels'!D78="attack",'Reels'!D78="magic"),CHOOSE('Reels'!D79+1,'Slots'!D29,'Slots'!D30,'Slots'!D31,'Slots'!D32,'Slots'!D33),0)+IF(OR('Reels'!D106="attack",'Reels'!D106="magic"),CHOOSE('Reels'!D107+1,'Slots'!D29,'Slots'!D30,'Slots'!D31,'Slots'!D32,'Slots'!D33),0)</f>
        <v>0</v>
      </c>
      <c r="E298">
        <f>IF('Reels'!D63="heal",'Reels'!D64*'Slots'!D24,0)+IF('Reels'!D78="heal",'Reels'!D79*'Slots'!D24,0)+IF('Reels'!D106="heal",'Reels'!D107*'Slots'!D24,0)</f>
        <v>6</v>
      </c>
      <c r="F298">
        <f>IF('Reels'!D63="block",'Reels'!D64*'Slots'!D25,0)+IF('Reels'!D78="block",'Reels'!D79*'Slots'!D25,0)+IF('Reels'!D106="block",'Reels'!D107*'Slots'!D25,0)</f>
        <v>1</v>
      </c>
      <c r="G298" t="b">
        <f>AND('Reels'!D63&lt;&gt;"blank",'Reels'!D63&lt;&gt;"class",'Reels'!D63='Reels'!D106,'Reels'!D64='Reels'!D107,OR('Reels'!D78="class",AND('Reels'!D78='Reels'!D63,'Reels'!D79='Reels'!D64)))</f>
        <v>0</v>
      </c>
      <c r="H298">
        <f>IF(G298,C298,0)</f>
        <v>0</v>
      </c>
    </row>
    <row r="299" spans="1:8" x14ac:dyDescent="0.25">
      <c r="A299" t="s">
        <v>247</v>
      </c>
      <c r="B299" t="s">
        <v>3650</v>
      </c>
      <c r="C299" s="4">
        <f>('Reels'!D65/('Reels'!D62+'Reels'!D65+'Reels'!D68+'Reels'!D71+'Reels'!D74+'Reels'!D77))*('Reels'!D80/('Reels'!D80+'Reels'!D83+'Reels'!D86+'Reels'!D89+'Reels'!D92+'Reels'!D95+'Reels'!D98))*('Reels'!D111/('Reels'!D102+'Reels'!D105+'Reels'!D108+'Reels'!D111+'Reels'!D114+'Reels'!D117))</f>
        <v>0.003927803235761714</v>
      </c>
      <c r="D299">
        <f>IF(OR('Reels'!D63="attack",'Reels'!D63="magic"),CHOOSE('Reels'!D64+1,'Slots'!D29,'Slots'!D30,'Slots'!D31,'Slots'!D32,'Slots'!D33),0)+IF(OR('Reels'!D78="attack",'Reels'!D78="magic"),CHOOSE('Reels'!D79+1,'Slots'!D29,'Slots'!D30,'Slots'!D31,'Slots'!D32,'Slots'!D33),0)+IF(OR('Reels'!D109="attack",'Reels'!D109="magic"),CHOOSE('Reels'!D110+1,'Slots'!D29,'Slots'!D30,'Slots'!D31,'Slots'!D32,'Slots'!D33),0)</f>
        <v>0</v>
      </c>
      <c r="E299">
        <f>IF('Reels'!D63="heal",'Reels'!D64*'Slots'!D24,0)+IF('Reels'!D78="heal",'Reels'!D79*'Slots'!D24,0)+IF('Reels'!D109="heal",'Reels'!D110*'Slots'!D24,0)</f>
        <v>6</v>
      </c>
      <c r="F299">
        <f>IF('Reels'!D63="block",'Reels'!D64*'Slots'!D25,0)+IF('Reels'!D78="block",'Reels'!D79*'Slots'!D25,0)+IF('Reels'!D109="block",'Reels'!D110*'Slots'!D25,0)</f>
        <v>0</v>
      </c>
      <c r="G299" t="b">
        <f>AND('Reels'!D63&lt;&gt;"blank",'Reels'!D63&lt;&gt;"class",'Reels'!D63='Reels'!D109,'Reels'!D64='Reels'!D110,OR('Reels'!D78="class",AND('Reels'!D78='Reels'!D63,'Reels'!D79='Reels'!D64)))</f>
        <v>0</v>
      </c>
      <c r="H299">
        <f>IF(G299,C299,0)</f>
        <v>0</v>
      </c>
    </row>
    <row r="300" spans="1:8" x14ac:dyDescent="0.25">
      <c r="A300" t="s">
        <v>247</v>
      </c>
      <c r="B300" t="s">
        <v>3651</v>
      </c>
      <c r="C300" s="4">
        <f>('Reels'!D65/('Reels'!D62+'Reels'!D65+'Reels'!D68+'Reels'!D71+'Reels'!D74+'Reels'!D77))*('Reels'!D80/('Reels'!D80+'Reels'!D83+'Reels'!D86+'Reels'!D89+'Reels'!D92+'Reels'!D95+'Reels'!D98))*('Reels'!D114/('Reels'!D102+'Reels'!D105+'Reels'!D108+'Reels'!D111+'Reels'!D114+'Reels'!D117))</f>
        <v>0.003927803235761714</v>
      </c>
      <c r="D300">
        <f>IF(OR('Reels'!D63="attack",'Reels'!D63="magic"),CHOOSE('Reels'!D64+1,'Slots'!D29,'Slots'!D30,'Slots'!D31,'Slots'!D32,'Slots'!D33),0)+IF(OR('Reels'!D78="attack",'Reels'!D78="magic"),CHOOSE('Reels'!D79+1,'Slots'!D29,'Slots'!D30,'Slots'!D31,'Slots'!D32,'Slots'!D33),0)+IF(OR('Reels'!D112="attack",'Reels'!D112="magic"),CHOOSE('Reels'!D113+1,'Slots'!D29,'Slots'!D30,'Slots'!D31,'Slots'!D32,'Slots'!D33),0)</f>
        <v>2</v>
      </c>
      <c r="E300">
        <f>IF('Reels'!D63="heal",'Reels'!D64*'Slots'!D24,0)+IF('Reels'!D78="heal",'Reels'!D79*'Slots'!D24,0)+IF('Reels'!D112="heal",'Reels'!D113*'Slots'!D24,0)</f>
        <v>6</v>
      </c>
      <c r="F300">
        <f>IF('Reels'!D63="block",'Reels'!D64*'Slots'!D25,0)+IF('Reels'!D78="block",'Reels'!D79*'Slots'!D25,0)+IF('Reels'!D112="block",'Reels'!D113*'Slots'!D25,0)</f>
        <v>0</v>
      </c>
      <c r="G300" t="b">
        <f>AND('Reels'!D63&lt;&gt;"blank",'Reels'!D63&lt;&gt;"class",'Reels'!D63='Reels'!D112,'Reels'!D64='Reels'!D113,OR('Reels'!D78="class",AND('Reels'!D78='Reels'!D63,'Reels'!D79='Reels'!D64)))</f>
        <v>0</v>
      </c>
      <c r="H300">
        <f>IF(G300,C300,0)</f>
        <v>0</v>
      </c>
    </row>
    <row r="301" spans="1:8" x14ac:dyDescent="0.25">
      <c r="A301" t="s">
        <v>247</v>
      </c>
      <c r="B301" t="s">
        <v>3652</v>
      </c>
      <c r="C301" s="4">
        <f>('Reels'!D65/('Reels'!D62+'Reels'!D65+'Reels'!D68+'Reels'!D71+'Reels'!D74+'Reels'!D77))*('Reels'!D80/('Reels'!D80+'Reels'!D83+'Reels'!D86+'Reels'!D89+'Reels'!D92+'Reels'!D95+'Reels'!D98))*('Reels'!D117/('Reels'!D102+'Reels'!D105+'Reels'!D108+'Reels'!D111+'Reels'!D114+'Reels'!D117))</f>
        <v>0.015711212943046855</v>
      </c>
      <c r="D301">
        <f>IF(OR('Reels'!D63="attack",'Reels'!D63="magic"),CHOOSE('Reels'!D64+1,'Slots'!D29,'Slots'!D30,'Slots'!D31,'Slots'!D32,'Slots'!D33),0)+IF(OR('Reels'!D78="attack",'Reels'!D78="magic"),CHOOSE('Reels'!D79+1,'Slots'!D29,'Slots'!D30,'Slots'!D31,'Slots'!D32,'Slots'!D33),0)+IF(OR('Reels'!D115="attack",'Reels'!D115="magic"),CHOOSE('Reels'!D116+1,'Slots'!D29,'Slots'!D30,'Slots'!D31,'Slots'!D32,'Slots'!D33),0)</f>
        <v>0</v>
      </c>
      <c r="E301">
        <f>IF('Reels'!D63="heal",'Reels'!D64*'Slots'!D24,0)+IF('Reels'!D78="heal",'Reels'!D79*'Slots'!D24,0)+IF('Reels'!D115="heal",'Reels'!D116*'Slots'!D24,0)</f>
        <v>6</v>
      </c>
      <c r="F301">
        <f>IF('Reels'!D63="block",'Reels'!D64*'Slots'!D25,0)+IF('Reels'!D78="block",'Reels'!D79*'Slots'!D25,0)+IF('Reels'!D115="block",'Reels'!D116*'Slots'!D25,0)</f>
        <v>0</v>
      </c>
      <c r="G301" t="b">
        <f>AND('Reels'!D63&lt;&gt;"blank",'Reels'!D63&lt;&gt;"class",'Reels'!D63='Reels'!D115,'Reels'!D64='Reels'!D116,OR('Reels'!D78="class",AND('Reels'!D78='Reels'!D63,'Reels'!D79='Reels'!D64)))</f>
        <v>0</v>
      </c>
      <c r="H301">
        <f>IF(G301,C301,0)</f>
        <v>0</v>
      </c>
    </row>
    <row r="302" spans="1:8" x14ac:dyDescent="0.25">
      <c r="A302" t="s">
        <v>247</v>
      </c>
      <c r="B302" t="s">
        <v>3653</v>
      </c>
      <c r="C302" s="4">
        <f>('Reels'!D65/('Reels'!D62+'Reels'!D65+'Reels'!D68+'Reels'!D71+'Reels'!D74+'Reels'!D77))*('Reels'!D83/('Reels'!D80+'Reels'!D83+'Reels'!D86+'Reels'!D89+'Reels'!D92+'Reels'!D95+'Reels'!D98))*('Reels'!D102/('Reels'!D102+'Reels'!D105+'Reels'!D108+'Reels'!D111+'Reels'!D114+'Reels'!D117))</f>
        <v>0.04713363882914056</v>
      </c>
      <c r="D302">
        <f>IF(OR('Reels'!D63="attack",'Reels'!D63="magic"),CHOOSE('Reels'!D64+1,'Slots'!D29,'Slots'!D30,'Slots'!D31,'Slots'!D32,'Slots'!D33),0)+IF(OR('Reels'!D81="attack",'Reels'!D81="magic"),CHOOSE('Reels'!D82+1,'Slots'!D29,'Slots'!D30,'Slots'!D31,'Slots'!D32,'Slots'!D33),0)+IF(OR('Reels'!D100="attack",'Reels'!D100="magic"),CHOOSE('Reels'!D101+1,'Slots'!D29,'Slots'!D30,'Slots'!D31,'Slots'!D32,'Slots'!D33),0)</f>
        <v>0</v>
      </c>
      <c r="E302">
        <f>IF('Reels'!D63="heal",'Reels'!D64*'Slots'!D24,0)+IF('Reels'!D81="heal",'Reels'!D82*'Slots'!D24,0)+IF('Reels'!D100="heal",'Reels'!D101*'Slots'!D24,0)</f>
        <v>10</v>
      </c>
      <c r="F302">
        <f>IF('Reels'!D63="block",'Reels'!D64*'Slots'!D25,0)+IF('Reels'!D81="block",'Reels'!D82*'Slots'!D25,0)+IF('Reels'!D100="block",'Reels'!D101*'Slots'!D25,0)</f>
        <v>0</v>
      </c>
      <c r="G302" t="b">
        <f>AND('Reels'!D63&lt;&gt;"blank",'Reels'!D63&lt;&gt;"class",'Reels'!D63='Reels'!D100,'Reels'!D64='Reels'!D101,OR('Reels'!D81="class",AND('Reels'!D81='Reels'!D63,'Reels'!D82='Reels'!D64)))</f>
        <v>0</v>
      </c>
      <c r="H302">
        <f>IF(G302,C302,0)</f>
        <v>0</v>
      </c>
    </row>
    <row r="303" spans="1:8" x14ac:dyDescent="0.25">
      <c r="A303" t="s">
        <v>247</v>
      </c>
      <c r="B303" t="s">
        <v>3654</v>
      </c>
      <c r="C303" s="4">
        <f>('Reels'!D65/('Reels'!D62+'Reels'!D65+'Reels'!D68+'Reels'!D71+'Reels'!D74+'Reels'!D77))*('Reels'!D83/('Reels'!D80+'Reels'!D83+'Reels'!D86+'Reels'!D89+'Reels'!D92+'Reels'!D95+'Reels'!D98))*('Reels'!D105/('Reels'!D102+'Reels'!D105+'Reels'!D108+'Reels'!D111+'Reels'!D114+'Reels'!D117))</f>
        <v>0.04040026185354905</v>
      </c>
      <c r="D303">
        <f>IF(OR('Reels'!D63="attack",'Reels'!D63="magic"),CHOOSE('Reels'!D64+1,'Slots'!D29,'Slots'!D30,'Slots'!D31,'Slots'!D32,'Slots'!D33),0)+IF(OR('Reels'!D81="attack",'Reels'!D81="magic"),CHOOSE('Reels'!D82+1,'Slots'!D29,'Slots'!D30,'Slots'!D31,'Slots'!D32,'Slots'!D33),0)+IF(OR('Reels'!D103="attack",'Reels'!D103="magic"),CHOOSE('Reels'!D104+1,'Slots'!D29,'Slots'!D30,'Slots'!D31,'Slots'!D32,'Slots'!D33),0)</f>
        <v>0</v>
      </c>
      <c r="E303">
        <f>IF('Reels'!D63="heal",'Reels'!D64*'Slots'!D24,0)+IF('Reels'!D81="heal",'Reels'!D82*'Slots'!D24,0)+IF('Reels'!D103="heal",'Reels'!D104*'Slots'!D24,0)</f>
        <v>12</v>
      </c>
      <c r="F303">
        <f>IF('Reels'!D63="block",'Reels'!D64*'Slots'!D25,0)+IF('Reels'!D81="block",'Reels'!D82*'Slots'!D25,0)+IF('Reels'!D103="block",'Reels'!D104*'Slots'!D25,0)</f>
        <v>0</v>
      </c>
      <c r="G303" t="b">
        <f>AND('Reels'!D63&lt;&gt;"blank",'Reels'!D63&lt;&gt;"class",'Reels'!D63='Reels'!D103,'Reels'!D64='Reels'!D104,OR('Reels'!D81="class",AND('Reels'!D81='Reels'!D63,'Reels'!D82='Reels'!D64)))</f>
        <v>1</v>
      </c>
      <c r="H303">
        <f>IF(G303,C303,0)</f>
        <v>0.04040026185354905</v>
      </c>
    </row>
    <row r="304" spans="1:8" x14ac:dyDescent="0.25">
      <c r="A304" t="s">
        <v>247</v>
      </c>
      <c r="B304" t="s">
        <v>3655</v>
      </c>
      <c r="C304" s="4">
        <f>('Reels'!D65/('Reels'!D62+'Reels'!D65+'Reels'!D68+'Reels'!D71+'Reels'!D74+'Reels'!D77))*('Reels'!D83/('Reels'!D80+'Reels'!D83+'Reels'!D86+'Reels'!D89+'Reels'!D92+'Reels'!D95+'Reels'!D98))*('Reels'!D108/('Reels'!D102+'Reels'!D105+'Reels'!D108+'Reels'!D111+'Reels'!D114+'Reels'!D117))</f>
        <v>0.006733376975591509</v>
      </c>
      <c r="D304">
        <f>IF(OR('Reels'!D63="attack",'Reels'!D63="magic"),CHOOSE('Reels'!D64+1,'Slots'!D29,'Slots'!D30,'Slots'!D31,'Slots'!D32,'Slots'!D33),0)+IF(OR('Reels'!D81="attack",'Reels'!D81="magic"),CHOOSE('Reels'!D82+1,'Slots'!D29,'Slots'!D30,'Slots'!D31,'Slots'!D32,'Slots'!D33),0)+IF(OR('Reels'!D106="attack",'Reels'!D106="magic"),CHOOSE('Reels'!D107+1,'Slots'!D29,'Slots'!D30,'Slots'!D31,'Slots'!D32,'Slots'!D33),0)</f>
        <v>0</v>
      </c>
      <c r="E304">
        <f>IF('Reels'!D63="heal",'Reels'!D64*'Slots'!D24,0)+IF('Reels'!D81="heal",'Reels'!D82*'Slots'!D24,0)+IF('Reels'!D106="heal",'Reels'!D107*'Slots'!D24,0)</f>
        <v>8</v>
      </c>
      <c r="F304">
        <f>IF('Reels'!D63="block",'Reels'!D64*'Slots'!D25,0)+IF('Reels'!D81="block",'Reels'!D82*'Slots'!D25,0)+IF('Reels'!D106="block",'Reels'!D107*'Slots'!D25,0)</f>
        <v>1</v>
      </c>
      <c r="G304" t="b">
        <f>AND('Reels'!D63&lt;&gt;"blank",'Reels'!D63&lt;&gt;"class",'Reels'!D63='Reels'!D106,'Reels'!D64='Reels'!D107,OR('Reels'!D81="class",AND('Reels'!D81='Reels'!D63,'Reels'!D82='Reels'!D64)))</f>
        <v>0</v>
      </c>
      <c r="H304">
        <f>IF(G304,C304,0)</f>
        <v>0</v>
      </c>
    </row>
    <row r="305" spans="1:8" x14ac:dyDescent="0.25">
      <c r="A305" t="s">
        <v>247</v>
      </c>
      <c r="B305" t="s">
        <v>3656</v>
      </c>
      <c r="C305" s="4">
        <f>('Reels'!D65/('Reels'!D62+'Reels'!D65+'Reels'!D68+'Reels'!D71+'Reels'!D74+'Reels'!D77))*('Reels'!D83/('Reels'!D80+'Reels'!D83+'Reels'!D86+'Reels'!D89+'Reels'!D92+'Reels'!D95+'Reels'!D98))*('Reels'!D111/('Reels'!D102+'Reels'!D105+'Reels'!D108+'Reels'!D111+'Reels'!D114+'Reels'!D117))</f>
        <v>0.0033666884877957544</v>
      </c>
      <c r="D305">
        <f>IF(OR('Reels'!D63="attack",'Reels'!D63="magic"),CHOOSE('Reels'!D64+1,'Slots'!D29,'Slots'!D30,'Slots'!D31,'Slots'!D32,'Slots'!D33),0)+IF(OR('Reels'!D81="attack",'Reels'!D81="magic"),CHOOSE('Reels'!D82+1,'Slots'!D29,'Slots'!D30,'Slots'!D31,'Slots'!D32,'Slots'!D33),0)+IF(OR('Reels'!D109="attack",'Reels'!D109="magic"),CHOOSE('Reels'!D110+1,'Slots'!D29,'Slots'!D30,'Slots'!D31,'Slots'!D32,'Slots'!D33),0)</f>
        <v>0</v>
      </c>
      <c r="E305">
        <f>IF('Reels'!D63="heal",'Reels'!D64*'Slots'!D24,0)+IF('Reels'!D81="heal",'Reels'!D82*'Slots'!D24,0)+IF('Reels'!D109="heal",'Reels'!D110*'Slots'!D24,0)</f>
        <v>8</v>
      </c>
      <c r="F305">
        <f>IF('Reels'!D63="block",'Reels'!D64*'Slots'!D25,0)+IF('Reels'!D81="block",'Reels'!D82*'Slots'!D25,0)+IF('Reels'!D109="block",'Reels'!D110*'Slots'!D25,0)</f>
        <v>0</v>
      </c>
      <c r="G305" t="b">
        <f>AND('Reels'!D63&lt;&gt;"blank",'Reels'!D63&lt;&gt;"class",'Reels'!D63='Reels'!D109,'Reels'!D64='Reels'!D110,OR('Reels'!D81="class",AND('Reels'!D81='Reels'!D63,'Reels'!D82='Reels'!D64)))</f>
        <v>0</v>
      </c>
      <c r="H305">
        <f>IF(G305,C305,0)</f>
        <v>0</v>
      </c>
    </row>
    <row r="306" spans="1:8" x14ac:dyDescent="0.25">
      <c r="A306" t="s">
        <v>247</v>
      </c>
      <c r="B306" t="s">
        <v>3657</v>
      </c>
      <c r="C306" s="4">
        <f>('Reels'!D65/('Reels'!D62+'Reels'!D65+'Reels'!D68+'Reels'!D71+'Reels'!D74+'Reels'!D77))*('Reels'!D83/('Reels'!D80+'Reels'!D83+'Reels'!D86+'Reels'!D89+'Reels'!D92+'Reels'!D95+'Reels'!D98))*('Reels'!D114/('Reels'!D102+'Reels'!D105+'Reels'!D108+'Reels'!D111+'Reels'!D114+'Reels'!D117))</f>
        <v>0.0033666884877957544</v>
      </c>
      <c r="D306">
        <f>IF(OR('Reels'!D63="attack",'Reels'!D63="magic"),CHOOSE('Reels'!D64+1,'Slots'!D29,'Slots'!D30,'Slots'!D31,'Slots'!D32,'Slots'!D33),0)+IF(OR('Reels'!D81="attack",'Reels'!D81="magic"),CHOOSE('Reels'!D82+1,'Slots'!D29,'Slots'!D30,'Slots'!D31,'Slots'!D32,'Slots'!D33),0)+IF(OR('Reels'!D112="attack",'Reels'!D112="magic"),CHOOSE('Reels'!D113+1,'Slots'!D29,'Slots'!D30,'Slots'!D31,'Slots'!D32,'Slots'!D33),0)</f>
        <v>2</v>
      </c>
      <c r="E306">
        <f>IF('Reels'!D63="heal",'Reels'!D64*'Slots'!D24,0)+IF('Reels'!D81="heal",'Reels'!D82*'Slots'!D24,0)+IF('Reels'!D112="heal",'Reels'!D113*'Slots'!D24,0)</f>
        <v>8</v>
      </c>
      <c r="F306">
        <f>IF('Reels'!D63="block",'Reels'!D64*'Slots'!D25,0)+IF('Reels'!D81="block",'Reels'!D82*'Slots'!D25,0)+IF('Reels'!D112="block",'Reels'!D113*'Slots'!D25,0)</f>
        <v>0</v>
      </c>
      <c r="G306" t="b">
        <f>AND('Reels'!D63&lt;&gt;"blank",'Reels'!D63&lt;&gt;"class",'Reels'!D63='Reels'!D112,'Reels'!D64='Reels'!D113,OR('Reels'!D81="class",AND('Reels'!D81='Reels'!D63,'Reels'!D82='Reels'!D64)))</f>
        <v>0</v>
      </c>
      <c r="H306">
        <f>IF(G306,C306,0)</f>
        <v>0</v>
      </c>
    </row>
    <row r="307" spans="1:8" x14ac:dyDescent="0.25">
      <c r="A307" t="s">
        <v>247</v>
      </c>
      <c r="B307" t="s">
        <v>3658</v>
      </c>
      <c r="C307" s="4">
        <f>('Reels'!D65/('Reels'!D62+'Reels'!D65+'Reels'!D68+'Reels'!D71+'Reels'!D74+'Reels'!D77))*('Reels'!D83/('Reels'!D80+'Reels'!D83+'Reels'!D86+'Reels'!D89+'Reels'!D92+'Reels'!D95+'Reels'!D98))*('Reels'!D117/('Reels'!D102+'Reels'!D105+'Reels'!D108+'Reels'!D111+'Reels'!D114+'Reels'!D117))</f>
        <v>0.013466753951183017</v>
      </c>
      <c r="D307">
        <f>IF(OR('Reels'!D63="attack",'Reels'!D63="magic"),CHOOSE('Reels'!D64+1,'Slots'!D29,'Slots'!D30,'Slots'!D31,'Slots'!D32,'Slots'!D33),0)+IF(OR('Reels'!D81="attack",'Reels'!D81="magic"),CHOOSE('Reels'!D82+1,'Slots'!D29,'Slots'!D30,'Slots'!D31,'Slots'!D32,'Slots'!D33),0)+IF(OR('Reels'!D115="attack",'Reels'!D115="magic"),CHOOSE('Reels'!D116+1,'Slots'!D29,'Slots'!D30,'Slots'!D31,'Slots'!D32,'Slots'!D33),0)</f>
        <v>0</v>
      </c>
      <c r="E307">
        <f>IF('Reels'!D63="heal",'Reels'!D64*'Slots'!D24,0)+IF('Reels'!D81="heal",'Reels'!D82*'Slots'!D24,0)+IF('Reels'!D115="heal",'Reels'!D116*'Slots'!D24,0)</f>
        <v>8</v>
      </c>
      <c r="F307">
        <f>IF('Reels'!D63="block",'Reels'!D64*'Slots'!D25,0)+IF('Reels'!D81="block",'Reels'!D82*'Slots'!D25,0)+IF('Reels'!D115="block",'Reels'!D116*'Slots'!D25,0)</f>
        <v>0</v>
      </c>
      <c r="G307" t="b">
        <f>AND('Reels'!D63&lt;&gt;"blank",'Reels'!D63&lt;&gt;"class",'Reels'!D63='Reels'!D115,'Reels'!D64='Reels'!D116,OR('Reels'!D81="class",AND('Reels'!D81='Reels'!D63,'Reels'!D82='Reels'!D64)))</f>
        <v>0</v>
      </c>
      <c r="H307">
        <f>IF(G307,C307,0)</f>
        <v>0</v>
      </c>
    </row>
    <row r="308" spans="1:8" x14ac:dyDescent="0.25">
      <c r="A308" t="s">
        <v>247</v>
      </c>
      <c r="B308" t="s">
        <v>3659</v>
      </c>
      <c r="C308" s="4">
        <f>('Reels'!D65/('Reels'!D62+'Reels'!D65+'Reels'!D68+'Reels'!D71+'Reels'!D74+'Reels'!D77))*('Reels'!D86/('Reels'!D80+'Reels'!D83+'Reels'!D86+'Reels'!D89+'Reels'!D92+'Reels'!D95+'Reels'!D98))*('Reels'!D102/('Reels'!D102+'Reels'!D105+'Reels'!D108+'Reels'!D111+'Reels'!D114+'Reels'!D117))</f>
        <v>0.007855606471523427</v>
      </c>
      <c r="D308">
        <f>IF(OR('Reels'!D63="attack",'Reels'!D63="magic"),CHOOSE('Reels'!D64+1,'Slots'!D29,'Slots'!D30,'Slots'!D31,'Slots'!D32,'Slots'!D33),0)+IF(OR('Reels'!D84="attack",'Reels'!D84="magic"),CHOOSE('Reels'!D85+1,'Slots'!D29,'Slots'!D30,'Slots'!D31,'Slots'!D32,'Slots'!D33),0)+IF(OR('Reels'!D100="attack",'Reels'!D100="magic"),CHOOSE('Reels'!D101+1,'Slots'!D29,'Slots'!D30,'Slots'!D31,'Slots'!D32,'Slots'!D33),0)</f>
        <v>0</v>
      </c>
      <c r="E308">
        <f>IF('Reels'!D63="heal",'Reels'!D64*'Slots'!D24,0)+IF('Reels'!D84="heal",'Reels'!D85*'Slots'!D24,0)+IF('Reels'!D100="heal",'Reels'!D101*'Slots'!D24,0)</f>
        <v>6</v>
      </c>
      <c r="F308">
        <f>IF('Reels'!D63="block",'Reels'!D64*'Slots'!D25,0)+IF('Reels'!D84="block",'Reels'!D85*'Slots'!D25,0)+IF('Reels'!D100="block",'Reels'!D101*'Slots'!D25,0)</f>
        <v>1</v>
      </c>
      <c r="G308" t="b">
        <f>AND('Reels'!D63&lt;&gt;"blank",'Reels'!D63&lt;&gt;"class",'Reels'!D63='Reels'!D100,'Reels'!D64='Reels'!D101,OR('Reels'!D84="class",AND('Reels'!D84='Reels'!D63,'Reels'!D85='Reels'!D64)))</f>
        <v>0</v>
      </c>
      <c r="H308">
        <f>IF(G308,C308,0)</f>
        <v>0</v>
      </c>
    </row>
    <row r="309" spans="1:8" x14ac:dyDescent="0.25">
      <c r="A309" t="s">
        <v>247</v>
      </c>
      <c r="B309" t="s">
        <v>3660</v>
      </c>
      <c r="C309" s="4">
        <f>('Reels'!D65/('Reels'!D62+'Reels'!D65+'Reels'!D68+'Reels'!D71+'Reels'!D74+'Reels'!D77))*('Reels'!D86/('Reels'!D80+'Reels'!D83+'Reels'!D86+'Reels'!D89+'Reels'!D92+'Reels'!D95+'Reels'!D98))*('Reels'!D105/('Reels'!D102+'Reels'!D105+'Reels'!D108+'Reels'!D111+'Reels'!D114+'Reels'!D117))</f>
        <v>0.00673337697559151</v>
      </c>
      <c r="D309">
        <f>IF(OR('Reels'!D63="attack",'Reels'!D63="magic"),CHOOSE('Reels'!D64+1,'Slots'!D29,'Slots'!D30,'Slots'!D31,'Slots'!D32,'Slots'!D33),0)+IF(OR('Reels'!D84="attack",'Reels'!D84="magic"),CHOOSE('Reels'!D85+1,'Slots'!D29,'Slots'!D30,'Slots'!D31,'Slots'!D32,'Slots'!D33),0)+IF(OR('Reels'!D103="attack",'Reels'!D103="magic"),CHOOSE('Reels'!D104+1,'Slots'!D29,'Slots'!D30,'Slots'!D31,'Slots'!D32,'Slots'!D33),0)</f>
        <v>0</v>
      </c>
      <c r="E309">
        <f>IF('Reels'!D63="heal",'Reels'!D64*'Slots'!D24,0)+IF('Reels'!D84="heal",'Reels'!D85*'Slots'!D24,0)+IF('Reels'!D103="heal",'Reels'!D104*'Slots'!D24,0)</f>
        <v>8</v>
      </c>
      <c r="F309">
        <f>IF('Reels'!D63="block",'Reels'!D64*'Slots'!D25,0)+IF('Reels'!D84="block",'Reels'!D85*'Slots'!D25,0)+IF('Reels'!D103="block",'Reels'!D104*'Slots'!D25,0)</f>
        <v>1</v>
      </c>
      <c r="G309" t="b">
        <f>AND('Reels'!D63&lt;&gt;"blank",'Reels'!D63&lt;&gt;"class",'Reels'!D63='Reels'!D103,'Reels'!D64='Reels'!D104,OR('Reels'!D84="class",AND('Reels'!D84='Reels'!D63,'Reels'!D85='Reels'!D64)))</f>
        <v>0</v>
      </c>
      <c r="H309">
        <f>IF(G309,C309,0)</f>
        <v>0</v>
      </c>
    </row>
    <row r="310" spans="1:8" x14ac:dyDescent="0.25">
      <c r="A310" t="s">
        <v>247</v>
      </c>
      <c r="B310" t="s">
        <v>3661</v>
      </c>
      <c r="C310" s="4">
        <f>('Reels'!D65/('Reels'!D62+'Reels'!D65+'Reels'!D68+'Reels'!D71+'Reels'!D74+'Reels'!D77))*('Reels'!D86/('Reels'!D80+'Reels'!D83+'Reels'!D86+'Reels'!D89+'Reels'!D92+'Reels'!D95+'Reels'!D98))*('Reels'!D108/('Reels'!D102+'Reels'!D105+'Reels'!D108+'Reels'!D111+'Reels'!D114+'Reels'!D117))</f>
        <v>0.0011222294959319181</v>
      </c>
      <c r="D310">
        <f>IF(OR('Reels'!D63="attack",'Reels'!D63="magic"),CHOOSE('Reels'!D64+1,'Slots'!D29,'Slots'!D30,'Slots'!D31,'Slots'!D32,'Slots'!D33),0)+IF(OR('Reels'!D84="attack",'Reels'!D84="magic"),CHOOSE('Reels'!D85+1,'Slots'!D29,'Slots'!D30,'Slots'!D31,'Slots'!D32,'Slots'!D33),0)+IF(OR('Reels'!D106="attack",'Reels'!D106="magic"),CHOOSE('Reels'!D107+1,'Slots'!D29,'Slots'!D30,'Slots'!D31,'Slots'!D32,'Slots'!D33),0)</f>
        <v>0</v>
      </c>
      <c r="E310">
        <f>IF('Reels'!D63="heal",'Reels'!D64*'Slots'!D24,0)+IF('Reels'!D84="heal",'Reels'!D85*'Slots'!D24,0)+IF('Reels'!D106="heal",'Reels'!D107*'Slots'!D24,0)</f>
        <v>4</v>
      </c>
      <c r="F310">
        <f>IF('Reels'!D63="block",'Reels'!D64*'Slots'!D25,0)+IF('Reels'!D84="block",'Reels'!D85*'Slots'!D25,0)+IF('Reels'!D106="block",'Reels'!D107*'Slots'!D25,0)</f>
        <v>2</v>
      </c>
      <c r="G310" t="b">
        <f>AND('Reels'!D63&lt;&gt;"blank",'Reels'!D63&lt;&gt;"class",'Reels'!D63='Reels'!D106,'Reels'!D64='Reels'!D107,OR('Reels'!D84="class",AND('Reels'!D84='Reels'!D63,'Reels'!D85='Reels'!D64)))</f>
        <v>0</v>
      </c>
      <c r="H310">
        <f>IF(G310,C310,0)</f>
        <v>0</v>
      </c>
    </row>
    <row r="311" spans="1:8" x14ac:dyDescent="0.25">
      <c r="A311" t="s">
        <v>247</v>
      </c>
      <c r="B311" t="s">
        <v>3662</v>
      </c>
      <c r="C311" s="4">
        <f>('Reels'!D65/('Reels'!D62+'Reels'!D65+'Reels'!D68+'Reels'!D71+'Reels'!D74+'Reels'!D77))*('Reels'!D86/('Reels'!D80+'Reels'!D83+'Reels'!D86+'Reels'!D89+'Reels'!D92+'Reels'!D95+'Reels'!D98))*('Reels'!D111/('Reels'!D102+'Reels'!D105+'Reels'!D108+'Reels'!D111+'Reels'!D114+'Reels'!D117))</f>
        <v>0.0005611147479659591</v>
      </c>
      <c r="D311">
        <f>IF(OR('Reels'!D63="attack",'Reels'!D63="magic"),CHOOSE('Reels'!D64+1,'Slots'!D29,'Slots'!D30,'Slots'!D31,'Slots'!D32,'Slots'!D33),0)+IF(OR('Reels'!D84="attack",'Reels'!D84="magic"),CHOOSE('Reels'!D85+1,'Slots'!D29,'Slots'!D30,'Slots'!D31,'Slots'!D32,'Slots'!D33),0)+IF(OR('Reels'!D109="attack",'Reels'!D109="magic"),CHOOSE('Reels'!D110+1,'Slots'!D29,'Slots'!D30,'Slots'!D31,'Slots'!D32,'Slots'!D33),0)</f>
        <v>0</v>
      </c>
      <c r="E311">
        <f>IF('Reels'!D63="heal",'Reels'!D64*'Slots'!D24,0)+IF('Reels'!D84="heal",'Reels'!D85*'Slots'!D24,0)+IF('Reels'!D109="heal",'Reels'!D110*'Slots'!D24,0)</f>
        <v>4</v>
      </c>
      <c r="F311">
        <f>IF('Reels'!D63="block",'Reels'!D64*'Slots'!D25,0)+IF('Reels'!D84="block",'Reels'!D85*'Slots'!D25,0)+IF('Reels'!D109="block",'Reels'!D110*'Slots'!D25,0)</f>
        <v>1</v>
      </c>
      <c r="G311" t="b">
        <f>AND('Reels'!D63&lt;&gt;"blank",'Reels'!D63&lt;&gt;"class",'Reels'!D63='Reels'!D109,'Reels'!D64='Reels'!D110,OR('Reels'!D84="class",AND('Reels'!D84='Reels'!D63,'Reels'!D85='Reels'!D64)))</f>
        <v>0</v>
      </c>
      <c r="H311">
        <f>IF(G311,C311,0)</f>
        <v>0</v>
      </c>
    </row>
    <row r="312" spans="1:8" x14ac:dyDescent="0.25">
      <c r="A312" t="s">
        <v>247</v>
      </c>
      <c r="B312" t="s">
        <v>3663</v>
      </c>
      <c r="C312" s="4">
        <f>('Reels'!D65/('Reels'!D62+'Reels'!D65+'Reels'!D68+'Reels'!D71+'Reels'!D74+'Reels'!D77))*('Reels'!D86/('Reels'!D80+'Reels'!D83+'Reels'!D86+'Reels'!D89+'Reels'!D92+'Reels'!D95+'Reels'!D98))*('Reels'!D114/('Reels'!D102+'Reels'!D105+'Reels'!D108+'Reels'!D111+'Reels'!D114+'Reels'!D117))</f>
        <v>0.0005611147479659591</v>
      </c>
      <c r="D312">
        <f>IF(OR('Reels'!D63="attack",'Reels'!D63="magic"),CHOOSE('Reels'!D64+1,'Slots'!D29,'Slots'!D30,'Slots'!D31,'Slots'!D32,'Slots'!D33),0)+IF(OR('Reels'!D84="attack",'Reels'!D84="magic"),CHOOSE('Reels'!D85+1,'Slots'!D29,'Slots'!D30,'Slots'!D31,'Slots'!D32,'Slots'!D33),0)+IF(OR('Reels'!D112="attack",'Reels'!D112="magic"),CHOOSE('Reels'!D113+1,'Slots'!D29,'Slots'!D30,'Slots'!D31,'Slots'!D32,'Slots'!D33),0)</f>
        <v>2</v>
      </c>
      <c r="E312">
        <f>IF('Reels'!D63="heal",'Reels'!D64*'Slots'!D24,0)+IF('Reels'!D84="heal",'Reels'!D85*'Slots'!D24,0)+IF('Reels'!D112="heal",'Reels'!D113*'Slots'!D24,0)</f>
        <v>4</v>
      </c>
      <c r="F312">
        <f>IF('Reels'!D63="block",'Reels'!D64*'Slots'!D25,0)+IF('Reels'!D84="block",'Reels'!D85*'Slots'!D25,0)+IF('Reels'!D112="block",'Reels'!D113*'Slots'!D25,0)</f>
        <v>1</v>
      </c>
      <c r="G312" t="b">
        <f>AND('Reels'!D63&lt;&gt;"blank",'Reels'!D63&lt;&gt;"class",'Reels'!D63='Reels'!D112,'Reels'!D64='Reels'!D113,OR('Reels'!D84="class",AND('Reels'!D84='Reels'!D63,'Reels'!D85='Reels'!D64)))</f>
        <v>0</v>
      </c>
      <c r="H312">
        <f>IF(G312,C312,0)</f>
        <v>0</v>
      </c>
    </row>
    <row r="313" spans="1:8" x14ac:dyDescent="0.25">
      <c r="A313" t="s">
        <v>247</v>
      </c>
      <c r="B313" t="s">
        <v>3664</v>
      </c>
      <c r="C313" s="4">
        <f>('Reels'!D65/('Reels'!D62+'Reels'!D65+'Reels'!D68+'Reels'!D71+'Reels'!D74+'Reels'!D77))*('Reels'!D86/('Reels'!D80+'Reels'!D83+'Reels'!D86+'Reels'!D89+'Reels'!D92+'Reels'!D95+'Reels'!D98))*('Reels'!D117/('Reels'!D102+'Reels'!D105+'Reels'!D108+'Reels'!D111+'Reels'!D114+'Reels'!D117))</f>
        <v>0.0022444589918638362</v>
      </c>
      <c r="D313">
        <f>IF(OR('Reels'!D63="attack",'Reels'!D63="magic"),CHOOSE('Reels'!D64+1,'Slots'!D29,'Slots'!D30,'Slots'!D31,'Slots'!D32,'Slots'!D33),0)+IF(OR('Reels'!D84="attack",'Reels'!D84="magic"),CHOOSE('Reels'!D85+1,'Slots'!D29,'Slots'!D30,'Slots'!D31,'Slots'!D32,'Slots'!D33),0)+IF(OR('Reels'!D115="attack",'Reels'!D115="magic"),CHOOSE('Reels'!D116+1,'Slots'!D29,'Slots'!D30,'Slots'!D31,'Slots'!D32,'Slots'!D33),0)</f>
        <v>0</v>
      </c>
      <c r="E313">
        <f>IF('Reels'!D63="heal",'Reels'!D64*'Slots'!D24,0)+IF('Reels'!D84="heal",'Reels'!D85*'Slots'!D24,0)+IF('Reels'!D115="heal",'Reels'!D116*'Slots'!D24,0)</f>
        <v>4</v>
      </c>
      <c r="F313">
        <f>IF('Reels'!D63="block",'Reels'!D64*'Slots'!D25,0)+IF('Reels'!D84="block",'Reels'!D85*'Slots'!D25,0)+IF('Reels'!D115="block",'Reels'!D116*'Slots'!D25,0)</f>
        <v>1</v>
      </c>
      <c r="G313" t="b">
        <f>AND('Reels'!D63&lt;&gt;"blank",'Reels'!D63&lt;&gt;"class",'Reels'!D63='Reels'!D115,'Reels'!D64='Reels'!D116,OR('Reels'!D84="class",AND('Reels'!D84='Reels'!D63,'Reels'!D85='Reels'!D64)))</f>
        <v>0</v>
      </c>
      <c r="H313">
        <f>IF(G313,C313,0)</f>
        <v>0</v>
      </c>
    </row>
    <row r="314" spans="1:8" x14ac:dyDescent="0.25">
      <c r="A314" t="s">
        <v>247</v>
      </c>
      <c r="B314" t="s">
        <v>3665</v>
      </c>
      <c r="C314" s="4">
        <f>('Reels'!D65/('Reels'!D62+'Reels'!D65+'Reels'!D68+'Reels'!D71+'Reels'!D74+'Reels'!D77))*('Reels'!D89/('Reels'!D80+'Reels'!D83+'Reels'!D86+'Reels'!D89+'Reels'!D92+'Reels'!D95+'Reels'!D98))*('Reels'!D102/('Reels'!D102+'Reels'!D105+'Reels'!D108+'Reels'!D111+'Reels'!D114+'Reels'!D117))</f>
        <v>0.003927803235761714</v>
      </c>
      <c r="D314">
        <f>IF(OR('Reels'!D63="attack",'Reels'!D63="magic"),CHOOSE('Reels'!D64+1,'Slots'!D29,'Slots'!D30,'Slots'!D31,'Slots'!D32,'Slots'!D33),0)+IF(OR('Reels'!D87="attack",'Reels'!D87="magic"),CHOOSE('Reels'!D88+1,'Slots'!D29,'Slots'!D30,'Slots'!D31,'Slots'!D32,'Slots'!D33),0)+IF(OR('Reels'!D100="attack",'Reels'!D100="magic"),CHOOSE('Reels'!D101+1,'Slots'!D29,'Slots'!D30,'Slots'!D31,'Slots'!D32,'Slots'!D33),0)</f>
        <v>0</v>
      </c>
      <c r="E314">
        <f>IF('Reels'!D63="heal",'Reels'!D64*'Slots'!D24,0)+IF('Reels'!D87="heal",'Reels'!D88*'Slots'!D24,0)+IF('Reels'!D100="heal",'Reels'!D101*'Slots'!D24,0)</f>
        <v>6</v>
      </c>
      <c r="F314">
        <f>IF('Reels'!D63="block",'Reels'!D64*'Slots'!D25,0)+IF('Reels'!D87="block",'Reels'!D88*'Slots'!D25,0)+IF('Reels'!D100="block",'Reels'!D101*'Slots'!D25,0)</f>
        <v>0</v>
      </c>
      <c r="G314" t="b">
        <f>AND('Reels'!D63&lt;&gt;"blank",'Reels'!D63&lt;&gt;"class",'Reels'!D63='Reels'!D100,'Reels'!D64='Reels'!D101,OR('Reels'!D87="class",AND('Reels'!D87='Reels'!D63,'Reels'!D88='Reels'!D64)))</f>
        <v>0</v>
      </c>
      <c r="H314">
        <f>IF(G314,C314,0)</f>
        <v>0</v>
      </c>
    </row>
    <row r="315" spans="1:8" x14ac:dyDescent="0.25">
      <c r="A315" t="s">
        <v>247</v>
      </c>
      <c r="B315" t="s">
        <v>3666</v>
      </c>
      <c r="C315" s="4">
        <f>('Reels'!D65/('Reels'!D62+'Reels'!D65+'Reels'!D68+'Reels'!D71+'Reels'!D74+'Reels'!D77))*('Reels'!D89/('Reels'!D80+'Reels'!D83+'Reels'!D86+'Reels'!D89+'Reels'!D92+'Reels'!D95+'Reels'!D98))*('Reels'!D105/('Reels'!D102+'Reels'!D105+'Reels'!D108+'Reels'!D111+'Reels'!D114+'Reels'!D117))</f>
        <v>0.003366688487795755</v>
      </c>
      <c r="D315">
        <f>IF(OR('Reels'!D63="attack",'Reels'!D63="magic"),CHOOSE('Reels'!D64+1,'Slots'!D29,'Slots'!D30,'Slots'!D31,'Slots'!D32,'Slots'!D33),0)+IF(OR('Reels'!D87="attack",'Reels'!D87="magic"),CHOOSE('Reels'!D88+1,'Slots'!D29,'Slots'!D30,'Slots'!D31,'Slots'!D32,'Slots'!D33),0)+IF(OR('Reels'!D103="attack",'Reels'!D103="magic"),CHOOSE('Reels'!D104+1,'Slots'!D29,'Slots'!D30,'Slots'!D31,'Slots'!D32,'Slots'!D33),0)</f>
        <v>0</v>
      </c>
      <c r="E315">
        <f>IF('Reels'!D63="heal",'Reels'!D64*'Slots'!D24,0)+IF('Reels'!D87="heal",'Reels'!D88*'Slots'!D24,0)+IF('Reels'!D103="heal",'Reels'!D104*'Slots'!D24,0)</f>
        <v>8</v>
      </c>
      <c r="F315">
        <f>IF('Reels'!D63="block",'Reels'!D64*'Slots'!D25,0)+IF('Reels'!D87="block",'Reels'!D88*'Slots'!D25,0)+IF('Reels'!D103="block",'Reels'!D104*'Slots'!D25,0)</f>
        <v>0</v>
      </c>
      <c r="G315" t="b">
        <f>AND('Reels'!D63&lt;&gt;"blank",'Reels'!D63&lt;&gt;"class",'Reels'!D63='Reels'!D103,'Reels'!D64='Reels'!D104,OR('Reels'!D87="class",AND('Reels'!D87='Reels'!D63,'Reels'!D88='Reels'!D64)))</f>
        <v>0</v>
      </c>
      <c r="H315">
        <f>IF(G315,C315,0)</f>
        <v>0</v>
      </c>
    </row>
    <row r="316" spans="1:8" x14ac:dyDescent="0.25">
      <c r="A316" t="s">
        <v>247</v>
      </c>
      <c r="B316" t="s">
        <v>3667</v>
      </c>
      <c r="C316" s="4">
        <f>('Reels'!D65/('Reels'!D62+'Reels'!D65+'Reels'!D68+'Reels'!D71+'Reels'!D74+'Reels'!D77))*('Reels'!D89/('Reels'!D80+'Reels'!D83+'Reels'!D86+'Reels'!D89+'Reels'!D92+'Reels'!D95+'Reels'!D98))*('Reels'!D108/('Reels'!D102+'Reels'!D105+'Reels'!D108+'Reels'!D111+'Reels'!D114+'Reels'!D117))</f>
        <v>0.0005611147479659591</v>
      </c>
      <c r="D316">
        <f>IF(OR('Reels'!D63="attack",'Reels'!D63="magic"),CHOOSE('Reels'!D64+1,'Slots'!D29,'Slots'!D30,'Slots'!D31,'Slots'!D32,'Slots'!D33),0)+IF(OR('Reels'!D87="attack",'Reels'!D87="magic"),CHOOSE('Reels'!D88+1,'Slots'!D29,'Slots'!D30,'Slots'!D31,'Slots'!D32,'Slots'!D33),0)+IF(OR('Reels'!D106="attack",'Reels'!D106="magic"),CHOOSE('Reels'!D107+1,'Slots'!D29,'Slots'!D30,'Slots'!D31,'Slots'!D32,'Slots'!D33),0)</f>
        <v>0</v>
      </c>
      <c r="E316">
        <f>IF('Reels'!D63="heal",'Reels'!D64*'Slots'!D24,0)+IF('Reels'!D87="heal",'Reels'!D88*'Slots'!D24,0)+IF('Reels'!D106="heal",'Reels'!D107*'Slots'!D24,0)</f>
        <v>4</v>
      </c>
      <c r="F316">
        <f>IF('Reels'!D63="block",'Reels'!D64*'Slots'!D25,0)+IF('Reels'!D87="block",'Reels'!D88*'Slots'!D25,0)+IF('Reels'!D106="block",'Reels'!D107*'Slots'!D25,0)</f>
        <v>1</v>
      </c>
      <c r="G316" t="b">
        <f>AND('Reels'!D63&lt;&gt;"blank",'Reels'!D63&lt;&gt;"class",'Reels'!D63='Reels'!D106,'Reels'!D64='Reels'!D107,OR('Reels'!D87="class",AND('Reels'!D87='Reels'!D63,'Reels'!D88='Reels'!D64)))</f>
        <v>0</v>
      </c>
      <c r="H316">
        <f>IF(G316,C316,0)</f>
        <v>0</v>
      </c>
    </row>
    <row r="317" spans="1:8" x14ac:dyDescent="0.25">
      <c r="A317" t="s">
        <v>247</v>
      </c>
      <c r="B317" t="s">
        <v>3668</v>
      </c>
      <c r="C317" s="4">
        <f>('Reels'!D65/('Reels'!D62+'Reels'!D65+'Reels'!D68+'Reels'!D71+'Reels'!D74+'Reels'!D77))*('Reels'!D89/('Reels'!D80+'Reels'!D83+'Reels'!D86+'Reels'!D89+'Reels'!D92+'Reels'!D95+'Reels'!D98))*('Reels'!D111/('Reels'!D102+'Reels'!D105+'Reels'!D108+'Reels'!D111+'Reels'!D114+'Reels'!D117))</f>
        <v>0.00028055737398297953</v>
      </c>
      <c r="D317">
        <f>IF(OR('Reels'!D63="attack",'Reels'!D63="magic"),CHOOSE('Reels'!D64+1,'Slots'!D29,'Slots'!D30,'Slots'!D31,'Slots'!D32,'Slots'!D33),0)+IF(OR('Reels'!D87="attack",'Reels'!D87="magic"),CHOOSE('Reels'!D88+1,'Slots'!D29,'Slots'!D30,'Slots'!D31,'Slots'!D32,'Slots'!D33),0)+IF(OR('Reels'!D109="attack",'Reels'!D109="magic"),CHOOSE('Reels'!D110+1,'Slots'!D29,'Slots'!D30,'Slots'!D31,'Slots'!D32,'Slots'!D33),0)</f>
        <v>0</v>
      </c>
      <c r="E317">
        <f>IF('Reels'!D63="heal",'Reels'!D64*'Slots'!D24,0)+IF('Reels'!D87="heal",'Reels'!D88*'Slots'!D24,0)+IF('Reels'!D109="heal",'Reels'!D110*'Slots'!D24,0)</f>
        <v>4</v>
      </c>
      <c r="F317">
        <f>IF('Reels'!D63="block",'Reels'!D64*'Slots'!D25,0)+IF('Reels'!D87="block",'Reels'!D88*'Slots'!D25,0)+IF('Reels'!D109="block",'Reels'!D110*'Slots'!D25,0)</f>
        <v>0</v>
      </c>
      <c r="G317" t="b">
        <f>AND('Reels'!D63&lt;&gt;"blank",'Reels'!D63&lt;&gt;"class",'Reels'!D63='Reels'!D109,'Reels'!D64='Reels'!D110,OR('Reels'!D87="class",AND('Reels'!D87='Reels'!D63,'Reels'!D88='Reels'!D64)))</f>
        <v>0</v>
      </c>
      <c r="H317">
        <f>IF(G317,C317,0)</f>
        <v>0</v>
      </c>
    </row>
    <row r="318" spans="1:8" x14ac:dyDescent="0.25">
      <c r="A318" t="s">
        <v>247</v>
      </c>
      <c r="B318" t="s">
        <v>3669</v>
      </c>
      <c r="C318" s="4">
        <f>('Reels'!D65/('Reels'!D62+'Reels'!D65+'Reels'!D68+'Reels'!D71+'Reels'!D74+'Reels'!D77))*('Reels'!D89/('Reels'!D80+'Reels'!D83+'Reels'!D86+'Reels'!D89+'Reels'!D92+'Reels'!D95+'Reels'!D98))*('Reels'!D114/('Reels'!D102+'Reels'!D105+'Reels'!D108+'Reels'!D111+'Reels'!D114+'Reels'!D117))</f>
        <v>0.00028055737398297953</v>
      </c>
      <c r="D318">
        <f>IF(OR('Reels'!D63="attack",'Reels'!D63="magic"),CHOOSE('Reels'!D64+1,'Slots'!D29,'Slots'!D30,'Slots'!D31,'Slots'!D32,'Slots'!D33),0)+IF(OR('Reels'!D87="attack",'Reels'!D87="magic"),CHOOSE('Reels'!D88+1,'Slots'!D29,'Slots'!D30,'Slots'!D31,'Slots'!D32,'Slots'!D33),0)+IF(OR('Reels'!D112="attack",'Reels'!D112="magic"),CHOOSE('Reels'!D113+1,'Slots'!D29,'Slots'!D30,'Slots'!D31,'Slots'!D32,'Slots'!D33),0)</f>
        <v>2</v>
      </c>
      <c r="E318">
        <f>IF('Reels'!D63="heal",'Reels'!D64*'Slots'!D24,0)+IF('Reels'!D87="heal",'Reels'!D88*'Slots'!D24,0)+IF('Reels'!D112="heal",'Reels'!D113*'Slots'!D24,0)</f>
        <v>4</v>
      </c>
      <c r="F318">
        <f>IF('Reels'!D63="block",'Reels'!D64*'Slots'!D25,0)+IF('Reels'!D87="block",'Reels'!D88*'Slots'!D25,0)+IF('Reels'!D112="block",'Reels'!D113*'Slots'!D25,0)</f>
        <v>0</v>
      </c>
      <c r="G318" t="b">
        <f>AND('Reels'!D63&lt;&gt;"blank",'Reels'!D63&lt;&gt;"class",'Reels'!D63='Reels'!D112,'Reels'!D64='Reels'!D113,OR('Reels'!D87="class",AND('Reels'!D87='Reels'!D63,'Reels'!D88='Reels'!D64)))</f>
        <v>0</v>
      </c>
      <c r="H318">
        <f>IF(G318,C318,0)</f>
        <v>0</v>
      </c>
    </row>
    <row r="319" spans="1:8" x14ac:dyDescent="0.25">
      <c r="A319" t="s">
        <v>247</v>
      </c>
      <c r="B319" t="s">
        <v>3670</v>
      </c>
      <c r="C319" s="4">
        <f>('Reels'!D65/('Reels'!D62+'Reels'!D65+'Reels'!D68+'Reels'!D71+'Reels'!D74+'Reels'!D77))*('Reels'!D89/('Reels'!D80+'Reels'!D83+'Reels'!D86+'Reels'!D89+'Reels'!D92+'Reels'!D95+'Reels'!D98))*('Reels'!D117/('Reels'!D102+'Reels'!D105+'Reels'!D108+'Reels'!D111+'Reels'!D114+'Reels'!D117))</f>
        <v>0.0011222294959319181</v>
      </c>
      <c r="D319">
        <f>IF(OR('Reels'!D63="attack",'Reels'!D63="magic"),CHOOSE('Reels'!D64+1,'Slots'!D29,'Slots'!D30,'Slots'!D31,'Slots'!D32,'Slots'!D33),0)+IF(OR('Reels'!D87="attack",'Reels'!D87="magic"),CHOOSE('Reels'!D88+1,'Slots'!D29,'Slots'!D30,'Slots'!D31,'Slots'!D32,'Slots'!D33),0)+IF(OR('Reels'!D115="attack",'Reels'!D115="magic"),CHOOSE('Reels'!D116+1,'Slots'!D29,'Slots'!D30,'Slots'!D31,'Slots'!D32,'Slots'!D33),0)</f>
        <v>0</v>
      </c>
      <c r="E319">
        <f>IF('Reels'!D63="heal",'Reels'!D64*'Slots'!D24,0)+IF('Reels'!D87="heal",'Reels'!D88*'Slots'!D24,0)+IF('Reels'!D115="heal",'Reels'!D116*'Slots'!D24,0)</f>
        <v>4</v>
      </c>
      <c r="F319">
        <f>IF('Reels'!D63="block",'Reels'!D64*'Slots'!D25,0)+IF('Reels'!D87="block",'Reels'!D88*'Slots'!D25,0)+IF('Reels'!D115="block",'Reels'!D116*'Slots'!D25,0)</f>
        <v>0</v>
      </c>
      <c r="G319" t="b">
        <f>AND('Reels'!D63&lt;&gt;"blank",'Reels'!D63&lt;&gt;"class",'Reels'!D63='Reels'!D115,'Reels'!D64='Reels'!D116,OR('Reels'!D87="class",AND('Reels'!D87='Reels'!D63,'Reels'!D88='Reels'!D64)))</f>
        <v>0</v>
      </c>
      <c r="H319">
        <f>IF(G319,C319,0)</f>
        <v>0</v>
      </c>
    </row>
    <row r="320" spans="1:8" x14ac:dyDescent="0.25">
      <c r="A320" t="s">
        <v>247</v>
      </c>
      <c r="B320" t="s">
        <v>3671</v>
      </c>
      <c r="C320" s="4">
        <f>('Reels'!D65/('Reels'!D62+'Reels'!D65+'Reels'!D68+'Reels'!D71+'Reels'!D74+'Reels'!D77))*('Reels'!D92/('Reels'!D80+'Reels'!D83+'Reels'!D86+'Reels'!D89+'Reels'!D92+'Reels'!D95+'Reels'!D98))*('Reels'!D102/('Reels'!D102+'Reels'!D105+'Reels'!D108+'Reels'!D111+'Reels'!D114+'Reels'!D117))</f>
        <v>0.003927803235761714</v>
      </c>
      <c r="D320">
        <f>IF(OR('Reels'!D63="attack",'Reels'!D63="magic"),CHOOSE('Reels'!D64+1,'Slots'!D29,'Slots'!D30,'Slots'!D31,'Slots'!D32,'Slots'!D33),0)+IF(OR('Reels'!D90="attack",'Reels'!D90="magic"),CHOOSE('Reels'!D91+1,'Slots'!D29,'Slots'!D30,'Slots'!D31,'Slots'!D32,'Slots'!D33),0)+IF(OR('Reels'!D100="attack",'Reels'!D100="magic"),CHOOSE('Reels'!D101+1,'Slots'!D29,'Slots'!D30,'Slots'!D31,'Slots'!D32,'Slots'!D33),0)</f>
        <v>2</v>
      </c>
      <c r="E320">
        <f>IF('Reels'!D63="heal",'Reels'!D64*'Slots'!D24,0)+IF('Reels'!D90="heal",'Reels'!D91*'Slots'!D24,0)+IF('Reels'!D100="heal",'Reels'!D101*'Slots'!D24,0)</f>
        <v>6</v>
      </c>
      <c r="F320">
        <f>IF('Reels'!D63="block",'Reels'!D64*'Slots'!D25,0)+IF('Reels'!D90="block",'Reels'!D91*'Slots'!D25,0)+IF('Reels'!D100="block",'Reels'!D101*'Slots'!D25,0)</f>
        <v>0</v>
      </c>
      <c r="G320" t="b">
        <f>AND('Reels'!D63&lt;&gt;"blank",'Reels'!D63&lt;&gt;"class",'Reels'!D63='Reels'!D100,'Reels'!D64='Reels'!D101,OR('Reels'!D90="class",AND('Reels'!D90='Reels'!D63,'Reels'!D91='Reels'!D64)))</f>
        <v>0</v>
      </c>
      <c r="H320">
        <f>IF(G320,C320,0)</f>
        <v>0</v>
      </c>
    </row>
    <row r="321" spans="1:8" x14ac:dyDescent="0.25">
      <c r="A321" t="s">
        <v>247</v>
      </c>
      <c r="B321" t="s">
        <v>3672</v>
      </c>
      <c r="C321" s="4">
        <f>('Reels'!D65/('Reels'!D62+'Reels'!D65+'Reels'!D68+'Reels'!D71+'Reels'!D74+'Reels'!D77))*('Reels'!D92/('Reels'!D80+'Reels'!D83+'Reels'!D86+'Reels'!D89+'Reels'!D92+'Reels'!D95+'Reels'!D98))*('Reels'!D105/('Reels'!D102+'Reels'!D105+'Reels'!D108+'Reels'!D111+'Reels'!D114+'Reels'!D117))</f>
        <v>0.003366688487795755</v>
      </c>
      <c r="D321">
        <f>IF(OR('Reels'!D63="attack",'Reels'!D63="magic"),CHOOSE('Reels'!D64+1,'Slots'!D29,'Slots'!D30,'Slots'!D31,'Slots'!D32,'Slots'!D33),0)+IF(OR('Reels'!D90="attack",'Reels'!D90="magic"),CHOOSE('Reels'!D91+1,'Slots'!D29,'Slots'!D30,'Slots'!D31,'Slots'!D32,'Slots'!D33),0)+IF(OR('Reels'!D103="attack",'Reels'!D103="magic"),CHOOSE('Reels'!D104+1,'Slots'!D29,'Slots'!D30,'Slots'!D31,'Slots'!D32,'Slots'!D33),0)</f>
        <v>2</v>
      </c>
      <c r="E321">
        <f>IF('Reels'!D63="heal",'Reels'!D64*'Slots'!D24,0)+IF('Reels'!D90="heal",'Reels'!D91*'Slots'!D24,0)+IF('Reels'!D103="heal",'Reels'!D104*'Slots'!D24,0)</f>
        <v>8</v>
      </c>
      <c r="F321">
        <f>IF('Reels'!D63="block",'Reels'!D64*'Slots'!D25,0)+IF('Reels'!D90="block",'Reels'!D91*'Slots'!D25,0)+IF('Reels'!D103="block",'Reels'!D104*'Slots'!D25,0)</f>
        <v>0</v>
      </c>
      <c r="G321" t="b">
        <f>AND('Reels'!D63&lt;&gt;"blank",'Reels'!D63&lt;&gt;"class",'Reels'!D63='Reels'!D103,'Reels'!D64='Reels'!D104,OR('Reels'!D90="class",AND('Reels'!D90='Reels'!D63,'Reels'!D91='Reels'!D64)))</f>
        <v>0</v>
      </c>
      <c r="H321">
        <f>IF(G321,C321,0)</f>
        <v>0</v>
      </c>
    </row>
    <row r="322" spans="1:8" x14ac:dyDescent="0.25">
      <c r="A322" t="s">
        <v>247</v>
      </c>
      <c r="B322" t="s">
        <v>3673</v>
      </c>
      <c r="C322" s="4">
        <f>('Reels'!D65/('Reels'!D62+'Reels'!D65+'Reels'!D68+'Reels'!D71+'Reels'!D74+'Reels'!D77))*('Reels'!D92/('Reels'!D80+'Reels'!D83+'Reels'!D86+'Reels'!D89+'Reels'!D92+'Reels'!D95+'Reels'!D98))*('Reels'!D108/('Reels'!D102+'Reels'!D105+'Reels'!D108+'Reels'!D111+'Reels'!D114+'Reels'!D117))</f>
        <v>0.0005611147479659591</v>
      </c>
      <c r="D322">
        <f>IF(OR('Reels'!D63="attack",'Reels'!D63="magic"),CHOOSE('Reels'!D64+1,'Slots'!D29,'Slots'!D30,'Slots'!D31,'Slots'!D32,'Slots'!D33),0)+IF(OR('Reels'!D90="attack",'Reels'!D90="magic"),CHOOSE('Reels'!D91+1,'Slots'!D29,'Slots'!D30,'Slots'!D31,'Slots'!D32,'Slots'!D33),0)+IF(OR('Reels'!D106="attack",'Reels'!D106="magic"),CHOOSE('Reels'!D107+1,'Slots'!D29,'Slots'!D30,'Slots'!D31,'Slots'!D32,'Slots'!D33),0)</f>
        <v>2</v>
      </c>
      <c r="E322">
        <f>IF('Reels'!D63="heal",'Reels'!D64*'Slots'!D24,0)+IF('Reels'!D90="heal",'Reels'!D91*'Slots'!D24,0)+IF('Reels'!D106="heal",'Reels'!D107*'Slots'!D24,0)</f>
        <v>4</v>
      </c>
      <c r="F322">
        <f>IF('Reels'!D63="block",'Reels'!D64*'Slots'!D25,0)+IF('Reels'!D90="block",'Reels'!D91*'Slots'!D25,0)+IF('Reels'!D106="block",'Reels'!D107*'Slots'!D25,0)</f>
        <v>1</v>
      </c>
      <c r="G322" t="b">
        <f>AND('Reels'!D63&lt;&gt;"blank",'Reels'!D63&lt;&gt;"class",'Reels'!D63='Reels'!D106,'Reels'!D64='Reels'!D107,OR('Reels'!D90="class",AND('Reels'!D90='Reels'!D63,'Reels'!D91='Reels'!D64)))</f>
        <v>0</v>
      </c>
      <c r="H322">
        <f>IF(G322,C322,0)</f>
        <v>0</v>
      </c>
    </row>
    <row r="323" spans="1:8" x14ac:dyDescent="0.25">
      <c r="A323" t="s">
        <v>247</v>
      </c>
      <c r="B323" t="s">
        <v>3674</v>
      </c>
      <c r="C323" s="4">
        <f>('Reels'!D65/('Reels'!D62+'Reels'!D65+'Reels'!D68+'Reels'!D71+'Reels'!D74+'Reels'!D77))*('Reels'!D92/('Reels'!D80+'Reels'!D83+'Reels'!D86+'Reels'!D89+'Reels'!D92+'Reels'!D95+'Reels'!D98))*('Reels'!D111/('Reels'!D102+'Reels'!D105+'Reels'!D108+'Reels'!D111+'Reels'!D114+'Reels'!D117))</f>
        <v>0.00028055737398297953</v>
      </c>
      <c r="D323">
        <f>IF(OR('Reels'!D63="attack",'Reels'!D63="magic"),CHOOSE('Reels'!D64+1,'Slots'!D29,'Slots'!D30,'Slots'!D31,'Slots'!D32,'Slots'!D33),0)+IF(OR('Reels'!D90="attack",'Reels'!D90="magic"),CHOOSE('Reels'!D91+1,'Slots'!D29,'Slots'!D30,'Slots'!D31,'Slots'!D32,'Slots'!D33),0)+IF(OR('Reels'!D109="attack",'Reels'!D109="magic"),CHOOSE('Reels'!D110+1,'Slots'!D29,'Slots'!D30,'Slots'!D31,'Slots'!D32,'Slots'!D33),0)</f>
        <v>2</v>
      </c>
      <c r="E323">
        <f>IF('Reels'!D63="heal",'Reels'!D64*'Slots'!D24,0)+IF('Reels'!D90="heal",'Reels'!D91*'Slots'!D24,0)+IF('Reels'!D109="heal",'Reels'!D110*'Slots'!D24,0)</f>
        <v>4</v>
      </c>
      <c r="F323">
        <f>IF('Reels'!D63="block",'Reels'!D64*'Slots'!D25,0)+IF('Reels'!D90="block",'Reels'!D91*'Slots'!D25,0)+IF('Reels'!D109="block",'Reels'!D110*'Slots'!D25,0)</f>
        <v>0</v>
      </c>
      <c r="G323" t="b">
        <f>AND('Reels'!D63&lt;&gt;"blank",'Reels'!D63&lt;&gt;"class",'Reels'!D63='Reels'!D109,'Reels'!D64='Reels'!D110,OR('Reels'!D90="class",AND('Reels'!D90='Reels'!D63,'Reels'!D91='Reels'!D64)))</f>
        <v>0</v>
      </c>
      <c r="H323">
        <f>IF(G323,C323,0)</f>
        <v>0</v>
      </c>
    </row>
    <row r="324" spans="1:8" x14ac:dyDescent="0.25">
      <c r="A324" t="s">
        <v>247</v>
      </c>
      <c r="B324" t="s">
        <v>3675</v>
      </c>
      <c r="C324" s="4">
        <f>('Reels'!D65/('Reels'!D62+'Reels'!D65+'Reels'!D68+'Reels'!D71+'Reels'!D74+'Reels'!D77))*('Reels'!D92/('Reels'!D80+'Reels'!D83+'Reels'!D86+'Reels'!D89+'Reels'!D92+'Reels'!D95+'Reels'!D98))*('Reels'!D114/('Reels'!D102+'Reels'!D105+'Reels'!D108+'Reels'!D111+'Reels'!D114+'Reels'!D117))</f>
        <v>0.00028055737398297953</v>
      </c>
      <c r="D324">
        <f>IF(OR('Reels'!D63="attack",'Reels'!D63="magic"),CHOOSE('Reels'!D64+1,'Slots'!D29,'Slots'!D30,'Slots'!D31,'Slots'!D32,'Slots'!D33),0)+IF(OR('Reels'!D90="attack",'Reels'!D90="magic"),CHOOSE('Reels'!D91+1,'Slots'!D29,'Slots'!D30,'Slots'!D31,'Slots'!D32,'Slots'!D33),0)+IF(OR('Reels'!D112="attack",'Reels'!D112="magic"),CHOOSE('Reels'!D113+1,'Slots'!D29,'Slots'!D30,'Slots'!D31,'Slots'!D32,'Slots'!D33),0)</f>
        <v>4</v>
      </c>
      <c r="E324">
        <f>IF('Reels'!D63="heal",'Reels'!D64*'Slots'!D24,0)+IF('Reels'!D90="heal",'Reels'!D91*'Slots'!D24,0)+IF('Reels'!D112="heal",'Reels'!D113*'Slots'!D24,0)</f>
        <v>4</v>
      </c>
      <c r="F324">
        <f>IF('Reels'!D63="block",'Reels'!D64*'Slots'!D25,0)+IF('Reels'!D90="block",'Reels'!D91*'Slots'!D25,0)+IF('Reels'!D112="block",'Reels'!D113*'Slots'!D25,0)</f>
        <v>0</v>
      </c>
      <c r="G324" t="b">
        <f>AND('Reels'!D63&lt;&gt;"blank",'Reels'!D63&lt;&gt;"class",'Reels'!D63='Reels'!D112,'Reels'!D64='Reels'!D113,OR('Reels'!D90="class",AND('Reels'!D90='Reels'!D63,'Reels'!D91='Reels'!D64)))</f>
        <v>0</v>
      </c>
      <c r="H324">
        <f>IF(G324,C324,0)</f>
        <v>0</v>
      </c>
    </row>
    <row r="325" spans="1:8" x14ac:dyDescent="0.25">
      <c r="A325" t="s">
        <v>247</v>
      </c>
      <c r="B325" t="s">
        <v>3676</v>
      </c>
      <c r="C325" s="4">
        <f>('Reels'!D65/('Reels'!D62+'Reels'!D65+'Reels'!D68+'Reels'!D71+'Reels'!D74+'Reels'!D77))*('Reels'!D92/('Reels'!D80+'Reels'!D83+'Reels'!D86+'Reels'!D89+'Reels'!D92+'Reels'!D95+'Reels'!D98))*('Reels'!D117/('Reels'!D102+'Reels'!D105+'Reels'!D108+'Reels'!D111+'Reels'!D114+'Reels'!D117))</f>
        <v>0.0011222294959319181</v>
      </c>
      <c r="D325">
        <f>IF(OR('Reels'!D63="attack",'Reels'!D63="magic"),CHOOSE('Reels'!D64+1,'Slots'!D29,'Slots'!D30,'Slots'!D31,'Slots'!D32,'Slots'!D33),0)+IF(OR('Reels'!D90="attack",'Reels'!D90="magic"),CHOOSE('Reels'!D91+1,'Slots'!D29,'Slots'!D30,'Slots'!D31,'Slots'!D32,'Slots'!D33),0)+IF(OR('Reels'!D115="attack",'Reels'!D115="magic"),CHOOSE('Reels'!D116+1,'Slots'!D29,'Slots'!D30,'Slots'!D31,'Slots'!D32,'Slots'!D33),0)</f>
        <v>2</v>
      </c>
      <c r="E325">
        <f>IF('Reels'!D63="heal",'Reels'!D64*'Slots'!D24,0)+IF('Reels'!D90="heal",'Reels'!D91*'Slots'!D24,0)+IF('Reels'!D115="heal",'Reels'!D116*'Slots'!D24,0)</f>
        <v>4</v>
      </c>
      <c r="F325">
        <f>IF('Reels'!D63="block",'Reels'!D64*'Slots'!D25,0)+IF('Reels'!D90="block",'Reels'!D91*'Slots'!D25,0)+IF('Reels'!D115="block",'Reels'!D116*'Slots'!D25,0)</f>
        <v>0</v>
      </c>
      <c r="G325" t="b">
        <f>AND('Reels'!D63&lt;&gt;"blank",'Reels'!D63&lt;&gt;"class",'Reels'!D63='Reels'!D115,'Reels'!D64='Reels'!D116,OR('Reels'!D90="class",AND('Reels'!D90='Reels'!D63,'Reels'!D91='Reels'!D64)))</f>
        <v>0</v>
      </c>
      <c r="H325">
        <f>IF(G325,C325,0)</f>
        <v>0</v>
      </c>
    </row>
    <row r="326" spans="1:8" x14ac:dyDescent="0.25">
      <c r="A326" t="s">
        <v>247</v>
      </c>
      <c r="B326" t="s">
        <v>3677</v>
      </c>
      <c r="C326" s="4">
        <f>('Reels'!D65/('Reels'!D62+'Reels'!D65+'Reels'!D68+'Reels'!D71+'Reels'!D74+'Reels'!D77))*('Reels'!D95/('Reels'!D80+'Reels'!D83+'Reels'!D86+'Reels'!D89+'Reels'!D92+'Reels'!D95+'Reels'!D98))*('Reels'!D102/('Reels'!D102+'Reels'!D105+'Reels'!D108+'Reels'!D111+'Reels'!D114+'Reels'!D117))</f>
        <v>0.015711212943046855</v>
      </c>
      <c r="D326">
        <f>IF(OR('Reels'!D63="attack",'Reels'!D63="magic"),CHOOSE('Reels'!D64+1,'Slots'!D29,'Slots'!D30,'Slots'!D31,'Slots'!D32,'Slots'!D33),0)+IF(OR('Reels'!D93="attack",'Reels'!D93="magic"),CHOOSE('Reels'!D94+1,'Slots'!D29,'Slots'!D30,'Slots'!D31,'Slots'!D32,'Slots'!D33),0)+IF(OR('Reels'!D100="attack",'Reels'!D100="magic"),CHOOSE('Reels'!D101+1,'Slots'!D29,'Slots'!D30,'Slots'!D31,'Slots'!D32,'Slots'!D33),0)</f>
        <v>0</v>
      </c>
      <c r="E326">
        <f>IF('Reels'!D63="heal",'Reels'!D64*'Slots'!D24,0)+IF('Reels'!D93="heal",'Reels'!D94*'Slots'!D24,0)+IF('Reels'!D100="heal",'Reels'!D101*'Slots'!D24,0)</f>
        <v>6</v>
      </c>
      <c r="F326">
        <f>IF('Reels'!D63="block",'Reels'!D64*'Slots'!D25,0)+IF('Reels'!D93="block",'Reels'!D94*'Slots'!D25,0)+IF('Reels'!D100="block",'Reels'!D101*'Slots'!D25,0)</f>
        <v>0</v>
      </c>
      <c r="G326" t="b">
        <f>AND('Reels'!D63&lt;&gt;"blank",'Reels'!D63&lt;&gt;"class",'Reels'!D63='Reels'!D100,'Reels'!D64='Reels'!D101,OR('Reels'!D93="class",AND('Reels'!D93='Reels'!D63,'Reels'!D94='Reels'!D64)))</f>
        <v>0</v>
      </c>
      <c r="H326">
        <f>IF(G326,C326,0)</f>
        <v>0</v>
      </c>
    </row>
    <row r="327" spans="1:8" x14ac:dyDescent="0.25">
      <c r="A327" t="s">
        <v>247</v>
      </c>
      <c r="B327" t="s">
        <v>3678</v>
      </c>
      <c r="C327" s="4">
        <f>('Reels'!D65/('Reels'!D62+'Reels'!D65+'Reels'!D68+'Reels'!D71+'Reels'!D74+'Reels'!D77))*('Reels'!D95/('Reels'!D80+'Reels'!D83+'Reels'!D86+'Reels'!D89+'Reels'!D92+'Reels'!D95+'Reels'!D98))*('Reels'!D105/('Reels'!D102+'Reels'!D105+'Reels'!D108+'Reels'!D111+'Reels'!D114+'Reels'!D117))</f>
        <v>0.01346675395118302</v>
      </c>
      <c r="D327">
        <f>IF(OR('Reels'!D63="attack",'Reels'!D63="magic"),CHOOSE('Reels'!D64+1,'Slots'!D29,'Slots'!D30,'Slots'!D31,'Slots'!D32,'Slots'!D33),0)+IF(OR('Reels'!D93="attack",'Reels'!D93="magic"),CHOOSE('Reels'!D94+1,'Slots'!D29,'Slots'!D30,'Slots'!D31,'Slots'!D32,'Slots'!D33),0)+IF(OR('Reels'!D103="attack",'Reels'!D103="magic"),CHOOSE('Reels'!D104+1,'Slots'!D29,'Slots'!D30,'Slots'!D31,'Slots'!D32,'Slots'!D33),0)</f>
        <v>0</v>
      </c>
      <c r="E327">
        <f>IF('Reels'!D63="heal",'Reels'!D64*'Slots'!D24,0)+IF('Reels'!D93="heal",'Reels'!D94*'Slots'!D24,0)+IF('Reels'!D103="heal",'Reels'!D104*'Slots'!D24,0)</f>
        <v>8</v>
      </c>
      <c r="F327">
        <f>IF('Reels'!D63="block",'Reels'!D64*'Slots'!D25,0)+IF('Reels'!D93="block",'Reels'!D94*'Slots'!D25,0)+IF('Reels'!D103="block",'Reels'!D104*'Slots'!D25,0)</f>
        <v>0</v>
      </c>
      <c r="G327" t="b">
        <f>AND('Reels'!D63&lt;&gt;"blank",'Reels'!D63&lt;&gt;"class",'Reels'!D63='Reels'!D103,'Reels'!D64='Reels'!D104,OR('Reels'!D93="class",AND('Reels'!D93='Reels'!D63,'Reels'!D94='Reels'!D64)))</f>
        <v>0</v>
      </c>
      <c r="H327">
        <f>IF(G327,C327,0)</f>
        <v>0</v>
      </c>
    </row>
    <row r="328" spans="1:8" x14ac:dyDescent="0.25">
      <c r="A328" t="s">
        <v>247</v>
      </c>
      <c r="B328" t="s">
        <v>3679</v>
      </c>
      <c r="C328" s="4">
        <f>('Reels'!D65/('Reels'!D62+'Reels'!D65+'Reels'!D68+'Reels'!D71+'Reels'!D74+'Reels'!D77))*('Reels'!D95/('Reels'!D80+'Reels'!D83+'Reels'!D86+'Reels'!D89+'Reels'!D92+'Reels'!D95+'Reels'!D98))*('Reels'!D108/('Reels'!D102+'Reels'!D105+'Reels'!D108+'Reels'!D111+'Reels'!D114+'Reels'!D117))</f>
        <v>0.0022444589918638362</v>
      </c>
      <c r="D328">
        <f>IF(OR('Reels'!D63="attack",'Reels'!D63="magic"),CHOOSE('Reels'!D64+1,'Slots'!D29,'Slots'!D30,'Slots'!D31,'Slots'!D32,'Slots'!D33),0)+IF(OR('Reels'!D93="attack",'Reels'!D93="magic"),CHOOSE('Reels'!D94+1,'Slots'!D29,'Slots'!D30,'Slots'!D31,'Slots'!D32,'Slots'!D33),0)+IF(OR('Reels'!D106="attack",'Reels'!D106="magic"),CHOOSE('Reels'!D107+1,'Slots'!D29,'Slots'!D30,'Slots'!D31,'Slots'!D32,'Slots'!D33),0)</f>
        <v>0</v>
      </c>
      <c r="E328">
        <f>IF('Reels'!D63="heal",'Reels'!D64*'Slots'!D24,0)+IF('Reels'!D93="heal",'Reels'!D94*'Slots'!D24,0)+IF('Reels'!D106="heal",'Reels'!D107*'Slots'!D24,0)</f>
        <v>4</v>
      </c>
      <c r="F328">
        <f>IF('Reels'!D63="block",'Reels'!D64*'Slots'!D25,0)+IF('Reels'!D93="block",'Reels'!D94*'Slots'!D25,0)+IF('Reels'!D106="block",'Reels'!D107*'Slots'!D25,0)</f>
        <v>1</v>
      </c>
      <c r="G328" t="b">
        <f>AND('Reels'!D63&lt;&gt;"blank",'Reels'!D63&lt;&gt;"class",'Reels'!D63='Reels'!D106,'Reels'!D64='Reels'!D107,OR('Reels'!D93="class",AND('Reels'!D93='Reels'!D63,'Reels'!D94='Reels'!D64)))</f>
        <v>0</v>
      </c>
      <c r="H328">
        <f>IF(G328,C328,0)</f>
        <v>0</v>
      </c>
    </row>
    <row r="329" spans="1:8" x14ac:dyDescent="0.25">
      <c r="A329" t="s">
        <v>247</v>
      </c>
      <c r="B329" t="s">
        <v>3680</v>
      </c>
      <c r="C329" s="4">
        <f>('Reels'!D65/('Reels'!D62+'Reels'!D65+'Reels'!D68+'Reels'!D71+'Reels'!D74+'Reels'!D77))*('Reels'!D95/('Reels'!D80+'Reels'!D83+'Reels'!D86+'Reels'!D89+'Reels'!D92+'Reels'!D95+'Reels'!D98))*('Reels'!D111/('Reels'!D102+'Reels'!D105+'Reels'!D108+'Reels'!D111+'Reels'!D114+'Reels'!D117))</f>
        <v>0.0011222294959319181</v>
      </c>
      <c r="D329">
        <f>IF(OR('Reels'!D63="attack",'Reels'!D63="magic"),CHOOSE('Reels'!D64+1,'Slots'!D29,'Slots'!D30,'Slots'!D31,'Slots'!D32,'Slots'!D33),0)+IF(OR('Reels'!D93="attack",'Reels'!D93="magic"),CHOOSE('Reels'!D94+1,'Slots'!D29,'Slots'!D30,'Slots'!D31,'Slots'!D32,'Slots'!D33),0)+IF(OR('Reels'!D109="attack",'Reels'!D109="magic"),CHOOSE('Reels'!D110+1,'Slots'!D29,'Slots'!D30,'Slots'!D31,'Slots'!D32,'Slots'!D33),0)</f>
        <v>0</v>
      </c>
      <c r="E329">
        <f>IF('Reels'!D63="heal",'Reels'!D64*'Slots'!D24,0)+IF('Reels'!D93="heal",'Reels'!D94*'Slots'!D24,0)+IF('Reels'!D109="heal",'Reels'!D110*'Slots'!D24,0)</f>
        <v>4</v>
      </c>
      <c r="F329">
        <f>IF('Reels'!D63="block",'Reels'!D64*'Slots'!D25,0)+IF('Reels'!D93="block",'Reels'!D94*'Slots'!D25,0)+IF('Reels'!D109="block",'Reels'!D110*'Slots'!D25,0)</f>
        <v>0</v>
      </c>
      <c r="G329" t="b">
        <f>AND('Reels'!D63&lt;&gt;"blank",'Reels'!D63&lt;&gt;"class",'Reels'!D63='Reels'!D109,'Reels'!D64='Reels'!D110,OR('Reels'!D93="class",AND('Reels'!D93='Reels'!D63,'Reels'!D94='Reels'!D64)))</f>
        <v>0</v>
      </c>
      <c r="H329">
        <f>IF(G329,C329,0)</f>
        <v>0</v>
      </c>
    </row>
    <row r="330" spans="1:8" x14ac:dyDescent="0.25">
      <c r="A330" t="s">
        <v>247</v>
      </c>
      <c r="B330" t="s">
        <v>3681</v>
      </c>
      <c r="C330" s="4">
        <f>('Reels'!D65/('Reels'!D62+'Reels'!D65+'Reels'!D68+'Reels'!D71+'Reels'!D74+'Reels'!D77))*('Reels'!D95/('Reels'!D80+'Reels'!D83+'Reels'!D86+'Reels'!D89+'Reels'!D92+'Reels'!D95+'Reels'!D98))*('Reels'!D114/('Reels'!D102+'Reels'!D105+'Reels'!D108+'Reels'!D111+'Reels'!D114+'Reels'!D117))</f>
        <v>0.0011222294959319181</v>
      </c>
      <c r="D330">
        <f>IF(OR('Reels'!D63="attack",'Reels'!D63="magic"),CHOOSE('Reels'!D64+1,'Slots'!D29,'Slots'!D30,'Slots'!D31,'Slots'!D32,'Slots'!D33),0)+IF(OR('Reels'!D93="attack",'Reels'!D93="magic"),CHOOSE('Reels'!D94+1,'Slots'!D29,'Slots'!D30,'Slots'!D31,'Slots'!D32,'Slots'!D33),0)+IF(OR('Reels'!D112="attack",'Reels'!D112="magic"),CHOOSE('Reels'!D113+1,'Slots'!D29,'Slots'!D30,'Slots'!D31,'Slots'!D32,'Slots'!D33),0)</f>
        <v>2</v>
      </c>
      <c r="E330">
        <f>IF('Reels'!D63="heal",'Reels'!D64*'Slots'!D24,0)+IF('Reels'!D93="heal",'Reels'!D94*'Slots'!D24,0)+IF('Reels'!D112="heal",'Reels'!D113*'Slots'!D24,0)</f>
        <v>4</v>
      </c>
      <c r="F330">
        <f>IF('Reels'!D63="block",'Reels'!D64*'Slots'!D25,0)+IF('Reels'!D93="block",'Reels'!D94*'Slots'!D25,0)+IF('Reels'!D112="block",'Reels'!D113*'Slots'!D25,0)</f>
        <v>0</v>
      </c>
      <c r="G330" t="b">
        <f>AND('Reels'!D63&lt;&gt;"blank",'Reels'!D63&lt;&gt;"class",'Reels'!D63='Reels'!D112,'Reels'!D64='Reels'!D113,OR('Reels'!D93="class",AND('Reels'!D93='Reels'!D63,'Reels'!D94='Reels'!D64)))</f>
        <v>0</v>
      </c>
      <c r="H330">
        <f>IF(G330,C330,0)</f>
        <v>0</v>
      </c>
    </row>
    <row r="331" spans="1:8" x14ac:dyDescent="0.25">
      <c r="A331" t="s">
        <v>247</v>
      </c>
      <c r="B331" t="s">
        <v>3682</v>
      </c>
      <c r="C331" s="4">
        <f>('Reels'!D65/('Reels'!D62+'Reels'!D65+'Reels'!D68+'Reels'!D71+'Reels'!D74+'Reels'!D77))*('Reels'!D95/('Reels'!D80+'Reels'!D83+'Reels'!D86+'Reels'!D89+'Reels'!D92+'Reels'!D95+'Reels'!D98))*('Reels'!D117/('Reels'!D102+'Reels'!D105+'Reels'!D108+'Reels'!D111+'Reels'!D114+'Reels'!D117))</f>
        <v>0.0044889179837276725</v>
      </c>
      <c r="D331">
        <f>IF(OR('Reels'!D63="attack",'Reels'!D63="magic"),CHOOSE('Reels'!D64+1,'Slots'!D29,'Slots'!D30,'Slots'!D31,'Slots'!D32,'Slots'!D33),0)+IF(OR('Reels'!D93="attack",'Reels'!D93="magic"),CHOOSE('Reels'!D94+1,'Slots'!D29,'Slots'!D30,'Slots'!D31,'Slots'!D32,'Slots'!D33),0)+IF(OR('Reels'!D115="attack",'Reels'!D115="magic"),CHOOSE('Reels'!D116+1,'Slots'!D29,'Slots'!D30,'Slots'!D31,'Slots'!D32,'Slots'!D33),0)</f>
        <v>0</v>
      </c>
      <c r="E331">
        <f>IF('Reels'!D63="heal",'Reels'!D64*'Slots'!D24,0)+IF('Reels'!D93="heal",'Reels'!D94*'Slots'!D24,0)+IF('Reels'!D115="heal",'Reels'!D116*'Slots'!D24,0)</f>
        <v>4</v>
      </c>
      <c r="F331">
        <f>IF('Reels'!D63="block",'Reels'!D64*'Slots'!D25,0)+IF('Reels'!D93="block",'Reels'!D94*'Slots'!D25,0)+IF('Reels'!D115="block",'Reels'!D116*'Slots'!D25,0)</f>
        <v>0</v>
      </c>
      <c r="G331" t="b">
        <f>AND('Reels'!D63&lt;&gt;"blank",'Reels'!D63&lt;&gt;"class",'Reels'!D63='Reels'!D115,'Reels'!D64='Reels'!D116,OR('Reels'!D93="class",AND('Reels'!D93='Reels'!D63,'Reels'!D94='Reels'!D64)))</f>
        <v>0</v>
      </c>
      <c r="H331">
        <f>IF(G331,C331,0)</f>
        <v>0</v>
      </c>
    </row>
    <row r="332" spans="1:8" x14ac:dyDescent="0.25">
      <c r="A332" t="s">
        <v>247</v>
      </c>
      <c r="B332" t="s">
        <v>3683</v>
      </c>
      <c r="C332" s="4">
        <f>('Reels'!D65/('Reels'!D62+'Reels'!D65+'Reels'!D68+'Reels'!D71+'Reels'!D74+'Reels'!D77))*('Reels'!D98/('Reels'!D80+'Reels'!D83+'Reels'!D86+'Reels'!D89+'Reels'!D92+'Reels'!D95+'Reels'!D98))*('Reels'!D102/('Reels'!D102+'Reels'!D105+'Reels'!D108+'Reels'!D111+'Reels'!D114+'Reels'!D117))</f>
        <v>0.01178340970728514</v>
      </c>
      <c r="D332">
        <f>IF(OR('Reels'!D63="attack",'Reels'!D63="magic"),CHOOSE('Reels'!D64+1,'Slots'!D29,'Slots'!D30,'Slots'!D31,'Slots'!D32,'Slots'!D33),0)+IF(OR('Reels'!D96="attack",'Reels'!D96="magic"),CHOOSE('Reels'!D97+1,'Slots'!D29,'Slots'!D30,'Slots'!D31,'Slots'!D32,'Slots'!D33),0)+IF(OR('Reels'!D100="attack",'Reels'!D100="magic"),CHOOSE('Reels'!D101+1,'Slots'!D29,'Slots'!D30,'Slots'!D31,'Slots'!D32,'Slots'!D33),0)</f>
        <v>0</v>
      </c>
      <c r="E332">
        <f>IF('Reels'!D63="heal",'Reels'!D64*'Slots'!D24,0)+IF('Reels'!D96="heal",'Reels'!D97*'Slots'!D24,0)+IF('Reels'!D100="heal",'Reels'!D101*'Slots'!D24,0)</f>
        <v>6</v>
      </c>
      <c r="F332">
        <f>IF('Reels'!D63="block",'Reels'!D64*'Slots'!D25,0)+IF('Reels'!D96="block",'Reels'!D97*'Slots'!D25,0)+IF('Reels'!D100="block",'Reels'!D101*'Slots'!D25,0)</f>
        <v>0</v>
      </c>
      <c r="G332" t="b">
        <f>AND('Reels'!D63&lt;&gt;"blank",'Reels'!D63&lt;&gt;"class",'Reels'!D63='Reels'!D100,'Reels'!D64='Reels'!D101,OR('Reels'!D96="class",AND('Reels'!D96='Reels'!D63,'Reels'!D97='Reels'!D64)))</f>
        <v>0</v>
      </c>
      <c r="H332">
        <f>IF(G332,C332,0)</f>
        <v>0</v>
      </c>
    </row>
    <row r="333" spans="1:8" x14ac:dyDescent="0.25">
      <c r="A333" t="s">
        <v>247</v>
      </c>
      <c r="B333" t="s">
        <v>3684</v>
      </c>
      <c r="C333" s="4">
        <f>('Reels'!D65/('Reels'!D62+'Reels'!D65+'Reels'!D68+'Reels'!D71+'Reels'!D74+'Reels'!D77))*('Reels'!D98/('Reels'!D80+'Reels'!D83+'Reels'!D86+'Reels'!D89+'Reels'!D92+'Reels'!D95+'Reels'!D98))*('Reels'!D105/('Reels'!D102+'Reels'!D105+'Reels'!D108+'Reels'!D111+'Reels'!D114+'Reels'!D117))</f>
        <v>0.010100065463387263</v>
      </c>
      <c r="D333">
        <f>IF(OR('Reels'!D63="attack",'Reels'!D63="magic"),CHOOSE('Reels'!D64+1,'Slots'!D29,'Slots'!D30,'Slots'!D31,'Slots'!D32,'Slots'!D33),0)+IF(OR('Reels'!D96="attack",'Reels'!D96="magic"),CHOOSE('Reels'!D97+1,'Slots'!D29,'Slots'!D30,'Slots'!D31,'Slots'!D32,'Slots'!D33),0)+IF(OR('Reels'!D103="attack",'Reels'!D103="magic"),CHOOSE('Reels'!D104+1,'Slots'!D29,'Slots'!D30,'Slots'!D31,'Slots'!D32,'Slots'!D33),0)</f>
        <v>0</v>
      </c>
      <c r="E333">
        <f>IF('Reels'!D63="heal",'Reels'!D64*'Slots'!D24,0)+IF('Reels'!D96="heal",'Reels'!D97*'Slots'!D24,0)+IF('Reels'!D103="heal",'Reels'!D104*'Slots'!D24,0)</f>
        <v>8</v>
      </c>
      <c r="F333">
        <f>IF('Reels'!D63="block",'Reels'!D64*'Slots'!D25,0)+IF('Reels'!D96="block",'Reels'!D97*'Slots'!D25,0)+IF('Reels'!D103="block",'Reels'!D104*'Slots'!D25,0)</f>
        <v>0</v>
      </c>
      <c r="G333" t="b">
        <f>AND('Reels'!D63&lt;&gt;"blank",'Reels'!D63&lt;&gt;"class",'Reels'!D63='Reels'!D103,'Reels'!D64='Reels'!D104,OR('Reels'!D96="class",AND('Reels'!D96='Reels'!D63,'Reels'!D97='Reels'!D64)))</f>
        <v>1</v>
      </c>
      <c r="H333">
        <f>IF(G333,C333,0)</f>
        <v>0.010100065463387263</v>
      </c>
    </row>
    <row r="334" spans="1:8" x14ac:dyDescent="0.25">
      <c r="A334" t="s">
        <v>247</v>
      </c>
      <c r="B334" t="s">
        <v>3685</v>
      </c>
      <c r="C334" s="4">
        <f>('Reels'!D65/('Reels'!D62+'Reels'!D65+'Reels'!D68+'Reels'!D71+'Reels'!D74+'Reels'!D77))*('Reels'!D98/('Reels'!D80+'Reels'!D83+'Reels'!D86+'Reels'!D89+'Reels'!D92+'Reels'!D95+'Reels'!D98))*('Reels'!D108/('Reels'!D102+'Reels'!D105+'Reels'!D108+'Reels'!D111+'Reels'!D114+'Reels'!D117))</f>
        <v>0.0016833442438978772</v>
      </c>
      <c r="D334">
        <f>IF(OR('Reels'!D63="attack",'Reels'!D63="magic"),CHOOSE('Reels'!D64+1,'Slots'!D29,'Slots'!D30,'Slots'!D31,'Slots'!D32,'Slots'!D33),0)+IF(OR('Reels'!D96="attack",'Reels'!D96="magic"),CHOOSE('Reels'!D97+1,'Slots'!D29,'Slots'!D30,'Slots'!D31,'Slots'!D32,'Slots'!D33),0)+IF(OR('Reels'!D106="attack",'Reels'!D106="magic"),CHOOSE('Reels'!D107+1,'Slots'!D29,'Slots'!D30,'Slots'!D31,'Slots'!D32,'Slots'!D33),0)</f>
        <v>0</v>
      </c>
      <c r="E334">
        <f>IF('Reels'!D63="heal",'Reels'!D64*'Slots'!D24,0)+IF('Reels'!D96="heal",'Reels'!D97*'Slots'!D24,0)+IF('Reels'!D106="heal",'Reels'!D107*'Slots'!D24,0)</f>
        <v>4</v>
      </c>
      <c r="F334">
        <f>IF('Reels'!D63="block",'Reels'!D64*'Slots'!D25,0)+IF('Reels'!D96="block",'Reels'!D97*'Slots'!D25,0)+IF('Reels'!D106="block",'Reels'!D107*'Slots'!D25,0)</f>
        <v>1</v>
      </c>
      <c r="G334" t="b">
        <f>AND('Reels'!D63&lt;&gt;"blank",'Reels'!D63&lt;&gt;"class",'Reels'!D63='Reels'!D106,'Reels'!D64='Reels'!D107,OR('Reels'!D96="class",AND('Reels'!D96='Reels'!D63,'Reels'!D97='Reels'!D64)))</f>
        <v>0</v>
      </c>
      <c r="H334">
        <f>IF(G334,C334,0)</f>
        <v>0</v>
      </c>
    </row>
    <row r="335" spans="1:8" x14ac:dyDescent="0.25">
      <c r="A335" t="s">
        <v>247</v>
      </c>
      <c r="B335" t="s">
        <v>3686</v>
      </c>
      <c r="C335" s="4">
        <f>('Reels'!D65/('Reels'!D62+'Reels'!D65+'Reels'!D68+'Reels'!D71+'Reels'!D74+'Reels'!D77))*('Reels'!D98/('Reels'!D80+'Reels'!D83+'Reels'!D86+'Reels'!D89+'Reels'!D92+'Reels'!D95+'Reels'!D98))*('Reels'!D111/('Reels'!D102+'Reels'!D105+'Reels'!D108+'Reels'!D111+'Reels'!D114+'Reels'!D117))</f>
        <v>0.0008416721219489386</v>
      </c>
      <c r="D335">
        <f>IF(OR('Reels'!D63="attack",'Reels'!D63="magic"),CHOOSE('Reels'!D64+1,'Slots'!D29,'Slots'!D30,'Slots'!D31,'Slots'!D32,'Slots'!D33),0)+IF(OR('Reels'!D96="attack",'Reels'!D96="magic"),CHOOSE('Reels'!D97+1,'Slots'!D29,'Slots'!D30,'Slots'!D31,'Slots'!D32,'Slots'!D33),0)+IF(OR('Reels'!D109="attack",'Reels'!D109="magic"),CHOOSE('Reels'!D110+1,'Slots'!D29,'Slots'!D30,'Slots'!D31,'Slots'!D32,'Slots'!D33),0)</f>
        <v>0</v>
      </c>
      <c r="E335">
        <f>IF('Reels'!D63="heal",'Reels'!D64*'Slots'!D24,0)+IF('Reels'!D96="heal",'Reels'!D97*'Slots'!D24,0)+IF('Reels'!D109="heal",'Reels'!D110*'Slots'!D24,0)</f>
        <v>4</v>
      </c>
      <c r="F335">
        <f>IF('Reels'!D63="block",'Reels'!D64*'Slots'!D25,0)+IF('Reels'!D96="block",'Reels'!D97*'Slots'!D25,0)+IF('Reels'!D109="block",'Reels'!D110*'Slots'!D25,0)</f>
        <v>0</v>
      </c>
      <c r="G335" t="b">
        <f>AND('Reels'!D63&lt;&gt;"blank",'Reels'!D63&lt;&gt;"class",'Reels'!D63='Reels'!D109,'Reels'!D64='Reels'!D110,OR('Reels'!D96="class",AND('Reels'!D96='Reels'!D63,'Reels'!D97='Reels'!D64)))</f>
        <v>0</v>
      </c>
      <c r="H335">
        <f>IF(G335,C335,0)</f>
        <v>0</v>
      </c>
    </row>
    <row r="336" spans="1:8" x14ac:dyDescent="0.25">
      <c r="A336" t="s">
        <v>247</v>
      </c>
      <c r="B336" t="s">
        <v>3687</v>
      </c>
      <c r="C336" s="4">
        <f>('Reels'!D65/('Reels'!D62+'Reels'!D65+'Reels'!D68+'Reels'!D71+'Reels'!D74+'Reels'!D77))*('Reels'!D98/('Reels'!D80+'Reels'!D83+'Reels'!D86+'Reels'!D89+'Reels'!D92+'Reels'!D95+'Reels'!D98))*('Reels'!D114/('Reels'!D102+'Reels'!D105+'Reels'!D108+'Reels'!D111+'Reels'!D114+'Reels'!D117))</f>
        <v>0.0008416721219489386</v>
      </c>
      <c r="D336">
        <f>IF(OR('Reels'!D63="attack",'Reels'!D63="magic"),CHOOSE('Reels'!D64+1,'Slots'!D29,'Slots'!D30,'Slots'!D31,'Slots'!D32,'Slots'!D33),0)+IF(OR('Reels'!D96="attack",'Reels'!D96="magic"),CHOOSE('Reels'!D97+1,'Slots'!D29,'Slots'!D30,'Slots'!D31,'Slots'!D32,'Slots'!D33),0)+IF(OR('Reels'!D112="attack",'Reels'!D112="magic"),CHOOSE('Reels'!D113+1,'Slots'!D29,'Slots'!D30,'Slots'!D31,'Slots'!D32,'Slots'!D33),0)</f>
        <v>2</v>
      </c>
      <c r="E336">
        <f>IF('Reels'!D63="heal",'Reels'!D64*'Slots'!D24,0)+IF('Reels'!D96="heal",'Reels'!D97*'Slots'!D24,0)+IF('Reels'!D112="heal",'Reels'!D113*'Slots'!D24,0)</f>
        <v>4</v>
      </c>
      <c r="F336">
        <f>IF('Reels'!D63="block",'Reels'!D64*'Slots'!D25,0)+IF('Reels'!D96="block",'Reels'!D97*'Slots'!D25,0)+IF('Reels'!D112="block",'Reels'!D113*'Slots'!D25,0)</f>
        <v>0</v>
      </c>
      <c r="G336" t="b">
        <f>AND('Reels'!D63&lt;&gt;"blank",'Reels'!D63&lt;&gt;"class",'Reels'!D63='Reels'!D112,'Reels'!D64='Reels'!D113,OR('Reels'!D96="class",AND('Reels'!D96='Reels'!D63,'Reels'!D97='Reels'!D64)))</f>
        <v>0</v>
      </c>
      <c r="H336">
        <f>IF(G336,C336,0)</f>
        <v>0</v>
      </c>
    </row>
    <row r="337" spans="1:8" x14ac:dyDescent="0.25">
      <c r="A337" t="s">
        <v>247</v>
      </c>
      <c r="B337" t="s">
        <v>3688</v>
      </c>
      <c r="C337" s="4">
        <f>('Reels'!D65/('Reels'!D62+'Reels'!D65+'Reels'!D68+'Reels'!D71+'Reels'!D74+'Reels'!D77))*('Reels'!D98/('Reels'!D80+'Reels'!D83+'Reels'!D86+'Reels'!D89+'Reels'!D92+'Reels'!D95+'Reels'!D98))*('Reels'!D117/('Reels'!D102+'Reels'!D105+'Reels'!D108+'Reels'!D111+'Reels'!D114+'Reels'!D117))</f>
        <v>0.0033666884877957544</v>
      </c>
      <c r="D337">
        <f>IF(OR('Reels'!D63="attack",'Reels'!D63="magic"),CHOOSE('Reels'!D64+1,'Slots'!D29,'Slots'!D30,'Slots'!D31,'Slots'!D32,'Slots'!D33),0)+IF(OR('Reels'!D96="attack",'Reels'!D96="magic"),CHOOSE('Reels'!D97+1,'Slots'!D29,'Slots'!D30,'Slots'!D31,'Slots'!D32,'Slots'!D33),0)+IF(OR('Reels'!D115="attack",'Reels'!D115="magic"),CHOOSE('Reels'!D116+1,'Slots'!D29,'Slots'!D30,'Slots'!D31,'Slots'!D32,'Slots'!D33),0)</f>
        <v>0</v>
      </c>
      <c r="E337">
        <f>IF('Reels'!D63="heal",'Reels'!D64*'Slots'!D24,0)+IF('Reels'!D96="heal",'Reels'!D97*'Slots'!D24,0)+IF('Reels'!D115="heal",'Reels'!D116*'Slots'!D24,0)</f>
        <v>4</v>
      </c>
      <c r="F337">
        <f>IF('Reels'!D63="block",'Reels'!D64*'Slots'!D25,0)+IF('Reels'!D96="block",'Reels'!D97*'Slots'!D25,0)+IF('Reels'!D115="block",'Reels'!D116*'Slots'!D25,0)</f>
        <v>0</v>
      </c>
      <c r="G337" t="b">
        <f>AND('Reels'!D63&lt;&gt;"blank",'Reels'!D63&lt;&gt;"class",'Reels'!D63='Reels'!D115,'Reels'!D64='Reels'!D116,OR('Reels'!D96="class",AND('Reels'!D96='Reels'!D63,'Reels'!D97='Reels'!D64)))</f>
        <v>0</v>
      </c>
      <c r="H337">
        <f>IF(G337,C337,0)</f>
        <v>0</v>
      </c>
    </row>
    <row r="338" spans="1:8" x14ac:dyDescent="0.25">
      <c r="A338" t="s">
        <v>247</v>
      </c>
      <c r="B338" t="s">
        <v>3477</v>
      </c>
      <c r="C338" s="4">
        <f>('Reels'!D68/('Reels'!D62+'Reels'!D65+'Reels'!D68+'Reels'!D71+'Reels'!D74+'Reels'!D77))*('Reels'!D80/('Reels'!D80+'Reels'!D83+'Reels'!D86+'Reels'!D89+'Reels'!D92+'Reels'!D95+'Reels'!D98))*('Reels'!D102/('Reels'!D102+'Reels'!D105+'Reels'!D108+'Reels'!D111+'Reels'!D114+'Reels'!D117))</f>
        <v>0.00916487421677733</v>
      </c>
      <c r="D338">
        <f>IF(OR('Reels'!D66="attack",'Reels'!D66="magic"),CHOOSE('Reels'!D67+1,'Slots'!D29,'Slots'!D30,'Slots'!D31,'Slots'!D32,'Slots'!D33),0)+IF(OR('Reels'!D78="attack",'Reels'!D78="magic"),CHOOSE('Reels'!D79+1,'Slots'!D29,'Slots'!D30,'Slots'!D31,'Slots'!D32,'Slots'!D33),0)+IF(OR('Reels'!D100="attack",'Reels'!D100="magic"),CHOOSE('Reels'!D101+1,'Slots'!D29,'Slots'!D30,'Slots'!D31,'Slots'!D32,'Slots'!D33),0)</f>
        <v>0</v>
      </c>
      <c r="E338">
        <f>IF('Reels'!D66="heal",'Reels'!D67*'Slots'!D24,0)+IF('Reels'!D78="heal",'Reels'!D79*'Slots'!D24,0)+IF('Reels'!D100="heal",'Reels'!D101*'Slots'!D24,0)</f>
        <v>4</v>
      </c>
      <c r="F338">
        <f>IF('Reels'!D66="block",'Reels'!D67*'Slots'!D25,0)+IF('Reels'!D78="block",'Reels'!D79*'Slots'!D25,0)+IF('Reels'!D100="block",'Reels'!D101*'Slots'!D25,0)</f>
        <v>1</v>
      </c>
      <c r="G338" t="b">
        <f>AND('Reels'!D66&lt;&gt;"blank",'Reels'!D66&lt;&gt;"class",'Reels'!D66='Reels'!D100,'Reels'!D67='Reels'!D101,OR('Reels'!D78="class",AND('Reels'!D78='Reels'!D66,'Reels'!D79='Reels'!D67)))</f>
        <v>0</v>
      </c>
      <c r="H338">
        <f>IF(G338,C338,0)</f>
        <v>0</v>
      </c>
    </row>
    <row r="339" spans="1:8" x14ac:dyDescent="0.25">
      <c r="A339" t="s">
        <v>247</v>
      </c>
      <c r="B339" t="s">
        <v>3689</v>
      </c>
      <c r="C339" s="4">
        <f>('Reels'!D68/('Reels'!D62+'Reels'!D65+'Reels'!D68+'Reels'!D71+'Reels'!D74+'Reels'!D77))*('Reels'!D80/('Reels'!D80+'Reels'!D83+'Reels'!D86+'Reels'!D89+'Reels'!D92+'Reels'!D95+'Reels'!D98))*('Reels'!D105/('Reels'!D102+'Reels'!D105+'Reels'!D108+'Reels'!D111+'Reels'!D114+'Reels'!D117))</f>
        <v>0.007855606471523427</v>
      </c>
      <c r="D339">
        <f>IF(OR('Reels'!D66="attack",'Reels'!D66="magic"),CHOOSE('Reels'!D67+1,'Slots'!D29,'Slots'!D30,'Slots'!D31,'Slots'!D32,'Slots'!D33),0)+IF(OR('Reels'!D78="attack",'Reels'!D78="magic"),CHOOSE('Reels'!D79+1,'Slots'!D29,'Slots'!D30,'Slots'!D31,'Slots'!D32,'Slots'!D33),0)+IF(OR('Reels'!D103="attack",'Reels'!D103="magic"),CHOOSE('Reels'!D104+1,'Slots'!D29,'Slots'!D30,'Slots'!D31,'Slots'!D32,'Slots'!D33),0)</f>
        <v>0</v>
      </c>
      <c r="E339">
        <f>IF('Reels'!D66="heal",'Reels'!D67*'Slots'!D24,0)+IF('Reels'!D78="heal",'Reels'!D79*'Slots'!D24,0)+IF('Reels'!D103="heal",'Reels'!D104*'Slots'!D24,0)</f>
        <v>6</v>
      </c>
      <c r="F339">
        <f>IF('Reels'!D66="block",'Reels'!D67*'Slots'!D25,0)+IF('Reels'!D78="block",'Reels'!D79*'Slots'!D25,0)+IF('Reels'!D103="block",'Reels'!D104*'Slots'!D25,0)</f>
        <v>1</v>
      </c>
      <c r="G339" t="b">
        <f>AND('Reels'!D66&lt;&gt;"blank",'Reels'!D66&lt;&gt;"class",'Reels'!D66='Reels'!D103,'Reels'!D67='Reels'!D104,OR('Reels'!D78="class",AND('Reels'!D78='Reels'!D66,'Reels'!D79='Reels'!D67)))</f>
        <v>0</v>
      </c>
      <c r="H339">
        <f>IF(G339,C339,0)</f>
        <v>0</v>
      </c>
    </row>
    <row r="340" spans="1:8" x14ac:dyDescent="0.25">
      <c r="A340" t="s">
        <v>247</v>
      </c>
      <c r="B340" t="s">
        <v>3475</v>
      </c>
      <c r="C340" s="4">
        <f>('Reels'!D68/('Reels'!D62+'Reels'!D65+'Reels'!D68+'Reels'!D71+'Reels'!D74+'Reels'!D77))*('Reels'!D80/('Reels'!D80+'Reels'!D83+'Reels'!D86+'Reels'!D89+'Reels'!D92+'Reels'!D95+'Reels'!D98))*('Reels'!D108/('Reels'!D102+'Reels'!D105+'Reels'!D108+'Reels'!D111+'Reels'!D114+'Reels'!D117))</f>
        <v>0.0013092677452539044</v>
      </c>
      <c r="D340">
        <f>IF(OR('Reels'!D66="attack",'Reels'!D66="magic"),CHOOSE('Reels'!D67+1,'Slots'!D29,'Slots'!D30,'Slots'!D31,'Slots'!D32,'Slots'!D33),0)+IF(OR('Reels'!D78="attack",'Reels'!D78="magic"),CHOOSE('Reels'!D79+1,'Slots'!D29,'Slots'!D30,'Slots'!D31,'Slots'!D32,'Slots'!D33),0)+IF(OR('Reels'!D106="attack",'Reels'!D106="magic"),CHOOSE('Reels'!D107+1,'Slots'!D29,'Slots'!D30,'Slots'!D31,'Slots'!D32,'Slots'!D33),0)</f>
        <v>0</v>
      </c>
      <c r="E340">
        <f>IF('Reels'!D66="heal",'Reels'!D67*'Slots'!D24,0)+IF('Reels'!D78="heal",'Reels'!D79*'Slots'!D24,0)+IF('Reels'!D106="heal",'Reels'!D107*'Slots'!D24,0)</f>
        <v>2</v>
      </c>
      <c r="F340">
        <f>IF('Reels'!D66="block",'Reels'!D67*'Slots'!D25,0)+IF('Reels'!D78="block",'Reels'!D79*'Slots'!D25,0)+IF('Reels'!D106="block",'Reels'!D107*'Slots'!D25,0)</f>
        <v>2</v>
      </c>
      <c r="G340" t="b">
        <f>AND('Reels'!D66&lt;&gt;"blank",'Reels'!D66&lt;&gt;"class",'Reels'!D66='Reels'!D106,'Reels'!D67='Reels'!D107,OR('Reels'!D78="class",AND('Reels'!D78='Reels'!D66,'Reels'!D79='Reels'!D67)))</f>
        <v>0</v>
      </c>
      <c r="H340">
        <f>IF(G340,C340,0)</f>
        <v>0</v>
      </c>
    </row>
    <row r="341" spans="1:8" x14ac:dyDescent="0.25">
      <c r="A341" t="s">
        <v>247</v>
      </c>
      <c r="B341" t="s">
        <v>3690</v>
      </c>
      <c r="C341" s="4">
        <f>('Reels'!D68/('Reels'!D62+'Reels'!D65+'Reels'!D68+'Reels'!D71+'Reels'!D74+'Reels'!D77))*('Reels'!D80/('Reels'!D80+'Reels'!D83+'Reels'!D86+'Reels'!D89+'Reels'!D92+'Reels'!D95+'Reels'!D98))*('Reels'!D111/('Reels'!D102+'Reels'!D105+'Reels'!D108+'Reels'!D111+'Reels'!D114+'Reels'!D117))</f>
        <v>0.0006546338726269522</v>
      </c>
      <c r="D341">
        <f>IF(OR('Reels'!D66="attack",'Reels'!D66="magic"),CHOOSE('Reels'!D67+1,'Slots'!D29,'Slots'!D30,'Slots'!D31,'Slots'!D32,'Slots'!D33),0)+IF(OR('Reels'!D78="attack",'Reels'!D78="magic"),CHOOSE('Reels'!D79+1,'Slots'!D29,'Slots'!D30,'Slots'!D31,'Slots'!D32,'Slots'!D33),0)+IF(OR('Reels'!D109="attack",'Reels'!D109="magic"),CHOOSE('Reels'!D110+1,'Slots'!D29,'Slots'!D30,'Slots'!D31,'Slots'!D32,'Slots'!D33),0)</f>
        <v>0</v>
      </c>
      <c r="E341">
        <f>IF('Reels'!D66="heal",'Reels'!D67*'Slots'!D24,0)+IF('Reels'!D78="heal",'Reels'!D79*'Slots'!D24,0)+IF('Reels'!D109="heal",'Reels'!D110*'Slots'!D24,0)</f>
        <v>2</v>
      </c>
      <c r="F341">
        <f>IF('Reels'!D66="block",'Reels'!D67*'Slots'!D25,0)+IF('Reels'!D78="block",'Reels'!D79*'Slots'!D25,0)+IF('Reels'!D109="block",'Reels'!D110*'Slots'!D25,0)</f>
        <v>1</v>
      </c>
      <c r="G341" t="b">
        <f>AND('Reels'!D66&lt;&gt;"blank",'Reels'!D66&lt;&gt;"class",'Reels'!D66='Reels'!D109,'Reels'!D67='Reels'!D110,OR('Reels'!D78="class",AND('Reels'!D78='Reels'!D66,'Reels'!D79='Reels'!D67)))</f>
        <v>0</v>
      </c>
      <c r="H341">
        <f>IF(G341,C341,0)</f>
        <v>0</v>
      </c>
    </row>
    <row r="342" spans="1:8" x14ac:dyDescent="0.25">
      <c r="A342" t="s">
        <v>247</v>
      </c>
      <c r="B342" t="s">
        <v>3691</v>
      </c>
      <c r="C342" s="4">
        <f>('Reels'!D68/('Reels'!D62+'Reels'!D65+'Reels'!D68+'Reels'!D71+'Reels'!D74+'Reels'!D77))*('Reels'!D80/('Reels'!D80+'Reels'!D83+'Reels'!D86+'Reels'!D89+'Reels'!D92+'Reels'!D95+'Reels'!D98))*('Reels'!D114/('Reels'!D102+'Reels'!D105+'Reels'!D108+'Reels'!D111+'Reels'!D114+'Reels'!D117))</f>
        <v>0.0006546338726269522</v>
      </c>
      <c r="D342">
        <f>IF(OR('Reels'!D66="attack",'Reels'!D66="magic"),CHOOSE('Reels'!D67+1,'Slots'!D29,'Slots'!D30,'Slots'!D31,'Slots'!D32,'Slots'!D33),0)+IF(OR('Reels'!D78="attack",'Reels'!D78="magic"),CHOOSE('Reels'!D79+1,'Slots'!D29,'Slots'!D30,'Slots'!D31,'Slots'!D32,'Slots'!D33),0)+IF(OR('Reels'!D112="attack",'Reels'!D112="magic"),CHOOSE('Reels'!D113+1,'Slots'!D29,'Slots'!D30,'Slots'!D31,'Slots'!D32,'Slots'!D33),0)</f>
        <v>2</v>
      </c>
      <c r="E342">
        <f>IF('Reels'!D66="heal",'Reels'!D67*'Slots'!D24,0)+IF('Reels'!D78="heal",'Reels'!D79*'Slots'!D24,0)+IF('Reels'!D112="heal",'Reels'!D113*'Slots'!D24,0)</f>
        <v>2</v>
      </c>
      <c r="F342">
        <f>IF('Reels'!D66="block",'Reels'!D67*'Slots'!D25,0)+IF('Reels'!D78="block",'Reels'!D79*'Slots'!D25,0)+IF('Reels'!D112="block",'Reels'!D113*'Slots'!D25,0)</f>
        <v>1</v>
      </c>
      <c r="G342" t="b">
        <f>AND('Reels'!D66&lt;&gt;"blank",'Reels'!D66&lt;&gt;"class",'Reels'!D66='Reels'!D112,'Reels'!D67='Reels'!D113,OR('Reels'!D78="class",AND('Reels'!D78='Reels'!D66,'Reels'!D79='Reels'!D67)))</f>
        <v>0</v>
      </c>
      <c r="H342">
        <f>IF(G342,C342,0)</f>
        <v>0</v>
      </c>
    </row>
    <row r="343" spans="1:8" x14ac:dyDescent="0.25">
      <c r="A343" t="s">
        <v>247</v>
      </c>
      <c r="B343" t="s">
        <v>3478</v>
      </c>
      <c r="C343" s="4">
        <f>('Reels'!D68/('Reels'!D62+'Reels'!D65+'Reels'!D68+'Reels'!D71+'Reels'!D74+'Reels'!D77))*('Reels'!D80/('Reels'!D80+'Reels'!D83+'Reels'!D86+'Reels'!D89+'Reels'!D92+'Reels'!D95+'Reels'!D98))*('Reels'!D117/('Reels'!D102+'Reels'!D105+'Reels'!D108+'Reels'!D111+'Reels'!D114+'Reels'!D117))</f>
        <v>0.002618535490507809</v>
      </c>
      <c r="D343">
        <f>IF(OR('Reels'!D66="attack",'Reels'!D66="magic"),CHOOSE('Reels'!D67+1,'Slots'!D29,'Slots'!D30,'Slots'!D31,'Slots'!D32,'Slots'!D33),0)+IF(OR('Reels'!D78="attack",'Reels'!D78="magic"),CHOOSE('Reels'!D79+1,'Slots'!D29,'Slots'!D30,'Slots'!D31,'Slots'!D32,'Slots'!D33),0)+IF(OR('Reels'!D115="attack",'Reels'!D115="magic"),CHOOSE('Reels'!D116+1,'Slots'!D29,'Slots'!D30,'Slots'!D31,'Slots'!D32,'Slots'!D33),0)</f>
        <v>0</v>
      </c>
      <c r="E343">
        <f>IF('Reels'!D66="heal",'Reels'!D67*'Slots'!D24,0)+IF('Reels'!D78="heal",'Reels'!D79*'Slots'!D24,0)+IF('Reels'!D115="heal",'Reels'!D116*'Slots'!D24,0)</f>
        <v>2</v>
      </c>
      <c r="F343">
        <f>IF('Reels'!D66="block",'Reels'!D67*'Slots'!D25,0)+IF('Reels'!D78="block",'Reels'!D79*'Slots'!D25,0)+IF('Reels'!D115="block",'Reels'!D116*'Slots'!D25,0)</f>
        <v>1</v>
      </c>
      <c r="G343" t="b">
        <f>AND('Reels'!D66&lt;&gt;"blank",'Reels'!D66&lt;&gt;"class",'Reels'!D66='Reels'!D115,'Reels'!D67='Reels'!D116,OR('Reels'!D78="class",AND('Reels'!D78='Reels'!D66,'Reels'!D79='Reels'!D67)))</f>
        <v>0</v>
      </c>
      <c r="H343">
        <f>IF(G343,C343,0)</f>
        <v>0</v>
      </c>
    </row>
    <row r="344" spans="1:8" x14ac:dyDescent="0.25">
      <c r="A344" t="s">
        <v>247</v>
      </c>
      <c r="B344" t="s">
        <v>3692</v>
      </c>
      <c r="C344" s="4">
        <f>('Reels'!D68/('Reels'!D62+'Reels'!D65+'Reels'!D68+'Reels'!D71+'Reels'!D74+'Reels'!D77))*('Reels'!D83/('Reels'!D80+'Reels'!D83+'Reels'!D86+'Reels'!D89+'Reels'!D92+'Reels'!D95+'Reels'!D98))*('Reels'!D102/('Reels'!D102+'Reels'!D105+'Reels'!D108+'Reels'!D111+'Reels'!D114+'Reels'!D117))</f>
        <v>0.007855606471523427</v>
      </c>
      <c r="D344">
        <f>IF(OR('Reels'!D66="attack",'Reels'!D66="magic"),CHOOSE('Reels'!D67+1,'Slots'!D29,'Slots'!D30,'Slots'!D31,'Slots'!D32,'Slots'!D33),0)+IF(OR('Reels'!D81="attack",'Reels'!D81="magic"),CHOOSE('Reels'!D82+1,'Slots'!D29,'Slots'!D30,'Slots'!D31,'Slots'!D32,'Slots'!D33),0)+IF(OR('Reels'!D100="attack",'Reels'!D100="magic"),CHOOSE('Reels'!D101+1,'Slots'!D29,'Slots'!D30,'Slots'!D31,'Slots'!D32,'Slots'!D33),0)</f>
        <v>0</v>
      </c>
      <c r="E344">
        <f>IF('Reels'!D66="heal",'Reels'!D67*'Slots'!D24,0)+IF('Reels'!D81="heal",'Reels'!D82*'Slots'!D24,0)+IF('Reels'!D100="heal",'Reels'!D101*'Slots'!D24,0)</f>
        <v>6</v>
      </c>
      <c r="F344">
        <f>IF('Reels'!D66="block",'Reels'!D67*'Slots'!D25,0)+IF('Reels'!D81="block",'Reels'!D82*'Slots'!D25,0)+IF('Reels'!D100="block",'Reels'!D101*'Slots'!D25,0)</f>
        <v>1</v>
      </c>
      <c r="G344" t="b">
        <f>AND('Reels'!D66&lt;&gt;"blank",'Reels'!D66&lt;&gt;"class",'Reels'!D66='Reels'!D100,'Reels'!D67='Reels'!D101,OR('Reels'!D81="class",AND('Reels'!D81='Reels'!D66,'Reels'!D82='Reels'!D67)))</f>
        <v>0</v>
      </c>
      <c r="H344">
        <f>IF(G344,C344,0)</f>
        <v>0</v>
      </c>
    </row>
    <row r="345" spans="1:8" x14ac:dyDescent="0.25">
      <c r="A345" t="s">
        <v>247</v>
      </c>
      <c r="B345" t="s">
        <v>3693</v>
      </c>
      <c r="C345" s="4">
        <f>('Reels'!D68/('Reels'!D62+'Reels'!D65+'Reels'!D68+'Reels'!D71+'Reels'!D74+'Reels'!D77))*('Reels'!D83/('Reels'!D80+'Reels'!D83+'Reels'!D86+'Reels'!D89+'Reels'!D92+'Reels'!D95+'Reels'!D98))*('Reels'!D105/('Reels'!D102+'Reels'!D105+'Reels'!D108+'Reels'!D111+'Reels'!D114+'Reels'!D117))</f>
        <v>0.006733376975591508</v>
      </c>
      <c r="D345">
        <f>IF(OR('Reels'!D66="attack",'Reels'!D66="magic"),CHOOSE('Reels'!D67+1,'Slots'!D29,'Slots'!D30,'Slots'!D31,'Slots'!D32,'Slots'!D33),0)+IF(OR('Reels'!D81="attack",'Reels'!D81="magic"),CHOOSE('Reels'!D82+1,'Slots'!D29,'Slots'!D30,'Slots'!D31,'Slots'!D32,'Slots'!D33),0)+IF(OR('Reels'!D103="attack",'Reels'!D103="magic"),CHOOSE('Reels'!D104+1,'Slots'!D29,'Slots'!D30,'Slots'!D31,'Slots'!D32,'Slots'!D33),0)</f>
        <v>0</v>
      </c>
      <c r="E345">
        <f>IF('Reels'!D66="heal",'Reels'!D67*'Slots'!D24,0)+IF('Reels'!D81="heal",'Reels'!D82*'Slots'!D24,0)+IF('Reels'!D103="heal",'Reels'!D104*'Slots'!D24,0)</f>
        <v>8</v>
      </c>
      <c r="F345">
        <f>IF('Reels'!D66="block",'Reels'!D67*'Slots'!D25,0)+IF('Reels'!D81="block",'Reels'!D82*'Slots'!D25,0)+IF('Reels'!D103="block",'Reels'!D104*'Slots'!D25,0)</f>
        <v>1</v>
      </c>
      <c r="G345" t="b">
        <f>AND('Reels'!D66&lt;&gt;"blank",'Reels'!D66&lt;&gt;"class",'Reels'!D66='Reels'!D103,'Reels'!D67='Reels'!D104,OR('Reels'!D81="class",AND('Reels'!D81='Reels'!D66,'Reels'!D82='Reels'!D67)))</f>
        <v>0</v>
      </c>
      <c r="H345">
        <f>IF(G345,C345,0)</f>
        <v>0</v>
      </c>
    </row>
    <row r="346" spans="1:8" x14ac:dyDescent="0.25">
      <c r="A346" t="s">
        <v>247</v>
      </c>
      <c r="B346" t="s">
        <v>3694</v>
      </c>
      <c r="C346" s="4">
        <f>('Reels'!D68/('Reels'!D62+'Reels'!D65+'Reels'!D68+'Reels'!D71+'Reels'!D74+'Reels'!D77))*('Reels'!D83/('Reels'!D80+'Reels'!D83+'Reels'!D86+'Reels'!D89+'Reels'!D92+'Reels'!D95+'Reels'!D98))*('Reels'!D108/('Reels'!D102+'Reels'!D105+'Reels'!D108+'Reels'!D111+'Reels'!D114+'Reels'!D117))</f>
        <v>0.001122229495931918</v>
      </c>
      <c r="D346">
        <f>IF(OR('Reels'!D66="attack",'Reels'!D66="magic"),CHOOSE('Reels'!D67+1,'Slots'!D29,'Slots'!D30,'Slots'!D31,'Slots'!D32,'Slots'!D33),0)+IF(OR('Reels'!D81="attack",'Reels'!D81="magic"),CHOOSE('Reels'!D82+1,'Slots'!D29,'Slots'!D30,'Slots'!D31,'Slots'!D32,'Slots'!D33),0)+IF(OR('Reels'!D106="attack",'Reels'!D106="magic"),CHOOSE('Reels'!D107+1,'Slots'!D29,'Slots'!D30,'Slots'!D31,'Slots'!D32,'Slots'!D33),0)</f>
        <v>0</v>
      </c>
      <c r="E346">
        <f>IF('Reels'!D66="heal",'Reels'!D67*'Slots'!D24,0)+IF('Reels'!D81="heal",'Reels'!D82*'Slots'!D24,0)+IF('Reels'!D106="heal",'Reels'!D107*'Slots'!D24,0)</f>
        <v>4</v>
      </c>
      <c r="F346">
        <f>IF('Reels'!D66="block",'Reels'!D67*'Slots'!D25,0)+IF('Reels'!D81="block",'Reels'!D82*'Slots'!D25,0)+IF('Reels'!D106="block",'Reels'!D107*'Slots'!D25,0)</f>
        <v>2</v>
      </c>
      <c r="G346" t="b">
        <f>AND('Reels'!D66&lt;&gt;"blank",'Reels'!D66&lt;&gt;"class",'Reels'!D66='Reels'!D106,'Reels'!D67='Reels'!D107,OR('Reels'!D81="class",AND('Reels'!D81='Reels'!D66,'Reels'!D82='Reels'!D67)))</f>
        <v>0</v>
      </c>
      <c r="H346">
        <f>IF(G346,C346,0)</f>
        <v>0</v>
      </c>
    </row>
    <row r="347" spans="1:8" x14ac:dyDescent="0.25">
      <c r="A347" t="s">
        <v>247</v>
      </c>
      <c r="B347" t="s">
        <v>3695</v>
      </c>
      <c r="C347" s="4">
        <f>('Reels'!D68/('Reels'!D62+'Reels'!D65+'Reels'!D68+'Reels'!D71+'Reels'!D74+'Reels'!D77))*('Reels'!D83/('Reels'!D80+'Reels'!D83+'Reels'!D86+'Reels'!D89+'Reels'!D92+'Reels'!D95+'Reels'!D98))*('Reels'!D111/('Reels'!D102+'Reels'!D105+'Reels'!D108+'Reels'!D111+'Reels'!D114+'Reels'!D117))</f>
        <v>0.000561114747965959</v>
      </c>
      <c r="D347">
        <f>IF(OR('Reels'!D66="attack",'Reels'!D66="magic"),CHOOSE('Reels'!D67+1,'Slots'!D29,'Slots'!D30,'Slots'!D31,'Slots'!D32,'Slots'!D33),0)+IF(OR('Reels'!D81="attack",'Reels'!D81="magic"),CHOOSE('Reels'!D82+1,'Slots'!D29,'Slots'!D30,'Slots'!D31,'Slots'!D32,'Slots'!D33),0)+IF(OR('Reels'!D109="attack",'Reels'!D109="magic"),CHOOSE('Reels'!D110+1,'Slots'!D29,'Slots'!D30,'Slots'!D31,'Slots'!D32,'Slots'!D33),0)</f>
        <v>0</v>
      </c>
      <c r="E347">
        <f>IF('Reels'!D66="heal",'Reels'!D67*'Slots'!D24,0)+IF('Reels'!D81="heal",'Reels'!D82*'Slots'!D24,0)+IF('Reels'!D109="heal",'Reels'!D110*'Slots'!D24,0)</f>
        <v>4</v>
      </c>
      <c r="F347">
        <f>IF('Reels'!D66="block",'Reels'!D67*'Slots'!D25,0)+IF('Reels'!D81="block",'Reels'!D82*'Slots'!D25,0)+IF('Reels'!D109="block",'Reels'!D110*'Slots'!D25,0)</f>
        <v>1</v>
      </c>
      <c r="G347" t="b">
        <f>AND('Reels'!D66&lt;&gt;"blank",'Reels'!D66&lt;&gt;"class",'Reels'!D66='Reels'!D109,'Reels'!D67='Reels'!D110,OR('Reels'!D81="class",AND('Reels'!D81='Reels'!D66,'Reels'!D82='Reels'!D67)))</f>
        <v>0</v>
      </c>
      <c r="H347">
        <f>IF(G347,C347,0)</f>
        <v>0</v>
      </c>
    </row>
    <row r="348" spans="1:8" x14ac:dyDescent="0.25">
      <c r="A348" t="s">
        <v>247</v>
      </c>
      <c r="B348" t="s">
        <v>3696</v>
      </c>
      <c r="C348" s="4">
        <f>('Reels'!D68/('Reels'!D62+'Reels'!D65+'Reels'!D68+'Reels'!D71+'Reels'!D74+'Reels'!D77))*('Reels'!D83/('Reels'!D80+'Reels'!D83+'Reels'!D86+'Reels'!D89+'Reels'!D92+'Reels'!D95+'Reels'!D98))*('Reels'!D114/('Reels'!D102+'Reels'!D105+'Reels'!D108+'Reels'!D111+'Reels'!D114+'Reels'!D117))</f>
        <v>0.000561114747965959</v>
      </c>
      <c r="D348">
        <f>IF(OR('Reels'!D66="attack",'Reels'!D66="magic"),CHOOSE('Reels'!D67+1,'Slots'!D29,'Slots'!D30,'Slots'!D31,'Slots'!D32,'Slots'!D33),0)+IF(OR('Reels'!D81="attack",'Reels'!D81="magic"),CHOOSE('Reels'!D82+1,'Slots'!D29,'Slots'!D30,'Slots'!D31,'Slots'!D32,'Slots'!D33),0)+IF(OR('Reels'!D112="attack",'Reels'!D112="magic"),CHOOSE('Reels'!D113+1,'Slots'!D29,'Slots'!D30,'Slots'!D31,'Slots'!D32,'Slots'!D33),0)</f>
        <v>2</v>
      </c>
      <c r="E348">
        <f>IF('Reels'!D66="heal",'Reels'!D67*'Slots'!D24,0)+IF('Reels'!D81="heal",'Reels'!D82*'Slots'!D24,0)+IF('Reels'!D112="heal",'Reels'!D113*'Slots'!D24,0)</f>
        <v>4</v>
      </c>
      <c r="F348">
        <f>IF('Reels'!D66="block",'Reels'!D67*'Slots'!D25,0)+IF('Reels'!D81="block",'Reels'!D82*'Slots'!D25,0)+IF('Reels'!D112="block",'Reels'!D113*'Slots'!D25,0)</f>
        <v>1</v>
      </c>
      <c r="G348" t="b">
        <f>AND('Reels'!D66&lt;&gt;"blank",'Reels'!D66&lt;&gt;"class",'Reels'!D66='Reels'!D112,'Reels'!D67='Reels'!D113,OR('Reels'!D81="class",AND('Reels'!D81='Reels'!D66,'Reels'!D82='Reels'!D67)))</f>
        <v>0</v>
      </c>
      <c r="H348">
        <f>IF(G348,C348,0)</f>
        <v>0</v>
      </c>
    </row>
    <row r="349" spans="1:8" x14ac:dyDescent="0.25">
      <c r="A349" t="s">
        <v>247</v>
      </c>
      <c r="B349" t="s">
        <v>3697</v>
      </c>
      <c r="C349" s="4">
        <f>('Reels'!D68/('Reels'!D62+'Reels'!D65+'Reels'!D68+'Reels'!D71+'Reels'!D74+'Reels'!D77))*('Reels'!D83/('Reels'!D80+'Reels'!D83+'Reels'!D86+'Reels'!D89+'Reels'!D92+'Reels'!D95+'Reels'!D98))*('Reels'!D117/('Reels'!D102+'Reels'!D105+'Reels'!D108+'Reels'!D111+'Reels'!D114+'Reels'!D117))</f>
        <v>0.002244458991863836</v>
      </c>
      <c r="D349">
        <f>IF(OR('Reels'!D66="attack",'Reels'!D66="magic"),CHOOSE('Reels'!D67+1,'Slots'!D29,'Slots'!D30,'Slots'!D31,'Slots'!D32,'Slots'!D33),0)+IF(OR('Reels'!D81="attack",'Reels'!D81="magic"),CHOOSE('Reels'!D82+1,'Slots'!D29,'Slots'!D30,'Slots'!D31,'Slots'!D32,'Slots'!D33),0)+IF(OR('Reels'!D115="attack",'Reels'!D115="magic"),CHOOSE('Reels'!D116+1,'Slots'!D29,'Slots'!D30,'Slots'!D31,'Slots'!D32,'Slots'!D33),0)</f>
        <v>0</v>
      </c>
      <c r="E349">
        <f>IF('Reels'!D66="heal",'Reels'!D67*'Slots'!D24,0)+IF('Reels'!D81="heal",'Reels'!D82*'Slots'!D24,0)+IF('Reels'!D115="heal",'Reels'!D116*'Slots'!D24,0)</f>
        <v>4</v>
      </c>
      <c r="F349">
        <f>IF('Reels'!D66="block",'Reels'!D67*'Slots'!D25,0)+IF('Reels'!D81="block",'Reels'!D82*'Slots'!D25,0)+IF('Reels'!D115="block",'Reels'!D116*'Slots'!D25,0)</f>
        <v>1</v>
      </c>
      <c r="G349" t="b">
        <f>AND('Reels'!D66&lt;&gt;"blank",'Reels'!D66&lt;&gt;"class",'Reels'!D66='Reels'!D115,'Reels'!D67='Reels'!D116,OR('Reels'!D81="class",AND('Reels'!D81='Reels'!D66,'Reels'!D82='Reels'!D67)))</f>
        <v>0</v>
      </c>
      <c r="H349">
        <f>IF(G349,C349,0)</f>
        <v>0</v>
      </c>
    </row>
    <row r="350" spans="1:8" x14ac:dyDescent="0.25">
      <c r="A350" t="s">
        <v>247</v>
      </c>
      <c r="B350" t="s">
        <v>3465</v>
      </c>
      <c r="C350" s="4">
        <f>('Reels'!D68/('Reels'!D62+'Reels'!D65+'Reels'!D68+'Reels'!D71+'Reels'!D74+'Reels'!D77))*('Reels'!D86/('Reels'!D80+'Reels'!D83+'Reels'!D86+'Reels'!D89+'Reels'!D92+'Reels'!D95+'Reels'!D98))*('Reels'!D102/('Reels'!D102+'Reels'!D105+'Reels'!D108+'Reels'!D111+'Reels'!D114+'Reels'!D117))</f>
        <v>0.0013092677452539044</v>
      </c>
      <c r="D350">
        <f>IF(OR('Reels'!D66="attack",'Reels'!D66="magic"),CHOOSE('Reels'!D67+1,'Slots'!D29,'Slots'!D30,'Slots'!D31,'Slots'!D32,'Slots'!D33),0)+IF(OR('Reels'!D84="attack",'Reels'!D84="magic"),CHOOSE('Reels'!D85+1,'Slots'!D29,'Slots'!D30,'Slots'!D31,'Slots'!D32,'Slots'!D33),0)+IF(OR('Reels'!D100="attack",'Reels'!D100="magic"),CHOOSE('Reels'!D101+1,'Slots'!D29,'Slots'!D30,'Slots'!D31,'Slots'!D32,'Slots'!D33),0)</f>
        <v>0</v>
      </c>
      <c r="E350">
        <f>IF('Reels'!D66="heal",'Reels'!D67*'Slots'!D24,0)+IF('Reels'!D84="heal",'Reels'!D85*'Slots'!D24,0)+IF('Reels'!D100="heal",'Reels'!D101*'Slots'!D24,0)</f>
        <v>2</v>
      </c>
      <c r="F350">
        <f>IF('Reels'!D66="block",'Reels'!D67*'Slots'!D25,0)+IF('Reels'!D84="block",'Reels'!D85*'Slots'!D25,0)+IF('Reels'!D100="block",'Reels'!D101*'Slots'!D25,0)</f>
        <v>2</v>
      </c>
      <c r="G350" t="b">
        <f>AND('Reels'!D66&lt;&gt;"blank",'Reels'!D66&lt;&gt;"class",'Reels'!D66='Reels'!D100,'Reels'!D67='Reels'!D101,OR('Reels'!D84="class",AND('Reels'!D84='Reels'!D66,'Reels'!D85='Reels'!D67)))</f>
        <v>0</v>
      </c>
      <c r="H350">
        <f>IF(G350,C350,0)</f>
        <v>0</v>
      </c>
    </row>
    <row r="351" spans="1:8" x14ac:dyDescent="0.25">
      <c r="A351" t="s">
        <v>247</v>
      </c>
      <c r="B351" t="s">
        <v>3698</v>
      </c>
      <c r="C351" s="4">
        <f>('Reels'!D68/('Reels'!D62+'Reels'!D65+'Reels'!D68+'Reels'!D71+'Reels'!D74+'Reels'!D77))*('Reels'!D86/('Reels'!D80+'Reels'!D83+'Reels'!D86+'Reels'!D89+'Reels'!D92+'Reels'!D95+'Reels'!D98))*('Reels'!D105/('Reels'!D102+'Reels'!D105+'Reels'!D108+'Reels'!D111+'Reels'!D114+'Reels'!D117))</f>
        <v>0.001122229495931918</v>
      </c>
      <c r="D351">
        <f>IF(OR('Reels'!D66="attack",'Reels'!D66="magic"),CHOOSE('Reels'!D67+1,'Slots'!D29,'Slots'!D30,'Slots'!D31,'Slots'!D32,'Slots'!D33),0)+IF(OR('Reels'!D84="attack",'Reels'!D84="magic"),CHOOSE('Reels'!D85+1,'Slots'!D29,'Slots'!D30,'Slots'!D31,'Slots'!D32,'Slots'!D33),0)+IF(OR('Reels'!D103="attack",'Reels'!D103="magic"),CHOOSE('Reels'!D104+1,'Slots'!D29,'Slots'!D30,'Slots'!D31,'Slots'!D32,'Slots'!D33),0)</f>
        <v>0</v>
      </c>
      <c r="E351">
        <f>IF('Reels'!D66="heal",'Reels'!D67*'Slots'!D24,0)+IF('Reels'!D84="heal",'Reels'!D85*'Slots'!D24,0)+IF('Reels'!D103="heal",'Reels'!D104*'Slots'!D24,0)</f>
        <v>4</v>
      </c>
      <c r="F351">
        <f>IF('Reels'!D66="block",'Reels'!D67*'Slots'!D25,0)+IF('Reels'!D84="block",'Reels'!D85*'Slots'!D25,0)+IF('Reels'!D103="block",'Reels'!D104*'Slots'!D25,0)</f>
        <v>2</v>
      </c>
      <c r="G351" t="b">
        <f>AND('Reels'!D66&lt;&gt;"blank",'Reels'!D66&lt;&gt;"class",'Reels'!D66='Reels'!D103,'Reels'!D67='Reels'!D104,OR('Reels'!D84="class",AND('Reels'!D84='Reels'!D66,'Reels'!D85='Reels'!D67)))</f>
        <v>0</v>
      </c>
      <c r="H351">
        <f>IF(G351,C351,0)</f>
        <v>0</v>
      </c>
    </row>
    <row r="352" spans="1:8" x14ac:dyDescent="0.25">
      <c r="A352" t="s">
        <v>247</v>
      </c>
      <c r="B352" t="s">
        <v>3463</v>
      </c>
      <c r="C352" s="4">
        <f>('Reels'!D68/('Reels'!D62+'Reels'!D65+'Reels'!D68+'Reels'!D71+'Reels'!D74+'Reels'!D77))*('Reels'!D86/('Reels'!D80+'Reels'!D83+'Reels'!D86+'Reels'!D89+'Reels'!D92+'Reels'!D95+'Reels'!D98))*('Reels'!D108/('Reels'!D102+'Reels'!D105+'Reels'!D108+'Reels'!D111+'Reels'!D114+'Reels'!D117))</f>
        <v>0.00018703824932198634</v>
      </c>
      <c r="D352">
        <f>IF(OR('Reels'!D66="attack",'Reels'!D66="magic"),CHOOSE('Reels'!D67+1,'Slots'!D29,'Slots'!D30,'Slots'!D31,'Slots'!D32,'Slots'!D33),0)+IF(OR('Reels'!D84="attack",'Reels'!D84="magic"),CHOOSE('Reels'!D85+1,'Slots'!D29,'Slots'!D30,'Slots'!D31,'Slots'!D32,'Slots'!D33),0)+IF(OR('Reels'!D106="attack",'Reels'!D106="magic"),CHOOSE('Reels'!D107+1,'Slots'!D29,'Slots'!D30,'Slots'!D31,'Slots'!D32,'Slots'!D33),0)</f>
        <v>0</v>
      </c>
      <c r="E352">
        <f>IF('Reels'!D66="heal",'Reels'!D67*'Slots'!D24,0)+IF('Reels'!D84="heal",'Reels'!D85*'Slots'!D24,0)+IF('Reels'!D106="heal",'Reels'!D107*'Slots'!D24,0)</f>
        <v>0</v>
      </c>
      <c r="F352">
        <f>IF('Reels'!D66="block",'Reels'!D67*'Slots'!D25,0)+IF('Reels'!D84="block",'Reels'!D85*'Slots'!D25,0)+IF('Reels'!D106="block",'Reels'!D107*'Slots'!D25,0)</f>
        <v>3</v>
      </c>
      <c r="G352" t="b">
        <f>AND('Reels'!D66&lt;&gt;"blank",'Reels'!D66&lt;&gt;"class",'Reels'!D66='Reels'!D106,'Reels'!D67='Reels'!D107,OR('Reels'!D84="class",AND('Reels'!D84='Reels'!D66,'Reels'!D85='Reels'!D67)))</f>
        <v>1</v>
      </c>
      <c r="H352">
        <f>IF(G352,C352,0)</f>
        <v>0.00018703824932198634</v>
      </c>
    </row>
    <row r="353" spans="1:8" x14ac:dyDescent="0.25">
      <c r="A353" t="s">
        <v>247</v>
      </c>
      <c r="B353" t="s">
        <v>3699</v>
      </c>
      <c r="C353" s="4">
        <f>('Reels'!D68/('Reels'!D62+'Reels'!D65+'Reels'!D68+'Reels'!D71+'Reels'!D74+'Reels'!D77))*('Reels'!D86/('Reels'!D80+'Reels'!D83+'Reels'!D86+'Reels'!D89+'Reels'!D92+'Reels'!D95+'Reels'!D98))*('Reels'!D111/('Reels'!D102+'Reels'!D105+'Reels'!D108+'Reels'!D111+'Reels'!D114+'Reels'!D117))</f>
        <v>0.00009351912466099317</v>
      </c>
      <c r="D353">
        <f>IF(OR('Reels'!D66="attack",'Reels'!D66="magic"),CHOOSE('Reels'!D67+1,'Slots'!D29,'Slots'!D30,'Slots'!D31,'Slots'!D32,'Slots'!D33),0)+IF(OR('Reels'!D84="attack",'Reels'!D84="magic"),CHOOSE('Reels'!D85+1,'Slots'!D29,'Slots'!D30,'Slots'!D31,'Slots'!D32,'Slots'!D33),0)+IF(OR('Reels'!D109="attack",'Reels'!D109="magic"),CHOOSE('Reels'!D110+1,'Slots'!D29,'Slots'!D30,'Slots'!D31,'Slots'!D32,'Slots'!D33),0)</f>
        <v>0</v>
      </c>
      <c r="E353">
        <f>IF('Reels'!D66="heal",'Reels'!D67*'Slots'!D24,0)+IF('Reels'!D84="heal",'Reels'!D85*'Slots'!D24,0)+IF('Reels'!D109="heal",'Reels'!D110*'Slots'!D24,0)</f>
        <v>0</v>
      </c>
      <c r="F353">
        <f>IF('Reels'!D66="block",'Reels'!D67*'Slots'!D25,0)+IF('Reels'!D84="block",'Reels'!D85*'Slots'!D25,0)+IF('Reels'!D109="block",'Reels'!D110*'Slots'!D25,0)</f>
        <v>2</v>
      </c>
      <c r="G353" t="b">
        <f>AND('Reels'!D66&lt;&gt;"blank",'Reels'!D66&lt;&gt;"class",'Reels'!D66='Reels'!D109,'Reels'!D67='Reels'!D110,OR('Reels'!D84="class",AND('Reels'!D84='Reels'!D66,'Reels'!D85='Reels'!D67)))</f>
        <v>0</v>
      </c>
      <c r="H353">
        <f>IF(G353,C353,0)</f>
        <v>0</v>
      </c>
    </row>
    <row r="354" spans="1:8" x14ac:dyDescent="0.25">
      <c r="A354" t="s">
        <v>247</v>
      </c>
      <c r="B354" t="s">
        <v>3700</v>
      </c>
      <c r="C354" s="4">
        <f>('Reels'!D68/('Reels'!D62+'Reels'!D65+'Reels'!D68+'Reels'!D71+'Reels'!D74+'Reels'!D77))*('Reels'!D86/('Reels'!D80+'Reels'!D83+'Reels'!D86+'Reels'!D89+'Reels'!D92+'Reels'!D95+'Reels'!D98))*('Reels'!D114/('Reels'!D102+'Reels'!D105+'Reels'!D108+'Reels'!D111+'Reels'!D114+'Reels'!D117))</f>
        <v>0.00009351912466099317</v>
      </c>
      <c r="D354">
        <f>IF(OR('Reels'!D66="attack",'Reels'!D66="magic"),CHOOSE('Reels'!D67+1,'Slots'!D29,'Slots'!D30,'Slots'!D31,'Slots'!D32,'Slots'!D33),0)+IF(OR('Reels'!D84="attack",'Reels'!D84="magic"),CHOOSE('Reels'!D85+1,'Slots'!D29,'Slots'!D30,'Slots'!D31,'Slots'!D32,'Slots'!D33),0)+IF(OR('Reels'!D112="attack",'Reels'!D112="magic"),CHOOSE('Reels'!D113+1,'Slots'!D29,'Slots'!D30,'Slots'!D31,'Slots'!D32,'Slots'!D33),0)</f>
        <v>2</v>
      </c>
      <c r="E354">
        <f>IF('Reels'!D66="heal",'Reels'!D67*'Slots'!D24,0)+IF('Reels'!D84="heal",'Reels'!D85*'Slots'!D24,0)+IF('Reels'!D112="heal",'Reels'!D113*'Slots'!D24,0)</f>
        <v>0</v>
      </c>
      <c r="F354">
        <f>IF('Reels'!D66="block",'Reels'!D67*'Slots'!D25,0)+IF('Reels'!D84="block",'Reels'!D85*'Slots'!D25,0)+IF('Reels'!D112="block",'Reels'!D113*'Slots'!D25,0)</f>
        <v>2</v>
      </c>
      <c r="G354" t="b">
        <f>AND('Reels'!D66&lt;&gt;"blank",'Reels'!D66&lt;&gt;"class",'Reels'!D66='Reels'!D112,'Reels'!D67='Reels'!D113,OR('Reels'!D84="class",AND('Reels'!D84='Reels'!D66,'Reels'!D85='Reels'!D67)))</f>
        <v>0</v>
      </c>
      <c r="H354">
        <f>IF(G354,C354,0)</f>
        <v>0</v>
      </c>
    </row>
    <row r="355" spans="1:8" x14ac:dyDescent="0.25">
      <c r="A355" t="s">
        <v>247</v>
      </c>
      <c r="B355" t="s">
        <v>3466</v>
      </c>
      <c r="C355" s="4">
        <f>('Reels'!D68/('Reels'!D62+'Reels'!D65+'Reels'!D68+'Reels'!D71+'Reels'!D74+'Reels'!D77))*('Reels'!D86/('Reels'!D80+'Reels'!D83+'Reels'!D86+'Reels'!D89+'Reels'!D92+'Reels'!D95+'Reels'!D98))*('Reels'!D117/('Reels'!D102+'Reels'!D105+'Reels'!D108+'Reels'!D111+'Reels'!D114+'Reels'!D117))</f>
        <v>0.00037407649864397267</v>
      </c>
      <c r="D355">
        <f>IF(OR('Reels'!D66="attack",'Reels'!D66="magic"),CHOOSE('Reels'!D67+1,'Slots'!D29,'Slots'!D30,'Slots'!D31,'Slots'!D32,'Slots'!D33),0)+IF(OR('Reels'!D84="attack",'Reels'!D84="magic"),CHOOSE('Reels'!D85+1,'Slots'!D29,'Slots'!D30,'Slots'!D31,'Slots'!D32,'Slots'!D33),0)+IF(OR('Reels'!D115="attack",'Reels'!D115="magic"),CHOOSE('Reels'!D116+1,'Slots'!D29,'Slots'!D30,'Slots'!D31,'Slots'!D32,'Slots'!D33),0)</f>
        <v>0</v>
      </c>
      <c r="E355">
        <f>IF('Reels'!D66="heal",'Reels'!D67*'Slots'!D24,0)+IF('Reels'!D84="heal",'Reels'!D85*'Slots'!D24,0)+IF('Reels'!D115="heal",'Reels'!D116*'Slots'!D24,0)</f>
        <v>0</v>
      </c>
      <c r="F355">
        <f>IF('Reels'!D66="block",'Reels'!D67*'Slots'!D25,0)+IF('Reels'!D84="block",'Reels'!D85*'Slots'!D25,0)+IF('Reels'!D115="block",'Reels'!D116*'Slots'!D25,0)</f>
        <v>2</v>
      </c>
      <c r="G355" t="b">
        <f>AND('Reels'!D66&lt;&gt;"blank",'Reels'!D66&lt;&gt;"class",'Reels'!D66='Reels'!D115,'Reels'!D67='Reels'!D116,OR('Reels'!D84="class",AND('Reels'!D84='Reels'!D66,'Reels'!D85='Reels'!D67)))</f>
        <v>0</v>
      </c>
      <c r="H355">
        <f>IF(G355,C355,0)</f>
        <v>0</v>
      </c>
    </row>
    <row r="356" spans="1:8" x14ac:dyDescent="0.25">
      <c r="A356" t="s">
        <v>247</v>
      </c>
      <c r="B356" t="s">
        <v>3701</v>
      </c>
      <c r="C356" s="4">
        <f>('Reels'!D68/('Reels'!D62+'Reels'!D65+'Reels'!D68+'Reels'!D71+'Reels'!D74+'Reels'!D77))*('Reels'!D89/('Reels'!D80+'Reels'!D83+'Reels'!D86+'Reels'!D89+'Reels'!D92+'Reels'!D95+'Reels'!D98))*('Reels'!D102/('Reels'!D102+'Reels'!D105+'Reels'!D108+'Reels'!D111+'Reels'!D114+'Reels'!D117))</f>
        <v>0.0006546338726269522</v>
      </c>
      <c r="D356">
        <f>IF(OR('Reels'!D66="attack",'Reels'!D66="magic"),CHOOSE('Reels'!D67+1,'Slots'!D29,'Slots'!D30,'Slots'!D31,'Slots'!D32,'Slots'!D33),0)+IF(OR('Reels'!D87="attack",'Reels'!D87="magic"),CHOOSE('Reels'!D88+1,'Slots'!D29,'Slots'!D30,'Slots'!D31,'Slots'!D32,'Slots'!D33),0)+IF(OR('Reels'!D100="attack",'Reels'!D100="magic"),CHOOSE('Reels'!D101+1,'Slots'!D29,'Slots'!D30,'Slots'!D31,'Slots'!D32,'Slots'!D33),0)</f>
        <v>0</v>
      </c>
      <c r="E356">
        <f>IF('Reels'!D66="heal",'Reels'!D67*'Slots'!D24,0)+IF('Reels'!D87="heal",'Reels'!D88*'Slots'!D24,0)+IF('Reels'!D100="heal",'Reels'!D101*'Slots'!D24,0)</f>
        <v>2</v>
      </c>
      <c r="F356">
        <f>IF('Reels'!D66="block",'Reels'!D67*'Slots'!D25,0)+IF('Reels'!D87="block",'Reels'!D88*'Slots'!D25,0)+IF('Reels'!D100="block",'Reels'!D101*'Slots'!D25,0)</f>
        <v>1</v>
      </c>
      <c r="G356" t="b">
        <f>AND('Reels'!D66&lt;&gt;"blank",'Reels'!D66&lt;&gt;"class",'Reels'!D66='Reels'!D100,'Reels'!D67='Reels'!D101,OR('Reels'!D87="class",AND('Reels'!D87='Reels'!D66,'Reels'!D88='Reels'!D67)))</f>
        <v>0</v>
      </c>
      <c r="H356">
        <f>IF(G356,C356,0)</f>
        <v>0</v>
      </c>
    </row>
    <row r="357" spans="1:8" x14ac:dyDescent="0.25">
      <c r="A357" t="s">
        <v>247</v>
      </c>
      <c r="B357" t="s">
        <v>3702</v>
      </c>
      <c r="C357" s="4">
        <f>('Reels'!D68/('Reels'!D62+'Reels'!D65+'Reels'!D68+'Reels'!D71+'Reels'!D74+'Reels'!D77))*('Reels'!D89/('Reels'!D80+'Reels'!D83+'Reels'!D86+'Reels'!D89+'Reels'!D92+'Reels'!D95+'Reels'!D98))*('Reels'!D105/('Reels'!D102+'Reels'!D105+'Reels'!D108+'Reels'!D111+'Reels'!D114+'Reels'!D117))</f>
        <v>0.000561114747965959</v>
      </c>
      <c r="D357">
        <f>IF(OR('Reels'!D66="attack",'Reels'!D66="magic"),CHOOSE('Reels'!D67+1,'Slots'!D29,'Slots'!D30,'Slots'!D31,'Slots'!D32,'Slots'!D33),0)+IF(OR('Reels'!D87="attack",'Reels'!D87="magic"),CHOOSE('Reels'!D88+1,'Slots'!D29,'Slots'!D30,'Slots'!D31,'Slots'!D32,'Slots'!D33),0)+IF(OR('Reels'!D103="attack",'Reels'!D103="magic"),CHOOSE('Reels'!D104+1,'Slots'!D29,'Slots'!D30,'Slots'!D31,'Slots'!D32,'Slots'!D33),0)</f>
        <v>0</v>
      </c>
      <c r="E357">
        <f>IF('Reels'!D66="heal",'Reels'!D67*'Slots'!D24,0)+IF('Reels'!D87="heal",'Reels'!D88*'Slots'!D24,0)+IF('Reels'!D103="heal",'Reels'!D104*'Slots'!D24,0)</f>
        <v>4</v>
      </c>
      <c r="F357">
        <f>IF('Reels'!D66="block",'Reels'!D67*'Slots'!D25,0)+IF('Reels'!D87="block",'Reels'!D88*'Slots'!D25,0)+IF('Reels'!D103="block",'Reels'!D104*'Slots'!D25,0)</f>
        <v>1</v>
      </c>
      <c r="G357" t="b">
        <f>AND('Reels'!D66&lt;&gt;"blank",'Reels'!D66&lt;&gt;"class",'Reels'!D66='Reels'!D103,'Reels'!D67='Reels'!D104,OR('Reels'!D87="class",AND('Reels'!D87='Reels'!D66,'Reels'!D88='Reels'!D67)))</f>
        <v>0</v>
      </c>
      <c r="H357">
        <f>IF(G357,C357,0)</f>
        <v>0</v>
      </c>
    </row>
    <row r="358" spans="1:8" x14ac:dyDescent="0.25">
      <c r="A358" t="s">
        <v>247</v>
      </c>
      <c r="B358" t="s">
        <v>3703</v>
      </c>
      <c r="C358" s="4">
        <f>('Reels'!D68/('Reels'!D62+'Reels'!D65+'Reels'!D68+'Reels'!D71+'Reels'!D74+'Reels'!D77))*('Reels'!D89/('Reels'!D80+'Reels'!D83+'Reels'!D86+'Reels'!D89+'Reels'!D92+'Reels'!D95+'Reels'!D98))*('Reels'!D108/('Reels'!D102+'Reels'!D105+'Reels'!D108+'Reels'!D111+'Reels'!D114+'Reels'!D117))</f>
        <v>0.00009351912466099317</v>
      </c>
      <c r="D358">
        <f>IF(OR('Reels'!D66="attack",'Reels'!D66="magic"),CHOOSE('Reels'!D67+1,'Slots'!D29,'Slots'!D30,'Slots'!D31,'Slots'!D32,'Slots'!D33),0)+IF(OR('Reels'!D87="attack",'Reels'!D87="magic"),CHOOSE('Reels'!D88+1,'Slots'!D29,'Slots'!D30,'Slots'!D31,'Slots'!D32,'Slots'!D33),0)+IF(OR('Reels'!D106="attack",'Reels'!D106="magic"),CHOOSE('Reels'!D107+1,'Slots'!D29,'Slots'!D30,'Slots'!D31,'Slots'!D32,'Slots'!D33),0)</f>
        <v>0</v>
      </c>
      <c r="E358">
        <f>IF('Reels'!D66="heal",'Reels'!D67*'Slots'!D24,0)+IF('Reels'!D87="heal",'Reels'!D88*'Slots'!D24,0)+IF('Reels'!D106="heal",'Reels'!D107*'Slots'!D24,0)</f>
        <v>0</v>
      </c>
      <c r="F358">
        <f>IF('Reels'!D66="block",'Reels'!D67*'Slots'!D25,0)+IF('Reels'!D87="block",'Reels'!D88*'Slots'!D25,0)+IF('Reels'!D106="block",'Reels'!D107*'Slots'!D25,0)</f>
        <v>2</v>
      </c>
      <c r="G358" t="b">
        <f>AND('Reels'!D66&lt;&gt;"blank",'Reels'!D66&lt;&gt;"class",'Reels'!D66='Reels'!D106,'Reels'!D67='Reels'!D107,OR('Reels'!D87="class",AND('Reels'!D87='Reels'!D66,'Reels'!D88='Reels'!D67)))</f>
        <v>0</v>
      </c>
      <c r="H358">
        <f>IF(G358,C358,0)</f>
        <v>0</v>
      </c>
    </row>
    <row r="359" spans="1:8" x14ac:dyDescent="0.25">
      <c r="A359" t="s">
        <v>247</v>
      </c>
      <c r="B359" t="s">
        <v>3704</v>
      </c>
      <c r="C359" s="4">
        <f>('Reels'!D68/('Reels'!D62+'Reels'!D65+'Reels'!D68+'Reels'!D71+'Reels'!D74+'Reels'!D77))*('Reels'!D89/('Reels'!D80+'Reels'!D83+'Reels'!D86+'Reels'!D89+'Reels'!D92+'Reels'!D95+'Reels'!D98))*('Reels'!D111/('Reels'!D102+'Reels'!D105+'Reels'!D108+'Reels'!D111+'Reels'!D114+'Reels'!D117))</f>
        <v>0.000046759562330496584</v>
      </c>
      <c r="D359">
        <f>IF(OR('Reels'!D66="attack",'Reels'!D66="magic"),CHOOSE('Reels'!D67+1,'Slots'!D29,'Slots'!D30,'Slots'!D31,'Slots'!D32,'Slots'!D33),0)+IF(OR('Reels'!D87="attack",'Reels'!D87="magic"),CHOOSE('Reels'!D88+1,'Slots'!D29,'Slots'!D30,'Slots'!D31,'Slots'!D32,'Slots'!D33),0)+IF(OR('Reels'!D109="attack",'Reels'!D109="magic"),CHOOSE('Reels'!D110+1,'Slots'!D29,'Slots'!D30,'Slots'!D31,'Slots'!D32,'Slots'!D33),0)</f>
        <v>0</v>
      </c>
      <c r="E359">
        <f>IF('Reels'!D66="heal",'Reels'!D67*'Slots'!D24,0)+IF('Reels'!D87="heal",'Reels'!D88*'Slots'!D24,0)+IF('Reels'!D109="heal",'Reels'!D110*'Slots'!D24,0)</f>
        <v>0</v>
      </c>
      <c r="F359">
        <f>IF('Reels'!D66="block",'Reels'!D67*'Slots'!D25,0)+IF('Reels'!D87="block",'Reels'!D88*'Slots'!D25,0)+IF('Reels'!D109="block",'Reels'!D110*'Slots'!D25,0)</f>
        <v>1</v>
      </c>
      <c r="G359" t="b">
        <f>AND('Reels'!D66&lt;&gt;"blank",'Reels'!D66&lt;&gt;"class",'Reels'!D66='Reels'!D109,'Reels'!D67='Reels'!D110,OR('Reels'!D87="class",AND('Reels'!D87='Reels'!D66,'Reels'!D88='Reels'!D67)))</f>
        <v>0</v>
      </c>
      <c r="H359">
        <f>IF(G359,C359,0)</f>
        <v>0</v>
      </c>
    </row>
    <row r="360" spans="1:8" x14ac:dyDescent="0.25">
      <c r="A360" t="s">
        <v>247</v>
      </c>
      <c r="B360" t="s">
        <v>3705</v>
      </c>
      <c r="C360" s="4">
        <f>('Reels'!D68/('Reels'!D62+'Reels'!D65+'Reels'!D68+'Reels'!D71+'Reels'!D74+'Reels'!D77))*('Reels'!D89/('Reels'!D80+'Reels'!D83+'Reels'!D86+'Reels'!D89+'Reels'!D92+'Reels'!D95+'Reels'!D98))*('Reels'!D114/('Reels'!D102+'Reels'!D105+'Reels'!D108+'Reels'!D111+'Reels'!D114+'Reels'!D117))</f>
        <v>0.000046759562330496584</v>
      </c>
      <c r="D360">
        <f>IF(OR('Reels'!D66="attack",'Reels'!D66="magic"),CHOOSE('Reels'!D67+1,'Slots'!D29,'Slots'!D30,'Slots'!D31,'Slots'!D32,'Slots'!D33),0)+IF(OR('Reels'!D87="attack",'Reels'!D87="magic"),CHOOSE('Reels'!D88+1,'Slots'!D29,'Slots'!D30,'Slots'!D31,'Slots'!D32,'Slots'!D33),0)+IF(OR('Reels'!D112="attack",'Reels'!D112="magic"),CHOOSE('Reels'!D113+1,'Slots'!D29,'Slots'!D30,'Slots'!D31,'Slots'!D32,'Slots'!D33),0)</f>
        <v>2</v>
      </c>
      <c r="E360">
        <f>IF('Reels'!D66="heal",'Reels'!D67*'Slots'!D24,0)+IF('Reels'!D87="heal",'Reels'!D88*'Slots'!D24,0)+IF('Reels'!D112="heal",'Reels'!D113*'Slots'!D24,0)</f>
        <v>0</v>
      </c>
      <c r="F360">
        <f>IF('Reels'!D66="block",'Reels'!D67*'Slots'!D25,0)+IF('Reels'!D87="block",'Reels'!D88*'Slots'!D25,0)+IF('Reels'!D112="block",'Reels'!D113*'Slots'!D25,0)</f>
        <v>1</v>
      </c>
      <c r="G360" t="b">
        <f>AND('Reels'!D66&lt;&gt;"blank",'Reels'!D66&lt;&gt;"class",'Reels'!D66='Reels'!D112,'Reels'!D67='Reels'!D113,OR('Reels'!D87="class",AND('Reels'!D87='Reels'!D66,'Reels'!D88='Reels'!D67)))</f>
        <v>0</v>
      </c>
      <c r="H360">
        <f>IF(G360,C360,0)</f>
        <v>0</v>
      </c>
    </row>
    <row r="361" spans="1:8" x14ac:dyDescent="0.25">
      <c r="A361" t="s">
        <v>247</v>
      </c>
      <c r="B361" t="s">
        <v>3706</v>
      </c>
      <c r="C361" s="4">
        <f>('Reels'!D68/('Reels'!D62+'Reels'!D65+'Reels'!D68+'Reels'!D71+'Reels'!D74+'Reels'!D77))*('Reels'!D89/('Reels'!D80+'Reels'!D83+'Reels'!D86+'Reels'!D89+'Reels'!D92+'Reels'!D95+'Reels'!D98))*('Reels'!D117/('Reels'!D102+'Reels'!D105+'Reels'!D108+'Reels'!D111+'Reels'!D114+'Reels'!D117))</f>
        <v>0.00018703824932198634</v>
      </c>
      <c r="D361">
        <f>IF(OR('Reels'!D66="attack",'Reels'!D66="magic"),CHOOSE('Reels'!D67+1,'Slots'!D29,'Slots'!D30,'Slots'!D31,'Slots'!D32,'Slots'!D33),0)+IF(OR('Reels'!D87="attack",'Reels'!D87="magic"),CHOOSE('Reels'!D88+1,'Slots'!D29,'Slots'!D30,'Slots'!D31,'Slots'!D32,'Slots'!D33),0)+IF(OR('Reels'!D115="attack",'Reels'!D115="magic"),CHOOSE('Reels'!D116+1,'Slots'!D29,'Slots'!D30,'Slots'!D31,'Slots'!D32,'Slots'!D33),0)</f>
        <v>0</v>
      </c>
      <c r="E361">
        <f>IF('Reels'!D66="heal",'Reels'!D67*'Slots'!D24,0)+IF('Reels'!D87="heal",'Reels'!D88*'Slots'!D24,0)+IF('Reels'!D115="heal",'Reels'!D116*'Slots'!D24,0)</f>
        <v>0</v>
      </c>
      <c r="F361">
        <f>IF('Reels'!D66="block",'Reels'!D67*'Slots'!D25,0)+IF('Reels'!D87="block",'Reels'!D88*'Slots'!D25,0)+IF('Reels'!D115="block",'Reels'!D116*'Slots'!D25,0)</f>
        <v>1</v>
      </c>
      <c r="G361" t="b">
        <f>AND('Reels'!D66&lt;&gt;"blank",'Reels'!D66&lt;&gt;"class",'Reels'!D66='Reels'!D115,'Reels'!D67='Reels'!D116,OR('Reels'!D87="class",AND('Reels'!D87='Reels'!D66,'Reels'!D88='Reels'!D67)))</f>
        <v>0</v>
      </c>
      <c r="H361">
        <f>IF(G361,C361,0)</f>
        <v>0</v>
      </c>
    </row>
    <row r="362" spans="1:8" x14ac:dyDescent="0.25">
      <c r="A362" t="s">
        <v>247</v>
      </c>
      <c r="B362" t="s">
        <v>3707</v>
      </c>
      <c r="C362" s="4">
        <f>('Reels'!D68/('Reels'!D62+'Reels'!D65+'Reels'!D68+'Reels'!D71+'Reels'!D74+'Reels'!D77))*('Reels'!D92/('Reels'!D80+'Reels'!D83+'Reels'!D86+'Reels'!D89+'Reels'!D92+'Reels'!D95+'Reels'!D98))*('Reels'!D102/('Reels'!D102+'Reels'!D105+'Reels'!D108+'Reels'!D111+'Reels'!D114+'Reels'!D117))</f>
        <v>0.0006546338726269522</v>
      </c>
      <c r="D362">
        <f>IF(OR('Reels'!D66="attack",'Reels'!D66="magic"),CHOOSE('Reels'!D67+1,'Slots'!D29,'Slots'!D30,'Slots'!D31,'Slots'!D32,'Slots'!D33),0)+IF(OR('Reels'!D90="attack",'Reels'!D90="magic"),CHOOSE('Reels'!D91+1,'Slots'!D29,'Slots'!D30,'Slots'!D31,'Slots'!D32,'Slots'!D33),0)+IF(OR('Reels'!D100="attack",'Reels'!D100="magic"),CHOOSE('Reels'!D101+1,'Slots'!D29,'Slots'!D30,'Slots'!D31,'Slots'!D32,'Slots'!D33),0)</f>
        <v>2</v>
      </c>
      <c r="E362">
        <f>IF('Reels'!D66="heal",'Reels'!D67*'Slots'!D24,0)+IF('Reels'!D90="heal",'Reels'!D91*'Slots'!D24,0)+IF('Reels'!D100="heal",'Reels'!D101*'Slots'!D24,0)</f>
        <v>2</v>
      </c>
      <c r="F362">
        <f>IF('Reels'!D66="block",'Reels'!D67*'Slots'!D25,0)+IF('Reels'!D90="block",'Reels'!D91*'Slots'!D25,0)+IF('Reels'!D100="block",'Reels'!D101*'Slots'!D25,0)</f>
        <v>1</v>
      </c>
      <c r="G362" t="b">
        <f>AND('Reels'!D66&lt;&gt;"blank",'Reels'!D66&lt;&gt;"class",'Reels'!D66='Reels'!D100,'Reels'!D67='Reels'!D101,OR('Reels'!D90="class",AND('Reels'!D90='Reels'!D66,'Reels'!D91='Reels'!D67)))</f>
        <v>0</v>
      </c>
      <c r="H362">
        <f>IF(G362,C362,0)</f>
        <v>0</v>
      </c>
    </row>
    <row r="363" spans="1:8" x14ac:dyDescent="0.25">
      <c r="A363" t="s">
        <v>247</v>
      </c>
      <c r="B363" t="s">
        <v>3708</v>
      </c>
      <c r="C363" s="4">
        <f>('Reels'!D68/('Reels'!D62+'Reels'!D65+'Reels'!D68+'Reels'!D71+'Reels'!D74+'Reels'!D77))*('Reels'!D92/('Reels'!D80+'Reels'!D83+'Reels'!D86+'Reels'!D89+'Reels'!D92+'Reels'!D95+'Reels'!D98))*('Reels'!D105/('Reels'!D102+'Reels'!D105+'Reels'!D108+'Reels'!D111+'Reels'!D114+'Reels'!D117))</f>
        <v>0.000561114747965959</v>
      </c>
      <c r="D363">
        <f>IF(OR('Reels'!D66="attack",'Reels'!D66="magic"),CHOOSE('Reels'!D67+1,'Slots'!D29,'Slots'!D30,'Slots'!D31,'Slots'!D32,'Slots'!D33),0)+IF(OR('Reels'!D90="attack",'Reels'!D90="magic"),CHOOSE('Reels'!D91+1,'Slots'!D29,'Slots'!D30,'Slots'!D31,'Slots'!D32,'Slots'!D33),0)+IF(OR('Reels'!D103="attack",'Reels'!D103="magic"),CHOOSE('Reels'!D104+1,'Slots'!D29,'Slots'!D30,'Slots'!D31,'Slots'!D32,'Slots'!D33),0)</f>
        <v>2</v>
      </c>
      <c r="E363">
        <f>IF('Reels'!D66="heal",'Reels'!D67*'Slots'!D24,0)+IF('Reels'!D90="heal",'Reels'!D91*'Slots'!D24,0)+IF('Reels'!D103="heal",'Reels'!D104*'Slots'!D24,0)</f>
        <v>4</v>
      </c>
      <c r="F363">
        <f>IF('Reels'!D66="block",'Reels'!D67*'Slots'!D25,0)+IF('Reels'!D90="block",'Reels'!D91*'Slots'!D25,0)+IF('Reels'!D103="block",'Reels'!D104*'Slots'!D25,0)</f>
        <v>1</v>
      </c>
      <c r="G363" t="b">
        <f>AND('Reels'!D66&lt;&gt;"blank",'Reels'!D66&lt;&gt;"class",'Reels'!D66='Reels'!D103,'Reels'!D67='Reels'!D104,OR('Reels'!D90="class",AND('Reels'!D90='Reels'!D66,'Reels'!D91='Reels'!D67)))</f>
        <v>0</v>
      </c>
      <c r="H363">
        <f>IF(G363,C363,0)</f>
        <v>0</v>
      </c>
    </row>
    <row r="364" spans="1:8" x14ac:dyDescent="0.25">
      <c r="A364" t="s">
        <v>247</v>
      </c>
      <c r="B364" t="s">
        <v>3709</v>
      </c>
      <c r="C364" s="4">
        <f>('Reels'!D68/('Reels'!D62+'Reels'!D65+'Reels'!D68+'Reels'!D71+'Reels'!D74+'Reels'!D77))*('Reels'!D92/('Reels'!D80+'Reels'!D83+'Reels'!D86+'Reels'!D89+'Reels'!D92+'Reels'!D95+'Reels'!D98))*('Reels'!D108/('Reels'!D102+'Reels'!D105+'Reels'!D108+'Reels'!D111+'Reels'!D114+'Reels'!D117))</f>
        <v>0.00009351912466099317</v>
      </c>
      <c r="D364">
        <f>IF(OR('Reels'!D66="attack",'Reels'!D66="magic"),CHOOSE('Reels'!D67+1,'Slots'!D29,'Slots'!D30,'Slots'!D31,'Slots'!D32,'Slots'!D33),0)+IF(OR('Reels'!D90="attack",'Reels'!D90="magic"),CHOOSE('Reels'!D91+1,'Slots'!D29,'Slots'!D30,'Slots'!D31,'Slots'!D32,'Slots'!D33),0)+IF(OR('Reels'!D106="attack",'Reels'!D106="magic"),CHOOSE('Reels'!D107+1,'Slots'!D29,'Slots'!D30,'Slots'!D31,'Slots'!D32,'Slots'!D33),0)</f>
        <v>2</v>
      </c>
      <c r="E364">
        <f>IF('Reels'!D66="heal",'Reels'!D67*'Slots'!D24,0)+IF('Reels'!D90="heal",'Reels'!D91*'Slots'!D24,0)+IF('Reels'!D106="heal",'Reels'!D107*'Slots'!D24,0)</f>
        <v>0</v>
      </c>
      <c r="F364">
        <f>IF('Reels'!D66="block",'Reels'!D67*'Slots'!D25,0)+IF('Reels'!D90="block",'Reels'!D91*'Slots'!D25,0)+IF('Reels'!D106="block",'Reels'!D107*'Slots'!D25,0)</f>
        <v>2</v>
      </c>
      <c r="G364" t="b">
        <f>AND('Reels'!D66&lt;&gt;"blank",'Reels'!D66&lt;&gt;"class",'Reels'!D66='Reels'!D106,'Reels'!D67='Reels'!D107,OR('Reels'!D90="class",AND('Reels'!D90='Reels'!D66,'Reels'!D91='Reels'!D67)))</f>
        <v>0</v>
      </c>
      <c r="H364">
        <f>IF(G364,C364,0)</f>
        <v>0</v>
      </c>
    </row>
    <row r="365" spans="1:8" x14ac:dyDescent="0.25">
      <c r="A365" t="s">
        <v>247</v>
      </c>
      <c r="B365" t="s">
        <v>3710</v>
      </c>
      <c r="C365" s="4">
        <f>('Reels'!D68/('Reels'!D62+'Reels'!D65+'Reels'!D68+'Reels'!D71+'Reels'!D74+'Reels'!D77))*('Reels'!D92/('Reels'!D80+'Reels'!D83+'Reels'!D86+'Reels'!D89+'Reels'!D92+'Reels'!D95+'Reels'!D98))*('Reels'!D111/('Reels'!D102+'Reels'!D105+'Reels'!D108+'Reels'!D111+'Reels'!D114+'Reels'!D117))</f>
        <v>0.000046759562330496584</v>
      </c>
      <c r="D365">
        <f>IF(OR('Reels'!D66="attack",'Reels'!D66="magic"),CHOOSE('Reels'!D67+1,'Slots'!D29,'Slots'!D30,'Slots'!D31,'Slots'!D32,'Slots'!D33),0)+IF(OR('Reels'!D90="attack",'Reels'!D90="magic"),CHOOSE('Reels'!D91+1,'Slots'!D29,'Slots'!D30,'Slots'!D31,'Slots'!D32,'Slots'!D33),0)+IF(OR('Reels'!D109="attack",'Reels'!D109="magic"),CHOOSE('Reels'!D110+1,'Slots'!D29,'Slots'!D30,'Slots'!D31,'Slots'!D32,'Slots'!D33),0)</f>
        <v>2</v>
      </c>
      <c r="E365">
        <f>IF('Reels'!D66="heal",'Reels'!D67*'Slots'!D24,0)+IF('Reels'!D90="heal",'Reels'!D91*'Slots'!D24,0)+IF('Reels'!D109="heal",'Reels'!D110*'Slots'!D24,0)</f>
        <v>0</v>
      </c>
      <c r="F365">
        <f>IF('Reels'!D66="block",'Reels'!D67*'Slots'!D25,0)+IF('Reels'!D90="block",'Reels'!D91*'Slots'!D25,0)+IF('Reels'!D109="block",'Reels'!D110*'Slots'!D25,0)</f>
        <v>1</v>
      </c>
      <c r="G365" t="b">
        <f>AND('Reels'!D66&lt;&gt;"blank",'Reels'!D66&lt;&gt;"class",'Reels'!D66='Reels'!D109,'Reels'!D67='Reels'!D110,OR('Reels'!D90="class",AND('Reels'!D90='Reels'!D66,'Reels'!D91='Reels'!D67)))</f>
        <v>0</v>
      </c>
      <c r="H365">
        <f>IF(G365,C365,0)</f>
        <v>0</v>
      </c>
    </row>
    <row r="366" spans="1:8" x14ac:dyDescent="0.25">
      <c r="A366" t="s">
        <v>247</v>
      </c>
      <c r="B366" t="s">
        <v>3711</v>
      </c>
      <c r="C366" s="4">
        <f>('Reels'!D68/('Reels'!D62+'Reels'!D65+'Reels'!D68+'Reels'!D71+'Reels'!D74+'Reels'!D77))*('Reels'!D92/('Reels'!D80+'Reels'!D83+'Reels'!D86+'Reels'!D89+'Reels'!D92+'Reels'!D95+'Reels'!D98))*('Reels'!D114/('Reels'!D102+'Reels'!D105+'Reels'!D108+'Reels'!D111+'Reels'!D114+'Reels'!D117))</f>
        <v>0.000046759562330496584</v>
      </c>
      <c r="D366">
        <f>IF(OR('Reels'!D66="attack",'Reels'!D66="magic"),CHOOSE('Reels'!D67+1,'Slots'!D29,'Slots'!D30,'Slots'!D31,'Slots'!D32,'Slots'!D33),0)+IF(OR('Reels'!D90="attack",'Reels'!D90="magic"),CHOOSE('Reels'!D91+1,'Slots'!D29,'Slots'!D30,'Slots'!D31,'Slots'!D32,'Slots'!D33),0)+IF(OR('Reels'!D112="attack",'Reels'!D112="magic"),CHOOSE('Reels'!D113+1,'Slots'!D29,'Slots'!D30,'Slots'!D31,'Slots'!D32,'Slots'!D33),0)</f>
        <v>4</v>
      </c>
      <c r="E366">
        <f>IF('Reels'!D66="heal",'Reels'!D67*'Slots'!D24,0)+IF('Reels'!D90="heal",'Reels'!D91*'Slots'!D24,0)+IF('Reels'!D112="heal",'Reels'!D113*'Slots'!D24,0)</f>
        <v>0</v>
      </c>
      <c r="F366">
        <f>IF('Reels'!D66="block",'Reels'!D67*'Slots'!D25,0)+IF('Reels'!D90="block",'Reels'!D91*'Slots'!D25,0)+IF('Reels'!D112="block",'Reels'!D113*'Slots'!D25,0)</f>
        <v>1</v>
      </c>
      <c r="G366" t="b">
        <f>AND('Reels'!D66&lt;&gt;"blank",'Reels'!D66&lt;&gt;"class",'Reels'!D66='Reels'!D112,'Reels'!D67='Reels'!D113,OR('Reels'!D90="class",AND('Reels'!D90='Reels'!D66,'Reels'!D91='Reels'!D67)))</f>
        <v>0</v>
      </c>
      <c r="H366">
        <f>IF(G366,C366,0)</f>
        <v>0</v>
      </c>
    </row>
    <row r="367" spans="1:8" x14ac:dyDescent="0.25">
      <c r="A367" t="s">
        <v>247</v>
      </c>
      <c r="B367" t="s">
        <v>3712</v>
      </c>
      <c r="C367" s="4">
        <f>('Reels'!D68/('Reels'!D62+'Reels'!D65+'Reels'!D68+'Reels'!D71+'Reels'!D74+'Reels'!D77))*('Reels'!D92/('Reels'!D80+'Reels'!D83+'Reels'!D86+'Reels'!D89+'Reels'!D92+'Reels'!D95+'Reels'!D98))*('Reels'!D117/('Reels'!D102+'Reels'!D105+'Reels'!D108+'Reels'!D111+'Reels'!D114+'Reels'!D117))</f>
        <v>0.00018703824932198634</v>
      </c>
      <c r="D367">
        <f>IF(OR('Reels'!D66="attack",'Reels'!D66="magic"),CHOOSE('Reels'!D67+1,'Slots'!D29,'Slots'!D30,'Slots'!D31,'Slots'!D32,'Slots'!D33),0)+IF(OR('Reels'!D90="attack",'Reels'!D90="magic"),CHOOSE('Reels'!D91+1,'Slots'!D29,'Slots'!D30,'Slots'!D31,'Slots'!D32,'Slots'!D33),0)+IF(OR('Reels'!D115="attack",'Reels'!D115="magic"),CHOOSE('Reels'!D116+1,'Slots'!D29,'Slots'!D30,'Slots'!D31,'Slots'!D32,'Slots'!D33),0)</f>
        <v>2</v>
      </c>
      <c r="E367">
        <f>IF('Reels'!D66="heal",'Reels'!D67*'Slots'!D24,0)+IF('Reels'!D90="heal",'Reels'!D91*'Slots'!D24,0)+IF('Reels'!D115="heal",'Reels'!D116*'Slots'!D24,0)</f>
        <v>0</v>
      </c>
      <c r="F367">
        <f>IF('Reels'!D66="block",'Reels'!D67*'Slots'!D25,0)+IF('Reels'!D90="block",'Reels'!D91*'Slots'!D25,0)+IF('Reels'!D115="block",'Reels'!D116*'Slots'!D25,0)</f>
        <v>1</v>
      </c>
      <c r="G367" t="b">
        <f>AND('Reels'!D66&lt;&gt;"blank",'Reels'!D66&lt;&gt;"class",'Reels'!D66='Reels'!D115,'Reels'!D67='Reels'!D116,OR('Reels'!D90="class",AND('Reels'!D90='Reels'!D66,'Reels'!D91='Reels'!D67)))</f>
        <v>0</v>
      </c>
      <c r="H367">
        <f>IF(G367,C367,0)</f>
        <v>0</v>
      </c>
    </row>
    <row r="368" spans="1:8" x14ac:dyDescent="0.25">
      <c r="A368" t="s">
        <v>247</v>
      </c>
      <c r="B368" t="s">
        <v>3483</v>
      </c>
      <c r="C368" s="4">
        <f>('Reels'!D68/('Reels'!D62+'Reels'!D65+'Reels'!D68+'Reels'!D71+'Reels'!D74+'Reels'!D77))*('Reels'!D95/('Reels'!D80+'Reels'!D83+'Reels'!D86+'Reels'!D89+'Reels'!D92+'Reels'!D95+'Reels'!D98))*('Reels'!D102/('Reels'!D102+'Reels'!D105+'Reels'!D108+'Reels'!D111+'Reels'!D114+'Reels'!D117))</f>
        <v>0.002618535490507809</v>
      </c>
      <c r="D368">
        <f>IF(OR('Reels'!D66="attack",'Reels'!D66="magic"),CHOOSE('Reels'!D67+1,'Slots'!D29,'Slots'!D30,'Slots'!D31,'Slots'!D32,'Slots'!D33),0)+IF(OR('Reels'!D93="attack",'Reels'!D93="magic"),CHOOSE('Reels'!D94+1,'Slots'!D29,'Slots'!D30,'Slots'!D31,'Slots'!D32,'Slots'!D33),0)+IF(OR('Reels'!D100="attack",'Reels'!D100="magic"),CHOOSE('Reels'!D101+1,'Slots'!D29,'Slots'!D30,'Slots'!D31,'Slots'!D32,'Slots'!D33),0)</f>
        <v>0</v>
      </c>
      <c r="E368">
        <f>IF('Reels'!D66="heal",'Reels'!D67*'Slots'!D24,0)+IF('Reels'!D93="heal",'Reels'!D94*'Slots'!D24,0)+IF('Reels'!D100="heal",'Reels'!D101*'Slots'!D24,0)</f>
        <v>2</v>
      </c>
      <c r="F368">
        <f>IF('Reels'!D66="block",'Reels'!D67*'Slots'!D25,0)+IF('Reels'!D93="block",'Reels'!D94*'Slots'!D25,0)+IF('Reels'!D100="block",'Reels'!D101*'Slots'!D25,0)</f>
        <v>1</v>
      </c>
      <c r="G368" t="b">
        <f>AND('Reels'!D66&lt;&gt;"blank",'Reels'!D66&lt;&gt;"class",'Reels'!D66='Reels'!D100,'Reels'!D67='Reels'!D101,OR('Reels'!D93="class",AND('Reels'!D93='Reels'!D66,'Reels'!D94='Reels'!D67)))</f>
        <v>0</v>
      </c>
      <c r="H368">
        <f>IF(G368,C368,0)</f>
        <v>0</v>
      </c>
    </row>
    <row r="369" spans="1:8" x14ac:dyDescent="0.25">
      <c r="A369" t="s">
        <v>247</v>
      </c>
      <c r="B369" t="s">
        <v>3713</v>
      </c>
      <c r="C369" s="4">
        <f>('Reels'!D68/('Reels'!D62+'Reels'!D65+'Reels'!D68+'Reels'!D71+'Reels'!D74+'Reels'!D77))*('Reels'!D95/('Reels'!D80+'Reels'!D83+'Reels'!D86+'Reels'!D89+'Reels'!D92+'Reels'!D95+'Reels'!D98))*('Reels'!D105/('Reels'!D102+'Reels'!D105+'Reels'!D108+'Reels'!D111+'Reels'!D114+'Reels'!D117))</f>
        <v>0.002244458991863836</v>
      </c>
      <c r="D369">
        <f>IF(OR('Reels'!D66="attack",'Reels'!D66="magic"),CHOOSE('Reels'!D67+1,'Slots'!D29,'Slots'!D30,'Slots'!D31,'Slots'!D32,'Slots'!D33),0)+IF(OR('Reels'!D93="attack",'Reels'!D93="magic"),CHOOSE('Reels'!D94+1,'Slots'!D29,'Slots'!D30,'Slots'!D31,'Slots'!D32,'Slots'!D33),0)+IF(OR('Reels'!D103="attack",'Reels'!D103="magic"),CHOOSE('Reels'!D104+1,'Slots'!D29,'Slots'!D30,'Slots'!D31,'Slots'!D32,'Slots'!D33),0)</f>
        <v>0</v>
      </c>
      <c r="E369">
        <f>IF('Reels'!D66="heal",'Reels'!D67*'Slots'!D24,0)+IF('Reels'!D93="heal",'Reels'!D94*'Slots'!D24,0)+IF('Reels'!D103="heal",'Reels'!D104*'Slots'!D24,0)</f>
        <v>4</v>
      </c>
      <c r="F369">
        <f>IF('Reels'!D66="block",'Reels'!D67*'Slots'!D25,0)+IF('Reels'!D93="block",'Reels'!D94*'Slots'!D25,0)+IF('Reels'!D103="block",'Reels'!D104*'Slots'!D25,0)</f>
        <v>1</v>
      </c>
      <c r="G369" t="b">
        <f>AND('Reels'!D66&lt;&gt;"blank",'Reels'!D66&lt;&gt;"class",'Reels'!D66='Reels'!D103,'Reels'!D67='Reels'!D104,OR('Reels'!D93="class",AND('Reels'!D93='Reels'!D66,'Reels'!D94='Reels'!D67)))</f>
        <v>0</v>
      </c>
      <c r="H369">
        <f>IF(G369,C369,0)</f>
        <v>0</v>
      </c>
    </row>
    <row r="370" spans="1:8" x14ac:dyDescent="0.25">
      <c r="A370" t="s">
        <v>247</v>
      </c>
      <c r="B370" t="s">
        <v>3481</v>
      </c>
      <c r="C370" s="4">
        <f>('Reels'!D68/('Reels'!D62+'Reels'!D65+'Reels'!D68+'Reels'!D71+'Reels'!D74+'Reels'!D77))*('Reels'!D95/('Reels'!D80+'Reels'!D83+'Reels'!D86+'Reels'!D89+'Reels'!D92+'Reels'!D95+'Reels'!D98))*('Reels'!D108/('Reels'!D102+'Reels'!D105+'Reels'!D108+'Reels'!D111+'Reels'!D114+'Reels'!D117))</f>
        <v>0.00037407649864397267</v>
      </c>
      <c r="D370">
        <f>IF(OR('Reels'!D66="attack",'Reels'!D66="magic"),CHOOSE('Reels'!D67+1,'Slots'!D29,'Slots'!D30,'Slots'!D31,'Slots'!D32,'Slots'!D33),0)+IF(OR('Reels'!D93="attack",'Reels'!D93="magic"),CHOOSE('Reels'!D94+1,'Slots'!D29,'Slots'!D30,'Slots'!D31,'Slots'!D32,'Slots'!D33),0)+IF(OR('Reels'!D106="attack",'Reels'!D106="magic"),CHOOSE('Reels'!D107+1,'Slots'!D29,'Slots'!D30,'Slots'!D31,'Slots'!D32,'Slots'!D33),0)</f>
        <v>0</v>
      </c>
      <c r="E370">
        <f>IF('Reels'!D66="heal",'Reels'!D67*'Slots'!D24,0)+IF('Reels'!D93="heal",'Reels'!D94*'Slots'!D24,0)+IF('Reels'!D106="heal",'Reels'!D107*'Slots'!D24,0)</f>
        <v>0</v>
      </c>
      <c r="F370">
        <f>IF('Reels'!D66="block",'Reels'!D67*'Slots'!D25,0)+IF('Reels'!D93="block",'Reels'!D94*'Slots'!D25,0)+IF('Reels'!D106="block",'Reels'!D107*'Slots'!D25,0)</f>
        <v>2</v>
      </c>
      <c r="G370" t="b">
        <f>AND('Reels'!D66&lt;&gt;"blank",'Reels'!D66&lt;&gt;"class",'Reels'!D66='Reels'!D106,'Reels'!D67='Reels'!D107,OR('Reels'!D93="class",AND('Reels'!D93='Reels'!D66,'Reels'!D94='Reels'!D67)))</f>
        <v>0</v>
      </c>
      <c r="H370">
        <f>IF(G370,C370,0)</f>
        <v>0</v>
      </c>
    </row>
    <row r="371" spans="1:8" x14ac:dyDescent="0.25">
      <c r="A371" t="s">
        <v>247</v>
      </c>
      <c r="B371" t="s">
        <v>3714</v>
      </c>
      <c r="C371" s="4">
        <f>('Reels'!D68/('Reels'!D62+'Reels'!D65+'Reels'!D68+'Reels'!D71+'Reels'!D74+'Reels'!D77))*('Reels'!D95/('Reels'!D80+'Reels'!D83+'Reels'!D86+'Reels'!D89+'Reels'!D92+'Reels'!D95+'Reels'!D98))*('Reels'!D111/('Reels'!D102+'Reels'!D105+'Reels'!D108+'Reels'!D111+'Reels'!D114+'Reels'!D117))</f>
        <v>0.00018703824932198634</v>
      </c>
      <c r="D371">
        <f>IF(OR('Reels'!D66="attack",'Reels'!D66="magic"),CHOOSE('Reels'!D67+1,'Slots'!D29,'Slots'!D30,'Slots'!D31,'Slots'!D32,'Slots'!D33),0)+IF(OR('Reels'!D93="attack",'Reels'!D93="magic"),CHOOSE('Reels'!D94+1,'Slots'!D29,'Slots'!D30,'Slots'!D31,'Slots'!D32,'Slots'!D33),0)+IF(OR('Reels'!D109="attack",'Reels'!D109="magic"),CHOOSE('Reels'!D110+1,'Slots'!D29,'Slots'!D30,'Slots'!D31,'Slots'!D32,'Slots'!D33),0)</f>
        <v>0</v>
      </c>
      <c r="E371">
        <f>IF('Reels'!D66="heal",'Reels'!D67*'Slots'!D24,0)+IF('Reels'!D93="heal",'Reels'!D94*'Slots'!D24,0)+IF('Reels'!D109="heal",'Reels'!D110*'Slots'!D24,0)</f>
        <v>0</v>
      </c>
      <c r="F371">
        <f>IF('Reels'!D66="block",'Reels'!D67*'Slots'!D25,0)+IF('Reels'!D93="block",'Reels'!D94*'Slots'!D25,0)+IF('Reels'!D109="block",'Reels'!D110*'Slots'!D25,0)</f>
        <v>1</v>
      </c>
      <c r="G371" t="b">
        <f>AND('Reels'!D66&lt;&gt;"blank",'Reels'!D66&lt;&gt;"class",'Reels'!D66='Reels'!D109,'Reels'!D67='Reels'!D110,OR('Reels'!D93="class",AND('Reels'!D93='Reels'!D66,'Reels'!D94='Reels'!D67)))</f>
        <v>0</v>
      </c>
      <c r="H371">
        <f>IF(G371,C371,0)</f>
        <v>0</v>
      </c>
    </row>
    <row r="372" spans="1:8" x14ac:dyDescent="0.25">
      <c r="A372" t="s">
        <v>247</v>
      </c>
      <c r="B372" t="s">
        <v>3715</v>
      </c>
      <c r="C372" s="4">
        <f>('Reels'!D68/('Reels'!D62+'Reels'!D65+'Reels'!D68+'Reels'!D71+'Reels'!D74+'Reels'!D77))*('Reels'!D95/('Reels'!D80+'Reels'!D83+'Reels'!D86+'Reels'!D89+'Reels'!D92+'Reels'!D95+'Reels'!D98))*('Reels'!D114/('Reels'!D102+'Reels'!D105+'Reels'!D108+'Reels'!D111+'Reels'!D114+'Reels'!D117))</f>
        <v>0.00018703824932198634</v>
      </c>
      <c r="D372">
        <f>IF(OR('Reels'!D66="attack",'Reels'!D66="magic"),CHOOSE('Reels'!D67+1,'Slots'!D29,'Slots'!D30,'Slots'!D31,'Slots'!D32,'Slots'!D33),0)+IF(OR('Reels'!D93="attack",'Reels'!D93="magic"),CHOOSE('Reels'!D94+1,'Slots'!D29,'Slots'!D30,'Slots'!D31,'Slots'!D32,'Slots'!D33),0)+IF(OR('Reels'!D112="attack",'Reels'!D112="magic"),CHOOSE('Reels'!D113+1,'Slots'!D29,'Slots'!D30,'Slots'!D31,'Slots'!D32,'Slots'!D33),0)</f>
        <v>2</v>
      </c>
      <c r="E372">
        <f>IF('Reels'!D66="heal",'Reels'!D67*'Slots'!D24,0)+IF('Reels'!D93="heal",'Reels'!D94*'Slots'!D24,0)+IF('Reels'!D112="heal",'Reels'!D113*'Slots'!D24,0)</f>
        <v>0</v>
      </c>
      <c r="F372">
        <f>IF('Reels'!D66="block",'Reels'!D67*'Slots'!D25,0)+IF('Reels'!D93="block",'Reels'!D94*'Slots'!D25,0)+IF('Reels'!D112="block",'Reels'!D113*'Slots'!D25,0)</f>
        <v>1</v>
      </c>
      <c r="G372" t="b">
        <f>AND('Reels'!D66&lt;&gt;"blank",'Reels'!D66&lt;&gt;"class",'Reels'!D66='Reels'!D112,'Reels'!D67='Reels'!D113,OR('Reels'!D93="class",AND('Reels'!D93='Reels'!D66,'Reels'!D94='Reels'!D67)))</f>
        <v>0</v>
      </c>
      <c r="H372">
        <f>IF(G372,C372,0)</f>
        <v>0</v>
      </c>
    </row>
    <row r="373" spans="1:8" x14ac:dyDescent="0.25">
      <c r="A373" t="s">
        <v>247</v>
      </c>
      <c r="B373" t="s">
        <v>3484</v>
      </c>
      <c r="C373" s="4">
        <f>('Reels'!D68/('Reels'!D62+'Reels'!D65+'Reels'!D68+'Reels'!D71+'Reels'!D74+'Reels'!D77))*('Reels'!D95/('Reels'!D80+'Reels'!D83+'Reels'!D86+'Reels'!D89+'Reels'!D92+'Reels'!D95+'Reels'!D98))*('Reels'!D117/('Reels'!D102+'Reels'!D105+'Reels'!D108+'Reels'!D111+'Reels'!D114+'Reels'!D117))</f>
        <v>0.0007481529972879453</v>
      </c>
      <c r="D373">
        <f>IF(OR('Reels'!D66="attack",'Reels'!D66="magic"),CHOOSE('Reels'!D67+1,'Slots'!D29,'Slots'!D30,'Slots'!D31,'Slots'!D32,'Slots'!D33),0)+IF(OR('Reels'!D93="attack",'Reels'!D93="magic"),CHOOSE('Reels'!D94+1,'Slots'!D29,'Slots'!D30,'Slots'!D31,'Slots'!D32,'Slots'!D33),0)+IF(OR('Reels'!D115="attack",'Reels'!D115="magic"),CHOOSE('Reels'!D116+1,'Slots'!D29,'Slots'!D30,'Slots'!D31,'Slots'!D32,'Slots'!D33),0)</f>
        <v>0</v>
      </c>
      <c r="E373">
        <f>IF('Reels'!D66="heal",'Reels'!D67*'Slots'!D24,0)+IF('Reels'!D93="heal",'Reels'!D94*'Slots'!D24,0)+IF('Reels'!D115="heal",'Reels'!D116*'Slots'!D24,0)</f>
        <v>0</v>
      </c>
      <c r="F373">
        <f>IF('Reels'!D66="block",'Reels'!D67*'Slots'!D25,0)+IF('Reels'!D93="block",'Reels'!D94*'Slots'!D25,0)+IF('Reels'!D115="block",'Reels'!D116*'Slots'!D25,0)</f>
        <v>1</v>
      </c>
      <c r="G373" t="b">
        <f>AND('Reels'!D66&lt;&gt;"blank",'Reels'!D66&lt;&gt;"class",'Reels'!D66='Reels'!D115,'Reels'!D67='Reels'!D116,OR('Reels'!D93="class",AND('Reels'!D93='Reels'!D66,'Reels'!D94='Reels'!D67)))</f>
        <v>0</v>
      </c>
      <c r="H373">
        <f>IF(G373,C373,0)</f>
        <v>0</v>
      </c>
    </row>
    <row r="374" spans="1:8" x14ac:dyDescent="0.25">
      <c r="A374" t="s">
        <v>247</v>
      </c>
      <c r="B374" t="s">
        <v>3489</v>
      </c>
      <c r="C374" s="4">
        <f>('Reels'!D68/('Reels'!D62+'Reels'!D65+'Reels'!D68+'Reels'!D71+'Reels'!D74+'Reels'!D77))*('Reels'!D98/('Reels'!D80+'Reels'!D83+'Reels'!D86+'Reels'!D89+'Reels'!D92+'Reels'!D95+'Reels'!D98))*('Reels'!D102/('Reels'!D102+'Reels'!D105+'Reels'!D108+'Reels'!D111+'Reels'!D114+'Reels'!D117))</f>
        <v>0.001963901617880857</v>
      </c>
      <c r="D374">
        <f>IF(OR('Reels'!D66="attack",'Reels'!D66="magic"),CHOOSE('Reels'!D67+1,'Slots'!D29,'Slots'!D30,'Slots'!D31,'Slots'!D32,'Slots'!D33),0)+IF(OR('Reels'!D96="attack",'Reels'!D96="magic"),CHOOSE('Reels'!D97+1,'Slots'!D29,'Slots'!D30,'Slots'!D31,'Slots'!D32,'Slots'!D33),0)+IF(OR('Reels'!D100="attack",'Reels'!D100="magic"),CHOOSE('Reels'!D101+1,'Slots'!D29,'Slots'!D30,'Slots'!D31,'Slots'!D32,'Slots'!D33),0)</f>
        <v>0</v>
      </c>
      <c r="E374">
        <f>IF('Reels'!D66="heal",'Reels'!D67*'Slots'!D24,0)+IF('Reels'!D96="heal",'Reels'!D97*'Slots'!D24,0)+IF('Reels'!D100="heal",'Reels'!D101*'Slots'!D24,0)</f>
        <v>2</v>
      </c>
      <c r="F374">
        <f>IF('Reels'!D66="block",'Reels'!D67*'Slots'!D25,0)+IF('Reels'!D96="block",'Reels'!D97*'Slots'!D25,0)+IF('Reels'!D100="block",'Reels'!D101*'Slots'!D25,0)</f>
        <v>1</v>
      </c>
      <c r="G374" t="b">
        <f>AND('Reels'!D66&lt;&gt;"blank",'Reels'!D66&lt;&gt;"class",'Reels'!D66='Reels'!D100,'Reels'!D67='Reels'!D101,OR('Reels'!D96="class",AND('Reels'!D96='Reels'!D66,'Reels'!D97='Reels'!D67)))</f>
        <v>0</v>
      </c>
      <c r="H374">
        <f>IF(G374,C374,0)</f>
        <v>0</v>
      </c>
    </row>
    <row r="375" spans="1:8" x14ac:dyDescent="0.25">
      <c r="A375" t="s">
        <v>247</v>
      </c>
      <c r="B375" t="s">
        <v>3716</v>
      </c>
      <c r="C375" s="4">
        <f>('Reels'!D68/('Reels'!D62+'Reels'!D65+'Reels'!D68+'Reels'!D71+'Reels'!D74+'Reels'!D77))*('Reels'!D98/('Reels'!D80+'Reels'!D83+'Reels'!D86+'Reels'!D89+'Reels'!D92+'Reels'!D95+'Reels'!D98))*('Reels'!D105/('Reels'!D102+'Reels'!D105+'Reels'!D108+'Reels'!D111+'Reels'!D114+'Reels'!D117))</f>
        <v>0.001683344243897877</v>
      </c>
      <c r="D375">
        <f>IF(OR('Reels'!D66="attack",'Reels'!D66="magic"),CHOOSE('Reels'!D67+1,'Slots'!D29,'Slots'!D30,'Slots'!D31,'Slots'!D32,'Slots'!D33),0)+IF(OR('Reels'!D96="attack",'Reels'!D96="magic"),CHOOSE('Reels'!D97+1,'Slots'!D29,'Slots'!D30,'Slots'!D31,'Slots'!D32,'Slots'!D33),0)+IF(OR('Reels'!D103="attack",'Reels'!D103="magic"),CHOOSE('Reels'!D104+1,'Slots'!D29,'Slots'!D30,'Slots'!D31,'Slots'!D32,'Slots'!D33),0)</f>
        <v>0</v>
      </c>
      <c r="E375">
        <f>IF('Reels'!D66="heal",'Reels'!D67*'Slots'!D24,0)+IF('Reels'!D96="heal",'Reels'!D97*'Slots'!D24,0)+IF('Reels'!D103="heal",'Reels'!D104*'Slots'!D24,0)</f>
        <v>4</v>
      </c>
      <c r="F375">
        <f>IF('Reels'!D66="block",'Reels'!D67*'Slots'!D25,0)+IF('Reels'!D96="block",'Reels'!D97*'Slots'!D25,0)+IF('Reels'!D103="block",'Reels'!D104*'Slots'!D25,0)</f>
        <v>1</v>
      </c>
      <c r="G375" t="b">
        <f>AND('Reels'!D66&lt;&gt;"blank",'Reels'!D66&lt;&gt;"class",'Reels'!D66='Reels'!D103,'Reels'!D67='Reels'!D104,OR('Reels'!D96="class",AND('Reels'!D96='Reels'!D66,'Reels'!D97='Reels'!D67)))</f>
        <v>0</v>
      </c>
      <c r="H375">
        <f>IF(G375,C375,0)</f>
        <v>0</v>
      </c>
    </row>
    <row r="376" spans="1:8" x14ac:dyDescent="0.25">
      <c r="A376" t="s">
        <v>247</v>
      </c>
      <c r="B376" t="s">
        <v>3487</v>
      </c>
      <c r="C376" s="4">
        <f>('Reels'!D68/('Reels'!D62+'Reels'!D65+'Reels'!D68+'Reels'!D71+'Reels'!D74+'Reels'!D77))*('Reels'!D98/('Reels'!D80+'Reels'!D83+'Reels'!D86+'Reels'!D89+'Reels'!D92+'Reels'!D95+'Reels'!D98))*('Reels'!D108/('Reels'!D102+'Reels'!D105+'Reels'!D108+'Reels'!D111+'Reels'!D114+'Reels'!D117))</f>
        <v>0.0002805573739829795</v>
      </c>
      <c r="D376">
        <f>IF(OR('Reels'!D66="attack",'Reels'!D66="magic"),CHOOSE('Reels'!D67+1,'Slots'!D29,'Slots'!D30,'Slots'!D31,'Slots'!D32,'Slots'!D33),0)+IF(OR('Reels'!D96="attack",'Reels'!D96="magic"),CHOOSE('Reels'!D97+1,'Slots'!D29,'Slots'!D30,'Slots'!D31,'Slots'!D32,'Slots'!D33),0)+IF(OR('Reels'!D106="attack",'Reels'!D106="magic"),CHOOSE('Reels'!D107+1,'Slots'!D29,'Slots'!D30,'Slots'!D31,'Slots'!D32,'Slots'!D33),0)</f>
        <v>0</v>
      </c>
      <c r="E376">
        <f>IF('Reels'!D66="heal",'Reels'!D67*'Slots'!D24,0)+IF('Reels'!D96="heal",'Reels'!D97*'Slots'!D24,0)+IF('Reels'!D106="heal",'Reels'!D107*'Slots'!D24,0)</f>
        <v>0</v>
      </c>
      <c r="F376">
        <f>IF('Reels'!D66="block",'Reels'!D67*'Slots'!D25,0)+IF('Reels'!D96="block",'Reels'!D97*'Slots'!D25,0)+IF('Reels'!D106="block",'Reels'!D107*'Slots'!D25,0)</f>
        <v>2</v>
      </c>
      <c r="G376" t="b">
        <f>AND('Reels'!D66&lt;&gt;"blank",'Reels'!D66&lt;&gt;"class",'Reels'!D66='Reels'!D106,'Reels'!D67='Reels'!D107,OR('Reels'!D96="class",AND('Reels'!D96='Reels'!D66,'Reels'!D97='Reels'!D67)))</f>
        <v>1</v>
      </c>
      <c r="H376">
        <f>IF(G376,C376,0)</f>
        <v>0.0002805573739829795</v>
      </c>
    </row>
    <row r="377" spans="1:8" x14ac:dyDescent="0.25">
      <c r="A377" t="s">
        <v>247</v>
      </c>
      <c r="B377" t="s">
        <v>3717</v>
      </c>
      <c r="C377" s="4">
        <f>('Reels'!D68/('Reels'!D62+'Reels'!D65+'Reels'!D68+'Reels'!D71+'Reels'!D74+'Reels'!D77))*('Reels'!D98/('Reels'!D80+'Reels'!D83+'Reels'!D86+'Reels'!D89+'Reels'!D92+'Reels'!D95+'Reels'!D98))*('Reels'!D111/('Reels'!D102+'Reels'!D105+'Reels'!D108+'Reels'!D111+'Reels'!D114+'Reels'!D117))</f>
        <v>0.00014027868699148974</v>
      </c>
      <c r="D377">
        <f>IF(OR('Reels'!D66="attack",'Reels'!D66="magic"),CHOOSE('Reels'!D67+1,'Slots'!D29,'Slots'!D30,'Slots'!D31,'Slots'!D32,'Slots'!D33),0)+IF(OR('Reels'!D96="attack",'Reels'!D96="magic"),CHOOSE('Reels'!D97+1,'Slots'!D29,'Slots'!D30,'Slots'!D31,'Slots'!D32,'Slots'!D33),0)+IF(OR('Reels'!D109="attack",'Reels'!D109="magic"),CHOOSE('Reels'!D110+1,'Slots'!D29,'Slots'!D30,'Slots'!D31,'Slots'!D32,'Slots'!D33),0)</f>
        <v>0</v>
      </c>
      <c r="E377">
        <f>IF('Reels'!D66="heal",'Reels'!D67*'Slots'!D24,0)+IF('Reels'!D96="heal",'Reels'!D97*'Slots'!D24,0)+IF('Reels'!D109="heal",'Reels'!D110*'Slots'!D24,0)</f>
        <v>0</v>
      </c>
      <c r="F377">
        <f>IF('Reels'!D66="block",'Reels'!D67*'Slots'!D25,0)+IF('Reels'!D96="block",'Reels'!D97*'Slots'!D25,0)+IF('Reels'!D109="block",'Reels'!D110*'Slots'!D25,0)</f>
        <v>1</v>
      </c>
      <c r="G377" t="b">
        <f>AND('Reels'!D66&lt;&gt;"blank",'Reels'!D66&lt;&gt;"class",'Reels'!D66='Reels'!D109,'Reels'!D67='Reels'!D110,OR('Reels'!D96="class",AND('Reels'!D96='Reels'!D66,'Reels'!D97='Reels'!D67)))</f>
        <v>0</v>
      </c>
      <c r="H377">
        <f>IF(G377,C377,0)</f>
        <v>0</v>
      </c>
    </row>
    <row r="378" spans="1:8" x14ac:dyDescent="0.25">
      <c r="A378" t="s">
        <v>247</v>
      </c>
      <c r="B378" t="s">
        <v>3718</v>
      </c>
      <c r="C378" s="4">
        <f>('Reels'!D68/('Reels'!D62+'Reels'!D65+'Reels'!D68+'Reels'!D71+'Reels'!D74+'Reels'!D77))*('Reels'!D98/('Reels'!D80+'Reels'!D83+'Reels'!D86+'Reels'!D89+'Reels'!D92+'Reels'!D95+'Reels'!D98))*('Reels'!D114/('Reels'!D102+'Reels'!D105+'Reels'!D108+'Reels'!D111+'Reels'!D114+'Reels'!D117))</f>
        <v>0.00014027868699148974</v>
      </c>
      <c r="D378">
        <f>IF(OR('Reels'!D66="attack",'Reels'!D66="magic"),CHOOSE('Reels'!D67+1,'Slots'!D29,'Slots'!D30,'Slots'!D31,'Slots'!D32,'Slots'!D33),0)+IF(OR('Reels'!D96="attack",'Reels'!D96="magic"),CHOOSE('Reels'!D97+1,'Slots'!D29,'Slots'!D30,'Slots'!D31,'Slots'!D32,'Slots'!D33),0)+IF(OR('Reels'!D112="attack",'Reels'!D112="magic"),CHOOSE('Reels'!D113+1,'Slots'!D29,'Slots'!D30,'Slots'!D31,'Slots'!D32,'Slots'!D33),0)</f>
        <v>2</v>
      </c>
      <c r="E378">
        <f>IF('Reels'!D66="heal",'Reels'!D67*'Slots'!D24,0)+IF('Reels'!D96="heal",'Reels'!D97*'Slots'!D24,0)+IF('Reels'!D112="heal",'Reels'!D113*'Slots'!D24,0)</f>
        <v>0</v>
      </c>
      <c r="F378">
        <f>IF('Reels'!D66="block",'Reels'!D67*'Slots'!D25,0)+IF('Reels'!D96="block",'Reels'!D97*'Slots'!D25,0)+IF('Reels'!D112="block",'Reels'!D113*'Slots'!D25,0)</f>
        <v>1</v>
      </c>
      <c r="G378" t="b">
        <f>AND('Reels'!D66&lt;&gt;"blank",'Reels'!D66&lt;&gt;"class",'Reels'!D66='Reels'!D112,'Reels'!D67='Reels'!D113,OR('Reels'!D96="class",AND('Reels'!D96='Reels'!D66,'Reels'!D97='Reels'!D67)))</f>
        <v>0</v>
      </c>
      <c r="H378">
        <f>IF(G378,C378,0)</f>
        <v>0</v>
      </c>
    </row>
    <row r="379" spans="1:8" x14ac:dyDescent="0.25">
      <c r="A379" t="s">
        <v>247</v>
      </c>
      <c r="B379" t="s">
        <v>3490</v>
      </c>
      <c r="C379" s="4">
        <f>('Reels'!D68/('Reels'!D62+'Reels'!D65+'Reels'!D68+'Reels'!D71+'Reels'!D74+'Reels'!D77))*('Reels'!D98/('Reels'!D80+'Reels'!D83+'Reels'!D86+'Reels'!D89+'Reels'!D92+'Reels'!D95+'Reels'!D98))*('Reels'!D117/('Reels'!D102+'Reels'!D105+'Reels'!D108+'Reels'!D111+'Reels'!D114+'Reels'!D117))</f>
        <v>0.000561114747965959</v>
      </c>
      <c r="D379">
        <f>IF(OR('Reels'!D66="attack",'Reels'!D66="magic"),CHOOSE('Reels'!D67+1,'Slots'!D29,'Slots'!D30,'Slots'!D31,'Slots'!D32,'Slots'!D33),0)+IF(OR('Reels'!D96="attack",'Reels'!D96="magic"),CHOOSE('Reels'!D97+1,'Slots'!D29,'Slots'!D30,'Slots'!D31,'Slots'!D32,'Slots'!D33),0)+IF(OR('Reels'!D115="attack",'Reels'!D115="magic"),CHOOSE('Reels'!D116+1,'Slots'!D29,'Slots'!D30,'Slots'!D31,'Slots'!D32,'Slots'!D33),0)</f>
        <v>0</v>
      </c>
      <c r="E379">
        <f>IF('Reels'!D66="heal",'Reels'!D67*'Slots'!D24,0)+IF('Reels'!D96="heal",'Reels'!D97*'Slots'!D24,0)+IF('Reels'!D115="heal",'Reels'!D116*'Slots'!D24,0)</f>
        <v>0</v>
      </c>
      <c r="F379">
        <f>IF('Reels'!D66="block",'Reels'!D67*'Slots'!D25,0)+IF('Reels'!D96="block",'Reels'!D97*'Slots'!D25,0)+IF('Reels'!D115="block",'Reels'!D116*'Slots'!D25,0)</f>
        <v>1</v>
      </c>
      <c r="G379" t="b">
        <f>AND('Reels'!D66&lt;&gt;"blank",'Reels'!D66&lt;&gt;"class",'Reels'!D66='Reels'!D115,'Reels'!D67='Reels'!D116,OR('Reels'!D96="class",AND('Reels'!D96='Reels'!D66,'Reels'!D97='Reels'!D67)))</f>
        <v>0</v>
      </c>
      <c r="H379">
        <f>IF(G379,C379,0)</f>
        <v>0</v>
      </c>
    </row>
    <row r="380" spans="1:8" x14ac:dyDescent="0.25">
      <c r="A380" t="s">
        <v>247</v>
      </c>
      <c r="B380" t="s">
        <v>3719</v>
      </c>
      <c r="C380" s="4">
        <f>('Reels'!D71/('Reels'!D62+'Reels'!D65+'Reels'!D68+'Reels'!D71+'Reels'!D74+'Reels'!D77))*('Reels'!D80/('Reels'!D80+'Reels'!D83+'Reels'!D86+'Reels'!D89+'Reels'!D92+'Reels'!D95+'Reels'!D98))*('Reels'!D102/('Reels'!D102+'Reels'!D105+'Reels'!D108+'Reels'!D111+'Reels'!D114+'Reels'!D117))</f>
        <v>0.004582437108388665</v>
      </c>
      <c r="D380">
        <f>IF(OR('Reels'!D69="attack",'Reels'!D69="magic"),CHOOSE('Reels'!D70+1,'Slots'!D29,'Slots'!D30,'Slots'!D31,'Slots'!D32,'Slots'!D33),0)+IF(OR('Reels'!D78="attack",'Reels'!D78="magic"),CHOOSE('Reels'!D79+1,'Slots'!D29,'Slots'!D30,'Slots'!D31,'Slots'!D32,'Slots'!D33),0)+IF(OR('Reels'!D100="attack",'Reels'!D100="magic"),CHOOSE('Reels'!D101+1,'Slots'!D29,'Slots'!D30,'Slots'!D31,'Slots'!D32,'Slots'!D33),0)</f>
        <v>0</v>
      </c>
      <c r="E380">
        <f>IF('Reels'!D69="heal",'Reels'!D70*'Slots'!D24,0)+IF('Reels'!D78="heal",'Reels'!D79*'Slots'!D24,0)+IF('Reels'!D100="heal",'Reels'!D101*'Slots'!D24,0)</f>
        <v>4</v>
      </c>
      <c r="F380">
        <f>IF('Reels'!D69="block",'Reels'!D70*'Slots'!D25,0)+IF('Reels'!D78="block",'Reels'!D79*'Slots'!D25,0)+IF('Reels'!D100="block",'Reels'!D101*'Slots'!D25,0)</f>
        <v>0</v>
      </c>
      <c r="G380" t="b">
        <f>AND('Reels'!D69&lt;&gt;"blank",'Reels'!D69&lt;&gt;"class",'Reels'!D69='Reels'!D100,'Reels'!D70='Reels'!D101,OR('Reels'!D78="class",AND('Reels'!D78='Reels'!D69,'Reels'!D79='Reels'!D70)))</f>
        <v>0</v>
      </c>
      <c r="H380">
        <f>IF(G380,C380,0)</f>
        <v>0</v>
      </c>
    </row>
    <row r="381" spans="1:8" x14ac:dyDescent="0.25">
      <c r="A381" t="s">
        <v>247</v>
      </c>
      <c r="B381" t="s">
        <v>3720</v>
      </c>
      <c r="C381" s="4">
        <f>('Reels'!D71/('Reels'!D62+'Reels'!D65+'Reels'!D68+'Reels'!D71+'Reels'!D74+'Reels'!D77))*('Reels'!D80/('Reels'!D80+'Reels'!D83+'Reels'!D86+'Reels'!D89+'Reels'!D92+'Reels'!D95+'Reels'!D98))*('Reels'!D105/('Reels'!D102+'Reels'!D105+'Reels'!D108+'Reels'!D111+'Reels'!D114+'Reels'!D117))</f>
        <v>0.003927803235761714</v>
      </c>
      <c r="D381">
        <f>IF(OR('Reels'!D69="attack",'Reels'!D69="magic"),CHOOSE('Reels'!D70+1,'Slots'!D29,'Slots'!D30,'Slots'!D31,'Slots'!D32,'Slots'!D33),0)+IF(OR('Reels'!D78="attack",'Reels'!D78="magic"),CHOOSE('Reels'!D79+1,'Slots'!D29,'Slots'!D30,'Slots'!D31,'Slots'!D32,'Slots'!D33),0)+IF(OR('Reels'!D103="attack",'Reels'!D103="magic"),CHOOSE('Reels'!D104+1,'Slots'!D29,'Slots'!D30,'Slots'!D31,'Slots'!D32,'Slots'!D33),0)</f>
        <v>0</v>
      </c>
      <c r="E381">
        <f>IF('Reels'!D69="heal",'Reels'!D70*'Slots'!D24,0)+IF('Reels'!D78="heal",'Reels'!D79*'Slots'!D24,0)+IF('Reels'!D103="heal",'Reels'!D104*'Slots'!D24,0)</f>
        <v>6</v>
      </c>
      <c r="F381">
        <f>IF('Reels'!D69="block",'Reels'!D70*'Slots'!D25,0)+IF('Reels'!D78="block",'Reels'!D79*'Slots'!D25,0)+IF('Reels'!D103="block",'Reels'!D104*'Slots'!D25,0)</f>
        <v>0</v>
      </c>
      <c r="G381" t="b">
        <f>AND('Reels'!D69&lt;&gt;"blank",'Reels'!D69&lt;&gt;"class",'Reels'!D69='Reels'!D103,'Reels'!D70='Reels'!D104,OR('Reels'!D78="class",AND('Reels'!D78='Reels'!D69,'Reels'!D79='Reels'!D70)))</f>
        <v>0</v>
      </c>
      <c r="H381">
        <f>IF(G381,C381,0)</f>
        <v>0</v>
      </c>
    </row>
    <row r="382" spans="1:8" x14ac:dyDescent="0.25">
      <c r="A382" t="s">
        <v>247</v>
      </c>
      <c r="B382" t="s">
        <v>3721</v>
      </c>
      <c r="C382" s="4">
        <f>('Reels'!D71/('Reels'!D62+'Reels'!D65+'Reels'!D68+'Reels'!D71+'Reels'!D74+'Reels'!D77))*('Reels'!D80/('Reels'!D80+'Reels'!D83+'Reels'!D86+'Reels'!D89+'Reels'!D92+'Reels'!D95+'Reels'!D98))*('Reels'!D108/('Reels'!D102+'Reels'!D105+'Reels'!D108+'Reels'!D111+'Reels'!D114+'Reels'!D117))</f>
        <v>0.0006546338726269522</v>
      </c>
      <c r="D382">
        <f>IF(OR('Reels'!D69="attack",'Reels'!D69="magic"),CHOOSE('Reels'!D70+1,'Slots'!D29,'Slots'!D30,'Slots'!D31,'Slots'!D32,'Slots'!D33),0)+IF(OR('Reels'!D78="attack",'Reels'!D78="magic"),CHOOSE('Reels'!D79+1,'Slots'!D29,'Slots'!D30,'Slots'!D31,'Slots'!D32,'Slots'!D33),0)+IF(OR('Reels'!D106="attack",'Reels'!D106="magic"),CHOOSE('Reels'!D107+1,'Slots'!D29,'Slots'!D30,'Slots'!D31,'Slots'!D32,'Slots'!D33),0)</f>
        <v>0</v>
      </c>
      <c r="E382">
        <f>IF('Reels'!D69="heal",'Reels'!D70*'Slots'!D24,0)+IF('Reels'!D78="heal",'Reels'!D79*'Slots'!D24,0)+IF('Reels'!D106="heal",'Reels'!D107*'Slots'!D24,0)</f>
        <v>2</v>
      </c>
      <c r="F382">
        <f>IF('Reels'!D69="block",'Reels'!D70*'Slots'!D25,0)+IF('Reels'!D78="block",'Reels'!D79*'Slots'!D25,0)+IF('Reels'!D106="block",'Reels'!D107*'Slots'!D25,0)</f>
        <v>1</v>
      </c>
      <c r="G382" t="b">
        <f>AND('Reels'!D69&lt;&gt;"blank",'Reels'!D69&lt;&gt;"class",'Reels'!D69='Reels'!D106,'Reels'!D70='Reels'!D107,OR('Reels'!D78="class",AND('Reels'!D78='Reels'!D69,'Reels'!D79='Reels'!D70)))</f>
        <v>0</v>
      </c>
      <c r="H382">
        <f>IF(G382,C382,0)</f>
        <v>0</v>
      </c>
    </row>
    <row r="383" spans="1:8" x14ac:dyDescent="0.25">
      <c r="A383" t="s">
        <v>247</v>
      </c>
      <c r="B383" t="s">
        <v>3722</v>
      </c>
      <c r="C383" s="4">
        <f>('Reels'!D71/('Reels'!D62+'Reels'!D65+'Reels'!D68+'Reels'!D71+'Reels'!D74+'Reels'!D77))*('Reels'!D80/('Reels'!D80+'Reels'!D83+'Reels'!D86+'Reels'!D89+'Reels'!D92+'Reels'!D95+'Reels'!D98))*('Reels'!D111/('Reels'!D102+'Reels'!D105+'Reels'!D108+'Reels'!D111+'Reels'!D114+'Reels'!D117))</f>
        <v>0.0003273169363134761</v>
      </c>
      <c r="D383">
        <f>IF(OR('Reels'!D69="attack",'Reels'!D69="magic"),CHOOSE('Reels'!D70+1,'Slots'!D29,'Slots'!D30,'Slots'!D31,'Slots'!D32,'Slots'!D33),0)+IF(OR('Reels'!D78="attack",'Reels'!D78="magic"),CHOOSE('Reels'!D79+1,'Slots'!D29,'Slots'!D30,'Slots'!D31,'Slots'!D32,'Slots'!D33),0)+IF(OR('Reels'!D109="attack",'Reels'!D109="magic"),CHOOSE('Reels'!D110+1,'Slots'!D29,'Slots'!D30,'Slots'!D31,'Slots'!D32,'Slots'!D33),0)</f>
        <v>0</v>
      </c>
      <c r="E383">
        <f>IF('Reels'!D69="heal",'Reels'!D70*'Slots'!D24,0)+IF('Reels'!D78="heal",'Reels'!D79*'Slots'!D24,0)+IF('Reels'!D109="heal",'Reels'!D110*'Slots'!D24,0)</f>
        <v>2</v>
      </c>
      <c r="F383">
        <f>IF('Reels'!D69="block",'Reels'!D70*'Slots'!D25,0)+IF('Reels'!D78="block",'Reels'!D79*'Slots'!D25,0)+IF('Reels'!D109="block",'Reels'!D110*'Slots'!D25,0)</f>
        <v>0</v>
      </c>
      <c r="G383" t="b">
        <f>AND('Reels'!D69&lt;&gt;"blank",'Reels'!D69&lt;&gt;"class",'Reels'!D69='Reels'!D109,'Reels'!D70='Reels'!D110,OR('Reels'!D78="class",AND('Reels'!D78='Reels'!D69,'Reels'!D79='Reels'!D70)))</f>
        <v>0</v>
      </c>
      <c r="H383">
        <f>IF(G383,C383,0)</f>
        <v>0</v>
      </c>
    </row>
    <row r="384" spans="1:8" x14ac:dyDescent="0.25">
      <c r="A384" t="s">
        <v>247</v>
      </c>
      <c r="B384" t="s">
        <v>3723</v>
      </c>
      <c r="C384" s="4">
        <f>('Reels'!D71/('Reels'!D62+'Reels'!D65+'Reels'!D68+'Reels'!D71+'Reels'!D74+'Reels'!D77))*('Reels'!D80/('Reels'!D80+'Reels'!D83+'Reels'!D86+'Reels'!D89+'Reels'!D92+'Reels'!D95+'Reels'!D98))*('Reels'!D114/('Reels'!D102+'Reels'!D105+'Reels'!D108+'Reels'!D111+'Reels'!D114+'Reels'!D117))</f>
        <v>0.0003273169363134761</v>
      </c>
      <c r="D384">
        <f>IF(OR('Reels'!D69="attack",'Reels'!D69="magic"),CHOOSE('Reels'!D70+1,'Slots'!D29,'Slots'!D30,'Slots'!D31,'Slots'!D32,'Slots'!D33),0)+IF(OR('Reels'!D78="attack",'Reels'!D78="magic"),CHOOSE('Reels'!D79+1,'Slots'!D29,'Slots'!D30,'Slots'!D31,'Slots'!D32,'Slots'!D33),0)+IF(OR('Reels'!D112="attack",'Reels'!D112="magic"),CHOOSE('Reels'!D113+1,'Slots'!D29,'Slots'!D30,'Slots'!D31,'Slots'!D32,'Slots'!D33),0)</f>
        <v>2</v>
      </c>
      <c r="E384">
        <f>IF('Reels'!D69="heal",'Reels'!D70*'Slots'!D24,0)+IF('Reels'!D78="heal",'Reels'!D79*'Slots'!D24,0)+IF('Reels'!D112="heal",'Reels'!D113*'Slots'!D24,0)</f>
        <v>2</v>
      </c>
      <c r="F384">
        <f>IF('Reels'!D69="block",'Reels'!D70*'Slots'!D25,0)+IF('Reels'!D78="block",'Reels'!D79*'Slots'!D25,0)+IF('Reels'!D112="block",'Reels'!D113*'Slots'!D25,0)</f>
        <v>0</v>
      </c>
      <c r="G384" t="b">
        <f>AND('Reels'!D69&lt;&gt;"blank",'Reels'!D69&lt;&gt;"class",'Reels'!D69='Reels'!D112,'Reels'!D70='Reels'!D113,OR('Reels'!D78="class",AND('Reels'!D78='Reels'!D69,'Reels'!D79='Reels'!D70)))</f>
        <v>0</v>
      </c>
      <c r="H384">
        <f>IF(G384,C384,0)</f>
        <v>0</v>
      </c>
    </row>
    <row r="385" spans="1:8" x14ac:dyDescent="0.25">
      <c r="A385" t="s">
        <v>247</v>
      </c>
      <c r="B385" t="s">
        <v>3724</v>
      </c>
      <c r="C385" s="4">
        <f>('Reels'!D71/('Reels'!D62+'Reels'!D65+'Reels'!D68+'Reels'!D71+'Reels'!D74+'Reels'!D77))*('Reels'!D80/('Reels'!D80+'Reels'!D83+'Reels'!D86+'Reels'!D89+'Reels'!D92+'Reels'!D95+'Reels'!D98))*('Reels'!D117/('Reels'!D102+'Reels'!D105+'Reels'!D108+'Reels'!D111+'Reels'!D114+'Reels'!D117))</f>
        <v>0.0013092677452539044</v>
      </c>
      <c r="D385">
        <f>IF(OR('Reels'!D69="attack",'Reels'!D69="magic"),CHOOSE('Reels'!D70+1,'Slots'!D29,'Slots'!D30,'Slots'!D31,'Slots'!D32,'Slots'!D33),0)+IF(OR('Reels'!D78="attack",'Reels'!D78="magic"),CHOOSE('Reels'!D79+1,'Slots'!D29,'Slots'!D30,'Slots'!D31,'Slots'!D32,'Slots'!D33),0)+IF(OR('Reels'!D115="attack",'Reels'!D115="magic"),CHOOSE('Reels'!D116+1,'Slots'!D29,'Slots'!D30,'Slots'!D31,'Slots'!D32,'Slots'!D33),0)</f>
        <v>0</v>
      </c>
      <c r="E385">
        <f>IF('Reels'!D69="heal",'Reels'!D70*'Slots'!D24,0)+IF('Reels'!D78="heal",'Reels'!D79*'Slots'!D24,0)+IF('Reels'!D115="heal",'Reels'!D116*'Slots'!D24,0)</f>
        <v>2</v>
      </c>
      <c r="F385">
        <f>IF('Reels'!D69="block",'Reels'!D70*'Slots'!D25,0)+IF('Reels'!D78="block",'Reels'!D79*'Slots'!D25,0)+IF('Reels'!D115="block",'Reels'!D116*'Slots'!D25,0)</f>
        <v>0</v>
      </c>
      <c r="G385" t="b">
        <f>AND('Reels'!D69&lt;&gt;"blank",'Reels'!D69&lt;&gt;"class",'Reels'!D69='Reels'!D115,'Reels'!D70='Reels'!D116,OR('Reels'!D78="class",AND('Reels'!D78='Reels'!D69,'Reels'!D79='Reels'!D70)))</f>
        <v>0</v>
      </c>
      <c r="H385">
        <f>IF(G385,C385,0)</f>
        <v>0</v>
      </c>
    </row>
    <row r="386" spans="1:8" x14ac:dyDescent="0.25">
      <c r="A386" t="s">
        <v>247</v>
      </c>
      <c r="B386" t="s">
        <v>3725</v>
      </c>
      <c r="C386" s="4">
        <f>('Reels'!D71/('Reels'!D62+'Reels'!D65+'Reels'!D68+'Reels'!D71+'Reels'!D74+'Reels'!D77))*('Reels'!D83/('Reels'!D80+'Reels'!D83+'Reels'!D86+'Reels'!D89+'Reels'!D92+'Reels'!D95+'Reels'!D98))*('Reels'!D102/('Reels'!D102+'Reels'!D105+'Reels'!D108+'Reels'!D111+'Reels'!D114+'Reels'!D117))</f>
        <v>0.003927803235761714</v>
      </c>
      <c r="D386">
        <f>IF(OR('Reels'!D69="attack",'Reels'!D69="magic"),CHOOSE('Reels'!D70+1,'Slots'!D29,'Slots'!D30,'Slots'!D31,'Slots'!D32,'Slots'!D33),0)+IF(OR('Reels'!D81="attack",'Reels'!D81="magic"),CHOOSE('Reels'!D82+1,'Slots'!D29,'Slots'!D30,'Slots'!D31,'Slots'!D32,'Slots'!D33),0)+IF(OR('Reels'!D100="attack",'Reels'!D100="magic"),CHOOSE('Reels'!D101+1,'Slots'!D29,'Slots'!D30,'Slots'!D31,'Slots'!D32,'Slots'!D33),0)</f>
        <v>0</v>
      </c>
      <c r="E386">
        <f>IF('Reels'!D69="heal",'Reels'!D70*'Slots'!D24,0)+IF('Reels'!D81="heal",'Reels'!D82*'Slots'!D24,0)+IF('Reels'!D100="heal",'Reels'!D101*'Slots'!D24,0)</f>
        <v>6</v>
      </c>
      <c r="F386">
        <f>IF('Reels'!D69="block",'Reels'!D70*'Slots'!D25,0)+IF('Reels'!D81="block",'Reels'!D82*'Slots'!D25,0)+IF('Reels'!D100="block",'Reels'!D101*'Slots'!D25,0)</f>
        <v>0</v>
      </c>
      <c r="G386" t="b">
        <f>AND('Reels'!D69&lt;&gt;"blank",'Reels'!D69&lt;&gt;"class",'Reels'!D69='Reels'!D100,'Reels'!D70='Reels'!D101,OR('Reels'!D81="class",AND('Reels'!D81='Reels'!D69,'Reels'!D82='Reels'!D70)))</f>
        <v>0</v>
      </c>
      <c r="H386">
        <f>IF(G386,C386,0)</f>
        <v>0</v>
      </c>
    </row>
    <row r="387" spans="1:8" x14ac:dyDescent="0.25">
      <c r="A387" t="s">
        <v>247</v>
      </c>
      <c r="B387" t="s">
        <v>3726</v>
      </c>
      <c r="C387" s="4">
        <f>('Reels'!D71/('Reels'!D62+'Reels'!D65+'Reels'!D68+'Reels'!D71+'Reels'!D74+'Reels'!D77))*('Reels'!D83/('Reels'!D80+'Reels'!D83+'Reels'!D86+'Reels'!D89+'Reels'!D92+'Reels'!D95+'Reels'!D98))*('Reels'!D105/('Reels'!D102+'Reels'!D105+'Reels'!D108+'Reels'!D111+'Reels'!D114+'Reels'!D117))</f>
        <v>0.003366688487795754</v>
      </c>
      <c r="D387">
        <f>IF(OR('Reels'!D69="attack",'Reels'!D69="magic"),CHOOSE('Reels'!D70+1,'Slots'!D29,'Slots'!D30,'Slots'!D31,'Slots'!D32,'Slots'!D33),0)+IF(OR('Reels'!D81="attack",'Reels'!D81="magic"),CHOOSE('Reels'!D82+1,'Slots'!D29,'Slots'!D30,'Slots'!D31,'Slots'!D32,'Slots'!D33),0)+IF(OR('Reels'!D103="attack",'Reels'!D103="magic"),CHOOSE('Reels'!D104+1,'Slots'!D29,'Slots'!D30,'Slots'!D31,'Slots'!D32,'Slots'!D33),0)</f>
        <v>0</v>
      </c>
      <c r="E387">
        <f>IF('Reels'!D69="heal",'Reels'!D70*'Slots'!D24,0)+IF('Reels'!D81="heal",'Reels'!D82*'Slots'!D24,0)+IF('Reels'!D103="heal",'Reels'!D104*'Slots'!D24,0)</f>
        <v>8</v>
      </c>
      <c r="F387">
        <f>IF('Reels'!D69="block",'Reels'!D70*'Slots'!D25,0)+IF('Reels'!D81="block",'Reels'!D82*'Slots'!D25,0)+IF('Reels'!D103="block",'Reels'!D104*'Slots'!D25,0)</f>
        <v>0</v>
      </c>
      <c r="G387" t="b">
        <f>AND('Reels'!D69&lt;&gt;"blank",'Reels'!D69&lt;&gt;"class",'Reels'!D69='Reels'!D103,'Reels'!D70='Reels'!D104,OR('Reels'!D81="class",AND('Reels'!D81='Reels'!D69,'Reels'!D82='Reels'!D70)))</f>
        <v>0</v>
      </c>
      <c r="H387">
        <f>IF(G387,C387,0)</f>
        <v>0</v>
      </c>
    </row>
    <row r="388" spans="1:8" x14ac:dyDescent="0.25">
      <c r="A388" t="s">
        <v>247</v>
      </c>
      <c r="B388" t="s">
        <v>3727</v>
      </c>
      <c r="C388" s="4">
        <f>('Reels'!D71/('Reels'!D62+'Reels'!D65+'Reels'!D68+'Reels'!D71+'Reels'!D74+'Reels'!D77))*('Reels'!D83/('Reels'!D80+'Reels'!D83+'Reels'!D86+'Reels'!D89+'Reels'!D92+'Reels'!D95+'Reels'!D98))*('Reels'!D108/('Reels'!D102+'Reels'!D105+'Reels'!D108+'Reels'!D111+'Reels'!D114+'Reels'!D117))</f>
        <v>0.000561114747965959</v>
      </c>
      <c r="D388">
        <f>IF(OR('Reels'!D69="attack",'Reels'!D69="magic"),CHOOSE('Reels'!D70+1,'Slots'!D29,'Slots'!D30,'Slots'!D31,'Slots'!D32,'Slots'!D33),0)+IF(OR('Reels'!D81="attack",'Reels'!D81="magic"),CHOOSE('Reels'!D82+1,'Slots'!D29,'Slots'!D30,'Slots'!D31,'Slots'!D32,'Slots'!D33),0)+IF(OR('Reels'!D106="attack",'Reels'!D106="magic"),CHOOSE('Reels'!D107+1,'Slots'!D29,'Slots'!D30,'Slots'!D31,'Slots'!D32,'Slots'!D33),0)</f>
        <v>0</v>
      </c>
      <c r="E388">
        <f>IF('Reels'!D69="heal",'Reels'!D70*'Slots'!D24,0)+IF('Reels'!D81="heal",'Reels'!D82*'Slots'!D24,0)+IF('Reels'!D106="heal",'Reels'!D107*'Slots'!D24,0)</f>
        <v>4</v>
      </c>
      <c r="F388">
        <f>IF('Reels'!D69="block",'Reels'!D70*'Slots'!D25,0)+IF('Reels'!D81="block",'Reels'!D82*'Slots'!D25,0)+IF('Reels'!D106="block",'Reels'!D107*'Slots'!D25,0)</f>
        <v>1</v>
      </c>
      <c r="G388" t="b">
        <f>AND('Reels'!D69&lt;&gt;"blank",'Reels'!D69&lt;&gt;"class",'Reels'!D69='Reels'!D106,'Reels'!D70='Reels'!D107,OR('Reels'!D81="class",AND('Reels'!D81='Reels'!D69,'Reels'!D82='Reels'!D70)))</f>
        <v>0</v>
      </c>
      <c r="H388">
        <f>IF(G388,C388,0)</f>
        <v>0</v>
      </c>
    </row>
    <row r="389" spans="1:8" x14ac:dyDescent="0.25">
      <c r="A389" t="s">
        <v>247</v>
      </c>
      <c r="B389" t="s">
        <v>3728</v>
      </c>
      <c r="C389" s="4">
        <f>('Reels'!D71/('Reels'!D62+'Reels'!D65+'Reels'!D68+'Reels'!D71+'Reels'!D74+'Reels'!D77))*('Reels'!D83/('Reels'!D80+'Reels'!D83+'Reels'!D86+'Reels'!D89+'Reels'!D92+'Reels'!D95+'Reels'!D98))*('Reels'!D111/('Reels'!D102+'Reels'!D105+'Reels'!D108+'Reels'!D111+'Reels'!D114+'Reels'!D117))</f>
        <v>0.0002805573739829795</v>
      </c>
      <c r="D389">
        <f>IF(OR('Reels'!D69="attack",'Reels'!D69="magic"),CHOOSE('Reels'!D70+1,'Slots'!D29,'Slots'!D30,'Slots'!D31,'Slots'!D32,'Slots'!D33),0)+IF(OR('Reels'!D81="attack",'Reels'!D81="magic"),CHOOSE('Reels'!D82+1,'Slots'!D29,'Slots'!D30,'Slots'!D31,'Slots'!D32,'Slots'!D33),0)+IF(OR('Reels'!D109="attack",'Reels'!D109="magic"),CHOOSE('Reels'!D110+1,'Slots'!D29,'Slots'!D30,'Slots'!D31,'Slots'!D32,'Slots'!D33),0)</f>
        <v>0</v>
      </c>
      <c r="E389">
        <f>IF('Reels'!D69="heal",'Reels'!D70*'Slots'!D24,0)+IF('Reels'!D81="heal",'Reels'!D82*'Slots'!D24,0)+IF('Reels'!D109="heal",'Reels'!D110*'Slots'!D24,0)</f>
        <v>4</v>
      </c>
      <c r="F389">
        <f>IF('Reels'!D69="block",'Reels'!D70*'Slots'!D25,0)+IF('Reels'!D81="block",'Reels'!D82*'Slots'!D25,0)+IF('Reels'!D109="block",'Reels'!D110*'Slots'!D25,0)</f>
        <v>0</v>
      </c>
      <c r="G389" t="b">
        <f>AND('Reels'!D69&lt;&gt;"blank",'Reels'!D69&lt;&gt;"class",'Reels'!D69='Reels'!D109,'Reels'!D70='Reels'!D110,OR('Reels'!D81="class",AND('Reels'!D81='Reels'!D69,'Reels'!D82='Reels'!D70)))</f>
        <v>0</v>
      </c>
      <c r="H389">
        <f>IF(G389,C389,0)</f>
        <v>0</v>
      </c>
    </row>
    <row r="390" spans="1:8" x14ac:dyDescent="0.25">
      <c r="A390" t="s">
        <v>247</v>
      </c>
      <c r="B390" t="s">
        <v>3729</v>
      </c>
      <c r="C390" s="4">
        <f>('Reels'!D71/('Reels'!D62+'Reels'!D65+'Reels'!D68+'Reels'!D71+'Reels'!D74+'Reels'!D77))*('Reels'!D83/('Reels'!D80+'Reels'!D83+'Reels'!D86+'Reels'!D89+'Reels'!D92+'Reels'!D95+'Reels'!D98))*('Reels'!D114/('Reels'!D102+'Reels'!D105+'Reels'!D108+'Reels'!D111+'Reels'!D114+'Reels'!D117))</f>
        <v>0.0002805573739829795</v>
      </c>
      <c r="D390">
        <f>IF(OR('Reels'!D69="attack",'Reels'!D69="magic"),CHOOSE('Reels'!D70+1,'Slots'!D29,'Slots'!D30,'Slots'!D31,'Slots'!D32,'Slots'!D33),0)+IF(OR('Reels'!D81="attack",'Reels'!D81="magic"),CHOOSE('Reels'!D82+1,'Slots'!D29,'Slots'!D30,'Slots'!D31,'Slots'!D32,'Slots'!D33),0)+IF(OR('Reels'!D112="attack",'Reels'!D112="magic"),CHOOSE('Reels'!D113+1,'Slots'!D29,'Slots'!D30,'Slots'!D31,'Slots'!D32,'Slots'!D33),0)</f>
        <v>2</v>
      </c>
      <c r="E390">
        <f>IF('Reels'!D69="heal",'Reels'!D70*'Slots'!D24,0)+IF('Reels'!D81="heal",'Reels'!D82*'Slots'!D24,0)+IF('Reels'!D112="heal",'Reels'!D113*'Slots'!D24,0)</f>
        <v>4</v>
      </c>
      <c r="F390">
        <f>IF('Reels'!D69="block",'Reels'!D70*'Slots'!D25,0)+IF('Reels'!D81="block",'Reels'!D82*'Slots'!D25,0)+IF('Reels'!D112="block",'Reels'!D113*'Slots'!D25,0)</f>
        <v>0</v>
      </c>
      <c r="G390" t="b">
        <f>AND('Reels'!D69&lt;&gt;"blank",'Reels'!D69&lt;&gt;"class",'Reels'!D69='Reels'!D112,'Reels'!D70='Reels'!D113,OR('Reels'!D81="class",AND('Reels'!D81='Reels'!D69,'Reels'!D82='Reels'!D70)))</f>
        <v>0</v>
      </c>
      <c r="H390">
        <f>IF(G390,C390,0)</f>
        <v>0</v>
      </c>
    </row>
    <row r="391" spans="1:8" x14ac:dyDescent="0.25">
      <c r="A391" t="s">
        <v>247</v>
      </c>
      <c r="B391" t="s">
        <v>3730</v>
      </c>
      <c r="C391" s="4">
        <f>('Reels'!D71/('Reels'!D62+'Reels'!D65+'Reels'!D68+'Reels'!D71+'Reels'!D74+'Reels'!D77))*('Reels'!D83/('Reels'!D80+'Reels'!D83+'Reels'!D86+'Reels'!D89+'Reels'!D92+'Reels'!D95+'Reels'!D98))*('Reels'!D117/('Reels'!D102+'Reels'!D105+'Reels'!D108+'Reels'!D111+'Reels'!D114+'Reels'!D117))</f>
        <v>0.001122229495931918</v>
      </c>
      <c r="D391">
        <f>IF(OR('Reels'!D69="attack",'Reels'!D69="magic"),CHOOSE('Reels'!D70+1,'Slots'!D29,'Slots'!D30,'Slots'!D31,'Slots'!D32,'Slots'!D33),0)+IF(OR('Reels'!D81="attack",'Reels'!D81="magic"),CHOOSE('Reels'!D82+1,'Slots'!D29,'Slots'!D30,'Slots'!D31,'Slots'!D32,'Slots'!D33),0)+IF(OR('Reels'!D115="attack",'Reels'!D115="magic"),CHOOSE('Reels'!D116+1,'Slots'!D29,'Slots'!D30,'Slots'!D31,'Slots'!D32,'Slots'!D33),0)</f>
        <v>0</v>
      </c>
      <c r="E391">
        <f>IF('Reels'!D69="heal",'Reels'!D70*'Slots'!D24,0)+IF('Reels'!D81="heal",'Reels'!D82*'Slots'!D24,0)+IF('Reels'!D115="heal",'Reels'!D116*'Slots'!D24,0)</f>
        <v>4</v>
      </c>
      <c r="F391">
        <f>IF('Reels'!D69="block",'Reels'!D70*'Slots'!D25,0)+IF('Reels'!D81="block",'Reels'!D82*'Slots'!D25,0)+IF('Reels'!D115="block",'Reels'!D116*'Slots'!D25,0)</f>
        <v>0</v>
      </c>
      <c r="G391" t="b">
        <f>AND('Reels'!D69&lt;&gt;"blank",'Reels'!D69&lt;&gt;"class",'Reels'!D69='Reels'!D115,'Reels'!D70='Reels'!D116,OR('Reels'!D81="class",AND('Reels'!D81='Reels'!D69,'Reels'!D82='Reels'!D70)))</f>
        <v>0</v>
      </c>
      <c r="H391">
        <f>IF(G391,C391,0)</f>
        <v>0</v>
      </c>
    </row>
    <row r="392" spans="1:8" x14ac:dyDescent="0.25">
      <c r="A392" t="s">
        <v>247</v>
      </c>
      <c r="B392" t="s">
        <v>3731</v>
      </c>
      <c r="C392" s="4">
        <f>('Reels'!D71/('Reels'!D62+'Reels'!D65+'Reels'!D68+'Reels'!D71+'Reels'!D74+'Reels'!D77))*('Reels'!D86/('Reels'!D80+'Reels'!D83+'Reels'!D86+'Reels'!D89+'Reels'!D92+'Reels'!D95+'Reels'!D98))*('Reels'!D102/('Reels'!D102+'Reels'!D105+'Reels'!D108+'Reels'!D111+'Reels'!D114+'Reels'!D117))</f>
        <v>0.0006546338726269522</v>
      </c>
      <c r="D392">
        <f>IF(OR('Reels'!D69="attack",'Reels'!D69="magic"),CHOOSE('Reels'!D70+1,'Slots'!D29,'Slots'!D30,'Slots'!D31,'Slots'!D32,'Slots'!D33),0)+IF(OR('Reels'!D84="attack",'Reels'!D84="magic"),CHOOSE('Reels'!D85+1,'Slots'!D29,'Slots'!D30,'Slots'!D31,'Slots'!D32,'Slots'!D33),0)+IF(OR('Reels'!D100="attack",'Reels'!D100="magic"),CHOOSE('Reels'!D101+1,'Slots'!D29,'Slots'!D30,'Slots'!D31,'Slots'!D32,'Slots'!D33),0)</f>
        <v>0</v>
      </c>
      <c r="E392">
        <f>IF('Reels'!D69="heal",'Reels'!D70*'Slots'!D24,0)+IF('Reels'!D84="heal",'Reels'!D85*'Slots'!D24,0)+IF('Reels'!D100="heal",'Reels'!D101*'Slots'!D24,0)</f>
        <v>2</v>
      </c>
      <c r="F392">
        <f>IF('Reels'!D69="block",'Reels'!D70*'Slots'!D25,0)+IF('Reels'!D84="block",'Reels'!D85*'Slots'!D25,0)+IF('Reels'!D100="block",'Reels'!D101*'Slots'!D25,0)</f>
        <v>1</v>
      </c>
      <c r="G392" t="b">
        <f>AND('Reels'!D69&lt;&gt;"blank",'Reels'!D69&lt;&gt;"class",'Reels'!D69='Reels'!D100,'Reels'!D70='Reels'!D101,OR('Reels'!D84="class",AND('Reels'!D84='Reels'!D69,'Reels'!D85='Reels'!D70)))</f>
        <v>0</v>
      </c>
      <c r="H392">
        <f>IF(G392,C392,0)</f>
        <v>0</v>
      </c>
    </row>
    <row r="393" spans="1:8" x14ac:dyDescent="0.25">
      <c r="A393" t="s">
        <v>247</v>
      </c>
      <c r="B393" t="s">
        <v>3732</v>
      </c>
      <c r="C393" s="4">
        <f>('Reels'!D71/('Reels'!D62+'Reels'!D65+'Reels'!D68+'Reels'!D71+'Reels'!D74+'Reels'!D77))*('Reels'!D86/('Reels'!D80+'Reels'!D83+'Reels'!D86+'Reels'!D89+'Reels'!D92+'Reels'!D95+'Reels'!D98))*('Reels'!D105/('Reels'!D102+'Reels'!D105+'Reels'!D108+'Reels'!D111+'Reels'!D114+'Reels'!D117))</f>
        <v>0.000561114747965959</v>
      </c>
      <c r="D393">
        <f>IF(OR('Reels'!D69="attack",'Reels'!D69="magic"),CHOOSE('Reels'!D70+1,'Slots'!D29,'Slots'!D30,'Slots'!D31,'Slots'!D32,'Slots'!D33),0)+IF(OR('Reels'!D84="attack",'Reels'!D84="magic"),CHOOSE('Reels'!D85+1,'Slots'!D29,'Slots'!D30,'Slots'!D31,'Slots'!D32,'Slots'!D33),0)+IF(OR('Reels'!D103="attack",'Reels'!D103="magic"),CHOOSE('Reels'!D104+1,'Slots'!D29,'Slots'!D30,'Slots'!D31,'Slots'!D32,'Slots'!D33),0)</f>
        <v>0</v>
      </c>
      <c r="E393">
        <f>IF('Reels'!D69="heal",'Reels'!D70*'Slots'!D24,0)+IF('Reels'!D84="heal",'Reels'!D85*'Slots'!D24,0)+IF('Reels'!D103="heal",'Reels'!D104*'Slots'!D24,0)</f>
        <v>4</v>
      </c>
      <c r="F393">
        <f>IF('Reels'!D69="block",'Reels'!D70*'Slots'!D25,0)+IF('Reels'!D84="block",'Reels'!D85*'Slots'!D25,0)+IF('Reels'!D103="block",'Reels'!D104*'Slots'!D25,0)</f>
        <v>1</v>
      </c>
      <c r="G393" t="b">
        <f>AND('Reels'!D69&lt;&gt;"blank",'Reels'!D69&lt;&gt;"class",'Reels'!D69='Reels'!D103,'Reels'!D70='Reels'!D104,OR('Reels'!D84="class",AND('Reels'!D84='Reels'!D69,'Reels'!D85='Reels'!D70)))</f>
        <v>0</v>
      </c>
      <c r="H393">
        <f>IF(G393,C393,0)</f>
        <v>0</v>
      </c>
    </row>
    <row r="394" spans="1:8" x14ac:dyDescent="0.25">
      <c r="A394" t="s">
        <v>247</v>
      </c>
      <c r="B394" t="s">
        <v>3733</v>
      </c>
      <c r="C394" s="4">
        <f>('Reels'!D71/('Reels'!D62+'Reels'!D65+'Reels'!D68+'Reels'!D71+'Reels'!D74+'Reels'!D77))*('Reels'!D86/('Reels'!D80+'Reels'!D83+'Reels'!D86+'Reels'!D89+'Reels'!D92+'Reels'!D95+'Reels'!D98))*('Reels'!D108/('Reels'!D102+'Reels'!D105+'Reels'!D108+'Reels'!D111+'Reels'!D114+'Reels'!D117))</f>
        <v>0.00009351912466099317</v>
      </c>
      <c r="D394">
        <f>IF(OR('Reels'!D69="attack",'Reels'!D69="magic"),CHOOSE('Reels'!D70+1,'Slots'!D29,'Slots'!D30,'Slots'!D31,'Slots'!D32,'Slots'!D33),0)+IF(OR('Reels'!D84="attack",'Reels'!D84="magic"),CHOOSE('Reels'!D85+1,'Slots'!D29,'Slots'!D30,'Slots'!D31,'Slots'!D32,'Slots'!D33),0)+IF(OR('Reels'!D106="attack",'Reels'!D106="magic"),CHOOSE('Reels'!D107+1,'Slots'!D29,'Slots'!D30,'Slots'!D31,'Slots'!D32,'Slots'!D33),0)</f>
        <v>0</v>
      </c>
      <c r="E394">
        <f>IF('Reels'!D69="heal",'Reels'!D70*'Slots'!D24,0)+IF('Reels'!D84="heal",'Reels'!D85*'Slots'!D24,0)+IF('Reels'!D106="heal",'Reels'!D107*'Slots'!D24,0)</f>
        <v>0</v>
      </c>
      <c r="F394">
        <f>IF('Reels'!D69="block",'Reels'!D70*'Slots'!D25,0)+IF('Reels'!D84="block",'Reels'!D85*'Slots'!D25,0)+IF('Reels'!D106="block",'Reels'!D107*'Slots'!D25,0)</f>
        <v>2</v>
      </c>
      <c r="G394" t="b">
        <f>AND('Reels'!D69&lt;&gt;"blank",'Reels'!D69&lt;&gt;"class",'Reels'!D69='Reels'!D106,'Reels'!D70='Reels'!D107,OR('Reels'!D84="class",AND('Reels'!D84='Reels'!D69,'Reels'!D85='Reels'!D70)))</f>
        <v>0</v>
      </c>
      <c r="H394">
        <f>IF(G394,C394,0)</f>
        <v>0</v>
      </c>
    </row>
    <row r="395" spans="1:8" x14ac:dyDescent="0.25">
      <c r="A395" t="s">
        <v>247</v>
      </c>
      <c r="B395" t="s">
        <v>3734</v>
      </c>
      <c r="C395" s="4">
        <f>('Reels'!D71/('Reels'!D62+'Reels'!D65+'Reels'!D68+'Reels'!D71+'Reels'!D74+'Reels'!D77))*('Reels'!D86/('Reels'!D80+'Reels'!D83+'Reels'!D86+'Reels'!D89+'Reels'!D92+'Reels'!D95+'Reels'!D98))*('Reels'!D111/('Reels'!D102+'Reels'!D105+'Reels'!D108+'Reels'!D111+'Reels'!D114+'Reels'!D117))</f>
        <v>0.000046759562330496584</v>
      </c>
      <c r="D395">
        <f>IF(OR('Reels'!D69="attack",'Reels'!D69="magic"),CHOOSE('Reels'!D70+1,'Slots'!D29,'Slots'!D30,'Slots'!D31,'Slots'!D32,'Slots'!D33),0)+IF(OR('Reels'!D84="attack",'Reels'!D84="magic"),CHOOSE('Reels'!D85+1,'Slots'!D29,'Slots'!D30,'Slots'!D31,'Slots'!D32,'Slots'!D33),0)+IF(OR('Reels'!D109="attack",'Reels'!D109="magic"),CHOOSE('Reels'!D110+1,'Slots'!D29,'Slots'!D30,'Slots'!D31,'Slots'!D32,'Slots'!D33),0)</f>
        <v>0</v>
      </c>
      <c r="E395">
        <f>IF('Reels'!D69="heal",'Reels'!D70*'Slots'!D24,0)+IF('Reels'!D84="heal",'Reels'!D85*'Slots'!D24,0)+IF('Reels'!D109="heal",'Reels'!D110*'Slots'!D24,0)</f>
        <v>0</v>
      </c>
      <c r="F395">
        <f>IF('Reels'!D69="block",'Reels'!D70*'Slots'!D25,0)+IF('Reels'!D84="block",'Reels'!D85*'Slots'!D25,0)+IF('Reels'!D109="block",'Reels'!D110*'Slots'!D25,0)</f>
        <v>1</v>
      </c>
      <c r="G395" t="b">
        <f>AND('Reels'!D69&lt;&gt;"blank",'Reels'!D69&lt;&gt;"class",'Reels'!D69='Reels'!D109,'Reels'!D70='Reels'!D110,OR('Reels'!D84="class",AND('Reels'!D84='Reels'!D69,'Reels'!D85='Reels'!D70)))</f>
        <v>0</v>
      </c>
      <c r="H395">
        <f>IF(G395,C395,0)</f>
        <v>0</v>
      </c>
    </row>
    <row r="396" spans="1:8" x14ac:dyDescent="0.25">
      <c r="A396" t="s">
        <v>247</v>
      </c>
      <c r="B396" t="s">
        <v>3735</v>
      </c>
      <c r="C396" s="4">
        <f>('Reels'!D71/('Reels'!D62+'Reels'!D65+'Reels'!D68+'Reels'!D71+'Reels'!D74+'Reels'!D77))*('Reels'!D86/('Reels'!D80+'Reels'!D83+'Reels'!D86+'Reels'!D89+'Reels'!D92+'Reels'!D95+'Reels'!D98))*('Reels'!D114/('Reels'!D102+'Reels'!D105+'Reels'!D108+'Reels'!D111+'Reels'!D114+'Reels'!D117))</f>
        <v>0.000046759562330496584</v>
      </c>
      <c r="D396">
        <f>IF(OR('Reels'!D69="attack",'Reels'!D69="magic"),CHOOSE('Reels'!D70+1,'Slots'!D29,'Slots'!D30,'Slots'!D31,'Slots'!D32,'Slots'!D33),0)+IF(OR('Reels'!D84="attack",'Reels'!D84="magic"),CHOOSE('Reels'!D85+1,'Slots'!D29,'Slots'!D30,'Slots'!D31,'Slots'!D32,'Slots'!D33),0)+IF(OR('Reels'!D112="attack",'Reels'!D112="magic"),CHOOSE('Reels'!D113+1,'Slots'!D29,'Slots'!D30,'Slots'!D31,'Slots'!D32,'Slots'!D33),0)</f>
        <v>2</v>
      </c>
      <c r="E396">
        <f>IF('Reels'!D69="heal",'Reels'!D70*'Slots'!D24,0)+IF('Reels'!D84="heal",'Reels'!D85*'Slots'!D24,0)+IF('Reels'!D112="heal",'Reels'!D113*'Slots'!D24,0)</f>
        <v>0</v>
      </c>
      <c r="F396">
        <f>IF('Reels'!D69="block",'Reels'!D70*'Slots'!D25,0)+IF('Reels'!D84="block",'Reels'!D85*'Slots'!D25,0)+IF('Reels'!D112="block",'Reels'!D113*'Slots'!D25,0)</f>
        <v>1</v>
      </c>
      <c r="G396" t="b">
        <f>AND('Reels'!D69&lt;&gt;"blank",'Reels'!D69&lt;&gt;"class",'Reels'!D69='Reels'!D112,'Reels'!D70='Reels'!D113,OR('Reels'!D84="class",AND('Reels'!D84='Reels'!D69,'Reels'!D85='Reels'!D70)))</f>
        <v>0</v>
      </c>
      <c r="H396">
        <f>IF(G396,C396,0)</f>
        <v>0</v>
      </c>
    </row>
    <row r="397" spans="1:8" x14ac:dyDescent="0.25">
      <c r="A397" t="s">
        <v>247</v>
      </c>
      <c r="B397" t="s">
        <v>3736</v>
      </c>
      <c r="C397" s="4">
        <f>('Reels'!D71/('Reels'!D62+'Reels'!D65+'Reels'!D68+'Reels'!D71+'Reels'!D74+'Reels'!D77))*('Reels'!D86/('Reels'!D80+'Reels'!D83+'Reels'!D86+'Reels'!D89+'Reels'!D92+'Reels'!D95+'Reels'!D98))*('Reels'!D117/('Reels'!D102+'Reels'!D105+'Reels'!D108+'Reels'!D111+'Reels'!D114+'Reels'!D117))</f>
        <v>0.00018703824932198634</v>
      </c>
      <c r="D397">
        <f>IF(OR('Reels'!D69="attack",'Reels'!D69="magic"),CHOOSE('Reels'!D70+1,'Slots'!D29,'Slots'!D30,'Slots'!D31,'Slots'!D32,'Slots'!D33),0)+IF(OR('Reels'!D84="attack",'Reels'!D84="magic"),CHOOSE('Reels'!D85+1,'Slots'!D29,'Slots'!D30,'Slots'!D31,'Slots'!D32,'Slots'!D33),0)+IF(OR('Reels'!D115="attack",'Reels'!D115="magic"),CHOOSE('Reels'!D116+1,'Slots'!D29,'Slots'!D30,'Slots'!D31,'Slots'!D32,'Slots'!D33),0)</f>
        <v>0</v>
      </c>
      <c r="E397">
        <f>IF('Reels'!D69="heal",'Reels'!D70*'Slots'!D24,0)+IF('Reels'!D84="heal",'Reels'!D85*'Slots'!D24,0)+IF('Reels'!D115="heal",'Reels'!D116*'Slots'!D24,0)</f>
        <v>0</v>
      </c>
      <c r="F397">
        <f>IF('Reels'!D69="block",'Reels'!D70*'Slots'!D25,0)+IF('Reels'!D84="block",'Reels'!D85*'Slots'!D25,0)+IF('Reels'!D115="block",'Reels'!D116*'Slots'!D25,0)</f>
        <v>1</v>
      </c>
      <c r="G397" t="b">
        <f>AND('Reels'!D69&lt;&gt;"blank",'Reels'!D69&lt;&gt;"class",'Reels'!D69='Reels'!D115,'Reels'!D70='Reels'!D116,OR('Reels'!D84="class",AND('Reels'!D84='Reels'!D69,'Reels'!D85='Reels'!D70)))</f>
        <v>0</v>
      </c>
      <c r="H397">
        <f>IF(G397,C397,0)</f>
        <v>0</v>
      </c>
    </row>
    <row r="398" spans="1:8" x14ac:dyDescent="0.25">
      <c r="A398" t="s">
        <v>247</v>
      </c>
      <c r="B398" t="s">
        <v>3737</v>
      </c>
      <c r="C398" s="4">
        <f>('Reels'!D71/('Reels'!D62+'Reels'!D65+'Reels'!D68+'Reels'!D71+'Reels'!D74+'Reels'!D77))*('Reels'!D89/('Reels'!D80+'Reels'!D83+'Reels'!D86+'Reels'!D89+'Reels'!D92+'Reels'!D95+'Reels'!D98))*('Reels'!D102/('Reels'!D102+'Reels'!D105+'Reels'!D108+'Reels'!D111+'Reels'!D114+'Reels'!D117))</f>
        <v>0.0003273169363134761</v>
      </c>
      <c r="D398">
        <f>IF(OR('Reels'!D69="attack",'Reels'!D69="magic"),CHOOSE('Reels'!D70+1,'Slots'!D29,'Slots'!D30,'Slots'!D31,'Slots'!D32,'Slots'!D33),0)+IF(OR('Reels'!D87="attack",'Reels'!D87="magic"),CHOOSE('Reels'!D88+1,'Slots'!D29,'Slots'!D30,'Slots'!D31,'Slots'!D32,'Slots'!D33),0)+IF(OR('Reels'!D100="attack",'Reels'!D100="magic"),CHOOSE('Reels'!D101+1,'Slots'!D29,'Slots'!D30,'Slots'!D31,'Slots'!D32,'Slots'!D33),0)</f>
        <v>0</v>
      </c>
      <c r="E398">
        <f>IF('Reels'!D69="heal",'Reels'!D70*'Slots'!D24,0)+IF('Reels'!D87="heal",'Reels'!D88*'Slots'!D24,0)+IF('Reels'!D100="heal",'Reels'!D101*'Slots'!D24,0)</f>
        <v>2</v>
      </c>
      <c r="F398">
        <f>IF('Reels'!D69="block",'Reels'!D70*'Slots'!D25,0)+IF('Reels'!D87="block",'Reels'!D88*'Slots'!D25,0)+IF('Reels'!D100="block",'Reels'!D101*'Slots'!D25,0)</f>
        <v>0</v>
      </c>
      <c r="G398" t="b">
        <f>AND('Reels'!D69&lt;&gt;"blank",'Reels'!D69&lt;&gt;"class",'Reels'!D69='Reels'!D100,'Reels'!D70='Reels'!D101,OR('Reels'!D87="class",AND('Reels'!D87='Reels'!D69,'Reels'!D88='Reels'!D70)))</f>
        <v>0</v>
      </c>
      <c r="H398">
        <f>IF(G398,C398,0)</f>
        <v>0</v>
      </c>
    </row>
    <row r="399" spans="1:8" x14ac:dyDescent="0.25">
      <c r="A399" t="s">
        <v>247</v>
      </c>
      <c r="B399" t="s">
        <v>3738</v>
      </c>
      <c r="C399" s="4">
        <f>('Reels'!D71/('Reels'!D62+'Reels'!D65+'Reels'!D68+'Reels'!D71+'Reels'!D74+'Reels'!D77))*('Reels'!D89/('Reels'!D80+'Reels'!D83+'Reels'!D86+'Reels'!D89+'Reels'!D92+'Reels'!D95+'Reels'!D98))*('Reels'!D105/('Reels'!D102+'Reels'!D105+'Reels'!D108+'Reels'!D111+'Reels'!D114+'Reels'!D117))</f>
        <v>0.0002805573739829795</v>
      </c>
      <c r="D399">
        <f>IF(OR('Reels'!D69="attack",'Reels'!D69="magic"),CHOOSE('Reels'!D70+1,'Slots'!D29,'Slots'!D30,'Slots'!D31,'Slots'!D32,'Slots'!D33),0)+IF(OR('Reels'!D87="attack",'Reels'!D87="magic"),CHOOSE('Reels'!D88+1,'Slots'!D29,'Slots'!D30,'Slots'!D31,'Slots'!D32,'Slots'!D33),0)+IF(OR('Reels'!D103="attack",'Reels'!D103="magic"),CHOOSE('Reels'!D104+1,'Slots'!D29,'Slots'!D30,'Slots'!D31,'Slots'!D32,'Slots'!D33),0)</f>
        <v>0</v>
      </c>
      <c r="E399">
        <f>IF('Reels'!D69="heal",'Reels'!D70*'Slots'!D24,0)+IF('Reels'!D87="heal",'Reels'!D88*'Slots'!D24,0)+IF('Reels'!D103="heal",'Reels'!D104*'Slots'!D24,0)</f>
        <v>4</v>
      </c>
      <c r="F399">
        <f>IF('Reels'!D69="block",'Reels'!D70*'Slots'!D25,0)+IF('Reels'!D87="block",'Reels'!D88*'Slots'!D25,0)+IF('Reels'!D103="block",'Reels'!D104*'Slots'!D25,0)</f>
        <v>0</v>
      </c>
      <c r="G399" t="b">
        <f>AND('Reels'!D69&lt;&gt;"blank",'Reels'!D69&lt;&gt;"class",'Reels'!D69='Reels'!D103,'Reels'!D70='Reels'!D104,OR('Reels'!D87="class",AND('Reels'!D87='Reels'!D69,'Reels'!D88='Reels'!D70)))</f>
        <v>0</v>
      </c>
      <c r="H399">
        <f>IF(G399,C399,0)</f>
        <v>0</v>
      </c>
    </row>
    <row r="400" spans="1:8" x14ac:dyDescent="0.25">
      <c r="A400" t="s">
        <v>247</v>
      </c>
      <c r="B400" t="s">
        <v>3739</v>
      </c>
      <c r="C400" s="4">
        <f>('Reels'!D71/('Reels'!D62+'Reels'!D65+'Reels'!D68+'Reels'!D71+'Reels'!D74+'Reels'!D77))*('Reels'!D89/('Reels'!D80+'Reels'!D83+'Reels'!D86+'Reels'!D89+'Reels'!D92+'Reels'!D95+'Reels'!D98))*('Reels'!D108/('Reels'!D102+'Reels'!D105+'Reels'!D108+'Reels'!D111+'Reels'!D114+'Reels'!D117))</f>
        <v>0.000046759562330496584</v>
      </c>
      <c r="D400">
        <f>IF(OR('Reels'!D69="attack",'Reels'!D69="magic"),CHOOSE('Reels'!D70+1,'Slots'!D29,'Slots'!D30,'Slots'!D31,'Slots'!D32,'Slots'!D33),0)+IF(OR('Reels'!D87="attack",'Reels'!D87="magic"),CHOOSE('Reels'!D88+1,'Slots'!D29,'Slots'!D30,'Slots'!D31,'Slots'!D32,'Slots'!D33),0)+IF(OR('Reels'!D106="attack",'Reels'!D106="magic"),CHOOSE('Reels'!D107+1,'Slots'!D29,'Slots'!D30,'Slots'!D31,'Slots'!D32,'Slots'!D33),0)</f>
        <v>0</v>
      </c>
      <c r="E400">
        <f>IF('Reels'!D69="heal",'Reels'!D70*'Slots'!D24,0)+IF('Reels'!D87="heal",'Reels'!D88*'Slots'!D24,0)+IF('Reels'!D106="heal",'Reels'!D107*'Slots'!D24,0)</f>
        <v>0</v>
      </c>
      <c r="F400">
        <f>IF('Reels'!D69="block",'Reels'!D70*'Slots'!D25,0)+IF('Reels'!D87="block",'Reels'!D88*'Slots'!D25,0)+IF('Reels'!D106="block",'Reels'!D107*'Slots'!D25,0)</f>
        <v>1</v>
      </c>
      <c r="G400" t="b">
        <f>AND('Reels'!D69&lt;&gt;"blank",'Reels'!D69&lt;&gt;"class",'Reels'!D69='Reels'!D106,'Reels'!D70='Reels'!D107,OR('Reels'!D87="class",AND('Reels'!D87='Reels'!D69,'Reels'!D88='Reels'!D70)))</f>
        <v>0</v>
      </c>
      <c r="H400">
        <f>IF(G400,C400,0)</f>
        <v>0</v>
      </c>
    </row>
    <row r="401" spans="1:8" x14ac:dyDescent="0.25">
      <c r="A401" t="s">
        <v>247</v>
      </c>
      <c r="B401" t="s">
        <v>3740</v>
      </c>
      <c r="C401" s="4">
        <f>('Reels'!D71/('Reels'!D62+'Reels'!D65+'Reels'!D68+'Reels'!D71+'Reels'!D74+'Reels'!D77))*('Reels'!D89/('Reels'!D80+'Reels'!D83+'Reels'!D86+'Reels'!D89+'Reels'!D92+'Reels'!D95+'Reels'!D98))*('Reels'!D111/('Reels'!D102+'Reels'!D105+'Reels'!D108+'Reels'!D111+'Reels'!D114+'Reels'!D117))</f>
        <v>0.000023379781165248292</v>
      </c>
      <c r="D401">
        <f>IF(OR('Reels'!D69="attack",'Reels'!D69="magic"),CHOOSE('Reels'!D70+1,'Slots'!D29,'Slots'!D30,'Slots'!D31,'Slots'!D32,'Slots'!D33),0)+IF(OR('Reels'!D87="attack",'Reels'!D87="magic"),CHOOSE('Reels'!D88+1,'Slots'!D29,'Slots'!D30,'Slots'!D31,'Slots'!D32,'Slots'!D33),0)+IF(OR('Reels'!D109="attack",'Reels'!D109="magic"),CHOOSE('Reels'!D110+1,'Slots'!D29,'Slots'!D30,'Slots'!D31,'Slots'!D32,'Slots'!D33),0)</f>
        <v>0</v>
      </c>
      <c r="E401">
        <f>IF('Reels'!D69="heal",'Reels'!D70*'Slots'!D24,0)+IF('Reels'!D87="heal",'Reels'!D88*'Slots'!D24,0)+IF('Reels'!D109="heal",'Reels'!D110*'Slots'!D24,0)</f>
        <v>0</v>
      </c>
      <c r="F401">
        <f>IF('Reels'!D69="block",'Reels'!D70*'Slots'!D25,0)+IF('Reels'!D87="block",'Reels'!D88*'Slots'!D25,0)+IF('Reels'!D109="block",'Reels'!D110*'Slots'!D25,0)</f>
        <v>0</v>
      </c>
      <c r="G401" t="b">
        <f>AND('Reels'!D69&lt;&gt;"blank",'Reels'!D69&lt;&gt;"class",'Reels'!D69='Reels'!D109,'Reels'!D70='Reels'!D110,OR('Reels'!D87="class",AND('Reels'!D87='Reels'!D69,'Reels'!D88='Reels'!D70)))</f>
        <v>1</v>
      </c>
      <c r="H401">
        <f>IF(G401,C401,0)</f>
        <v>0.000023379781165248292</v>
      </c>
    </row>
    <row r="402" spans="1:8" x14ac:dyDescent="0.25">
      <c r="A402" t="s">
        <v>247</v>
      </c>
      <c r="B402" t="s">
        <v>3741</v>
      </c>
      <c r="C402" s="4">
        <f>('Reels'!D71/('Reels'!D62+'Reels'!D65+'Reels'!D68+'Reels'!D71+'Reels'!D74+'Reels'!D77))*('Reels'!D89/('Reels'!D80+'Reels'!D83+'Reels'!D86+'Reels'!D89+'Reels'!D92+'Reels'!D95+'Reels'!D98))*('Reels'!D114/('Reels'!D102+'Reels'!D105+'Reels'!D108+'Reels'!D111+'Reels'!D114+'Reels'!D117))</f>
        <v>0.000023379781165248292</v>
      </c>
      <c r="D402">
        <f>IF(OR('Reels'!D69="attack",'Reels'!D69="magic"),CHOOSE('Reels'!D70+1,'Slots'!D29,'Slots'!D30,'Slots'!D31,'Slots'!D32,'Slots'!D33),0)+IF(OR('Reels'!D87="attack",'Reels'!D87="magic"),CHOOSE('Reels'!D88+1,'Slots'!D29,'Slots'!D30,'Slots'!D31,'Slots'!D32,'Slots'!D33),0)+IF(OR('Reels'!D112="attack",'Reels'!D112="magic"),CHOOSE('Reels'!D113+1,'Slots'!D29,'Slots'!D30,'Slots'!D31,'Slots'!D32,'Slots'!D33),0)</f>
        <v>2</v>
      </c>
      <c r="E402">
        <f>IF('Reels'!D69="heal",'Reels'!D70*'Slots'!D24,0)+IF('Reels'!D87="heal",'Reels'!D88*'Slots'!D24,0)+IF('Reels'!D112="heal",'Reels'!D113*'Slots'!D24,0)</f>
        <v>0</v>
      </c>
      <c r="F402">
        <f>IF('Reels'!D69="block",'Reels'!D70*'Slots'!D25,0)+IF('Reels'!D87="block",'Reels'!D88*'Slots'!D25,0)+IF('Reels'!D112="block",'Reels'!D113*'Slots'!D25,0)</f>
        <v>0</v>
      </c>
      <c r="G402" t="b">
        <f>AND('Reels'!D69&lt;&gt;"blank",'Reels'!D69&lt;&gt;"class",'Reels'!D69='Reels'!D112,'Reels'!D70='Reels'!D113,OR('Reels'!D87="class",AND('Reels'!D87='Reels'!D69,'Reels'!D88='Reels'!D70)))</f>
        <v>0</v>
      </c>
      <c r="H402">
        <f>IF(G402,C402,0)</f>
        <v>0</v>
      </c>
    </row>
    <row r="403" spans="1:8" x14ac:dyDescent="0.25">
      <c r="A403" t="s">
        <v>247</v>
      </c>
      <c r="B403" t="s">
        <v>3742</v>
      </c>
      <c r="C403" s="4">
        <f>('Reels'!D71/('Reels'!D62+'Reels'!D65+'Reels'!D68+'Reels'!D71+'Reels'!D74+'Reels'!D77))*('Reels'!D89/('Reels'!D80+'Reels'!D83+'Reels'!D86+'Reels'!D89+'Reels'!D92+'Reels'!D95+'Reels'!D98))*('Reels'!D117/('Reels'!D102+'Reels'!D105+'Reels'!D108+'Reels'!D111+'Reels'!D114+'Reels'!D117))</f>
        <v>0.00009351912466099317</v>
      </c>
      <c r="D403">
        <f>IF(OR('Reels'!D69="attack",'Reels'!D69="magic"),CHOOSE('Reels'!D70+1,'Slots'!D29,'Slots'!D30,'Slots'!D31,'Slots'!D32,'Slots'!D33),0)+IF(OR('Reels'!D87="attack",'Reels'!D87="magic"),CHOOSE('Reels'!D88+1,'Slots'!D29,'Slots'!D30,'Slots'!D31,'Slots'!D32,'Slots'!D33),0)+IF(OR('Reels'!D115="attack",'Reels'!D115="magic"),CHOOSE('Reels'!D116+1,'Slots'!D29,'Slots'!D30,'Slots'!D31,'Slots'!D32,'Slots'!D33),0)</f>
        <v>0</v>
      </c>
      <c r="E403">
        <f>IF('Reels'!D69="heal",'Reels'!D70*'Slots'!D24,0)+IF('Reels'!D87="heal",'Reels'!D88*'Slots'!D24,0)+IF('Reels'!D115="heal",'Reels'!D116*'Slots'!D24,0)</f>
        <v>0</v>
      </c>
      <c r="F403">
        <f>IF('Reels'!D69="block",'Reels'!D70*'Slots'!D25,0)+IF('Reels'!D87="block",'Reels'!D88*'Slots'!D25,0)+IF('Reels'!D115="block",'Reels'!D116*'Slots'!D25,0)</f>
        <v>0</v>
      </c>
      <c r="G403" t="b">
        <f>AND('Reels'!D69&lt;&gt;"blank",'Reels'!D69&lt;&gt;"class",'Reels'!D69='Reels'!D115,'Reels'!D70='Reels'!D116,OR('Reels'!D87="class",AND('Reels'!D87='Reels'!D69,'Reels'!D88='Reels'!D70)))</f>
        <v>0</v>
      </c>
      <c r="H403">
        <f>IF(G403,C403,0)</f>
        <v>0</v>
      </c>
    </row>
    <row r="404" spans="1:8" x14ac:dyDescent="0.25">
      <c r="A404" t="s">
        <v>247</v>
      </c>
      <c r="B404" t="s">
        <v>3743</v>
      </c>
      <c r="C404" s="4">
        <f>('Reels'!D71/('Reels'!D62+'Reels'!D65+'Reels'!D68+'Reels'!D71+'Reels'!D74+'Reels'!D77))*('Reels'!D92/('Reels'!D80+'Reels'!D83+'Reels'!D86+'Reels'!D89+'Reels'!D92+'Reels'!D95+'Reels'!D98))*('Reels'!D102/('Reels'!D102+'Reels'!D105+'Reels'!D108+'Reels'!D111+'Reels'!D114+'Reels'!D117))</f>
        <v>0.0003273169363134761</v>
      </c>
      <c r="D404">
        <f>IF(OR('Reels'!D69="attack",'Reels'!D69="magic"),CHOOSE('Reels'!D70+1,'Slots'!D29,'Slots'!D30,'Slots'!D31,'Slots'!D32,'Slots'!D33),0)+IF(OR('Reels'!D90="attack",'Reels'!D90="magic"),CHOOSE('Reels'!D91+1,'Slots'!D29,'Slots'!D30,'Slots'!D31,'Slots'!D32,'Slots'!D33),0)+IF(OR('Reels'!D100="attack",'Reels'!D100="magic"),CHOOSE('Reels'!D101+1,'Slots'!D29,'Slots'!D30,'Slots'!D31,'Slots'!D32,'Slots'!D33),0)</f>
        <v>2</v>
      </c>
      <c r="E404">
        <f>IF('Reels'!D69="heal",'Reels'!D70*'Slots'!D24,0)+IF('Reels'!D90="heal",'Reels'!D91*'Slots'!D24,0)+IF('Reels'!D100="heal",'Reels'!D101*'Slots'!D24,0)</f>
        <v>2</v>
      </c>
      <c r="F404">
        <f>IF('Reels'!D69="block",'Reels'!D70*'Slots'!D25,0)+IF('Reels'!D90="block",'Reels'!D91*'Slots'!D25,0)+IF('Reels'!D100="block",'Reels'!D101*'Slots'!D25,0)</f>
        <v>0</v>
      </c>
      <c r="G404" t="b">
        <f>AND('Reels'!D69&lt;&gt;"blank",'Reels'!D69&lt;&gt;"class",'Reels'!D69='Reels'!D100,'Reels'!D70='Reels'!D101,OR('Reels'!D90="class",AND('Reels'!D90='Reels'!D69,'Reels'!D91='Reels'!D70)))</f>
        <v>0</v>
      </c>
      <c r="H404">
        <f>IF(G404,C404,0)</f>
        <v>0</v>
      </c>
    </row>
    <row r="405" spans="1:8" x14ac:dyDescent="0.25">
      <c r="A405" t="s">
        <v>247</v>
      </c>
      <c r="B405" t="s">
        <v>3744</v>
      </c>
      <c r="C405" s="4">
        <f>('Reels'!D71/('Reels'!D62+'Reels'!D65+'Reels'!D68+'Reels'!D71+'Reels'!D74+'Reels'!D77))*('Reels'!D92/('Reels'!D80+'Reels'!D83+'Reels'!D86+'Reels'!D89+'Reels'!D92+'Reels'!D95+'Reels'!D98))*('Reels'!D105/('Reels'!D102+'Reels'!D105+'Reels'!D108+'Reels'!D111+'Reels'!D114+'Reels'!D117))</f>
        <v>0.0002805573739829795</v>
      </c>
      <c r="D405">
        <f>IF(OR('Reels'!D69="attack",'Reels'!D69="magic"),CHOOSE('Reels'!D70+1,'Slots'!D29,'Slots'!D30,'Slots'!D31,'Slots'!D32,'Slots'!D33),0)+IF(OR('Reels'!D90="attack",'Reels'!D90="magic"),CHOOSE('Reels'!D91+1,'Slots'!D29,'Slots'!D30,'Slots'!D31,'Slots'!D32,'Slots'!D33),0)+IF(OR('Reels'!D103="attack",'Reels'!D103="magic"),CHOOSE('Reels'!D104+1,'Slots'!D29,'Slots'!D30,'Slots'!D31,'Slots'!D32,'Slots'!D33),0)</f>
        <v>2</v>
      </c>
      <c r="E405">
        <f>IF('Reels'!D69="heal",'Reels'!D70*'Slots'!D24,0)+IF('Reels'!D90="heal",'Reels'!D91*'Slots'!D24,0)+IF('Reels'!D103="heal",'Reels'!D104*'Slots'!D24,0)</f>
        <v>4</v>
      </c>
      <c r="F405">
        <f>IF('Reels'!D69="block",'Reels'!D70*'Slots'!D25,0)+IF('Reels'!D90="block",'Reels'!D91*'Slots'!D25,0)+IF('Reels'!D103="block",'Reels'!D104*'Slots'!D25,0)</f>
        <v>0</v>
      </c>
      <c r="G405" t="b">
        <f>AND('Reels'!D69&lt;&gt;"blank",'Reels'!D69&lt;&gt;"class",'Reels'!D69='Reels'!D103,'Reels'!D70='Reels'!D104,OR('Reels'!D90="class",AND('Reels'!D90='Reels'!D69,'Reels'!D91='Reels'!D70)))</f>
        <v>0</v>
      </c>
      <c r="H405">
        <f>IF(G405,C405,0)</f>
        <v>0</v>
      </c>
    </row>
    <row r="406" spans="1:8" x14ac:dyDescent="0.25">
      <c r="A406" t="s">
        <v>247</v>
      </c>
      <c r="B406" t="s">
        <v>3745</v>
      </c>
      <c r="C406" s="4">
        <f>('Reels'!D71/('Reels'!D62+'Reels'!D65+'Reels'!D68+'Reels'!D71+'Reels'!D74+'Reels'!D77))*('Reels'!D92/('Reels'!D80+'Reels'!D83+'Reels'!D86+'Reels'!D89+'Reels'!D92+'Reels'!D95+'Reels'!D98))*('Reels'!D108/('Reels'!D102+'Reels'!D105+'Reels'!D108+'Reels'!D111+'Reels'!D114+'Reels'!D117))</f>
        <v>0.000046759562330496584</v>
      </c>
      <c r="D406">
        <f>IF(OR('Reels'!D69="attack",'Reels'!D69="magic"),CHOOSE('Reels'!D70+1,'Slots'!D29,'Slots'!D30,'Slots'!D31,'Slots'!D32,'Slots'!D33),0)+IF(OR('Reels'!D90="attack",'Reels'!D90="magic"),CHOOSE('Reels'!D91+1,'Slots'!D29,'Slots'!D30,'Slots'!D31,'Slots'!D32,'Slots'!D33),0)+IF(OR('Reels'!D106="attack",'Reels'!D106="magic"),CHOOSE('Reels'!D107+1,'Slots'!D29,'Slots'!D30,'Slots'!D31,'Slots'!D32,'Slots'!D33),0)</f>
        <v>2</v>
      </c>
      <c r="E406">
        <f>IF('Reels'!D69="heal",'Reels'!D70*'Slots'!D24,0)+IF('Reels'!D90="heal",'Reels'!D91*'Slots'!D24,0)+IF('Reels'!D106="heal",'Reels'!D107*'Slots'!D24,0)</f>
        <v>0</v>
      </c>
      <c r="F406">
        <f>IF('Reels'!D69="block",'Reels'!D70*'Slots'!D25,0)+IF('Reels'!D90="block",'Reels'!D91*'Slots'!D25,0)+IF('Reels'!D106="block",'Reels'!D107*'Slots'!D25,0)</f>
        <v>1</v>
      </c>
      <c r="G406" t="b">
        <f>AND('Reels'!D69&lt;&gt;"blank",'Reels'!D69&lt;&gt;"class",'Reels'!D69='Reels'!D106,'Reels'!D70='Reels'!D107,OR('Reels'!D90="class",AND('Reels'!D90='Reels'!D69,'Reels'!D91='Reels'!D70)))</f>
        <v>0</v>
      </c>
      <c r="H406">
        <f>IF(G406,C406,0)</f>
        <v>0</v>
      </c>
    </row>
    <row r="407" spans="1:8" x14ac:dyDescent="0.25">
      <c r="A407" t="s">
        <v>247</v>
      </c>
      <c r="B407" t="s">
        <v>3746</v>
      </c>
      <c r="C407" s="4">
        <f>('Reels'!D71/('Reels'!D62+'Reels'!D65+'Reels'!D68+'Reels'!D71+'Reels'!D74+'Reels'!D77))*('Reels'!D92/('Reels'!D80+'Reels'!D83+'Reels'!D86+'Reels'!D89+'Reels'!D92+'Reels'!D95+'Reels'!D98))*('Reels'!D111/('Reels'!D102+'Reels'!D105+'Reels'!D108+'Reels'!D111+'Reels'!D114+'Reels'!D117))</f>
        <v>0.000023379781165248292</v>
      </c>
      <c r="D407">
        <f>IF(OR('Reels'!D69="attack",'Reels'!D69="magic"),CHOOSE('Reels'!D70+1,'Slots'!D29,'Slots'!D30,'Slots'!D31,'Slots'!D32,'Slots'!D33),0)+IF(OR('Reels'!D90="attack",'Reels'!D90="magic"),CHOOSE('Reels'!D91+1,'Slots'!D29,'Slots'!D30,'Slots'!D31,'Slots'!D32,'Slots'!D33),0)+IF(OR('Reels'!D109="attack",'Reels'!D109="magic"),CHOOSE('Reels'!D110+1,'Slots'!D29,'Slots'!D30,'Slots'!D31,'Slots'!D32,'Slots'!D33),0)</f>
        <v>2</v>
      </c>
      <c r="E407">
        <f>IF('Reels'!D69="heal",'Reels'!D70*'Slots'!D24,0)+IF('Reels'!D90="heal",'Reels'!D91*'Slots'!D24,0)+IF('Reels'!D109="heal",'Reels'!D110*'Slots'!D24,0)</f>
        <v>0</v>
      </c>
      <c r="F407">
        <f>IF('Reels'!D69="block",'Reels'!D70*'Slots'!D25,0)+IF('Reels'!D90="block",'Reels'!D91*'Slots'!D25,0)+IF('Reels'!D109="block",'Reels'!D110*'Slots'!D25,0)</f>
        <v>0</v>
      </c>
      <c r="G407" t="b">
        <f>AND('Reels'!D69&lt;&gt;"blank",'Reels'!D69&lt;&gt;"class",'Reels'!D69='Reels'!D109,'Reels'!D70='Reels'!D110,OR('Reels'!D90="class",AND('Reels'!D90='Reels'!D69,'Reels'!D91='Reels'!D70)))</f>
        <v>0</v>
      </c>
      <c r="H407">
        <f>IF(G407,C407,0)</f>
        <v>0</v>
      </c>
    </row>
    <row r="408" spans="1:8" x14ac:dyDescent="0.25">
      <c r="A408" t="s">
        <v>247</v>
      </c>
      <c r="B408" t="s">
        <v>3747</v>
      </c>
      <c r="C408" s="4">
        <f>('Reels'!D71/('Reels'!D62+'Reels'!D65+'Reels'!D68+'Reels'!D71+'Reels'!D74+'Reels'!D77))*('Reels'!D92/('Reels'!D80+'Reels'!D83+'Reels'!D86+'Reels'!D89+'Reels'!D92+'Reels'!D95+'Reels'!D98))*('Reels'!D114/('Reels'!D102+'Reels'!D105+'Reels'!D108+'Reels'!D111+'Reels'!D114+'Reels'!D117))</f>
        <v>0.000023379781165248292</v>
      </c>
      <c r="D408">
        <f>IF(OR('Reels'!D69="attack",'Reels'!D69="magic"),CHOOSE('Reels'!D70+1,'Slots'!D29,'Slots'!D30,'Slots'!D31,'Slots'!D32,'Slots'!D33),0)+IF(OR('Reels'!D90="attack",'Reels'!D90="magic"),CHOOSE('Reels'!D91+1,'Slots'!D29,'Slots'!D30,'Slots'!D31,'Slots'!D32,'Slots'!D33),0)+IF(OR('Reels'!D112="attack",'Reels'!D112="magic"),CHOOSE('Reels'!D113+1,'Slots'!D29,'Slots'!D30,'Slots'!D31,'Slots'!D32,'Slots'!D33),0)</f>
        <v>4</v>
      </c>
      <c r="E408">
        <f>IF('Reels'!D69="heal",'Reels'!D70*'Slots'!D24,0)+IF('Reels'!D90="heal",'Reels'!D91*'Slots'!D24,0)+IF('Reels'!D112="heal",'Reels'!D113*'Slots'!D24,0)</f>
        <v>0</v>
      </c>
      <c r="F408">
        <f>IF('Reels'!D69="block",'Reels'!D70*'Slots'!D25,0)+IF('Reels'!D90="block",'Reels'!D91*'Slots'!D25,0)+IF('Reels'!D112="block",'Reels'!D113*'Slots'!D25,0)</f>
        <v>0</v>
      </c>
      <c r="G408" t="b">
        <f>AND('Reels'!D69&lt;&gt;"blank",'Reels'!D69&lt;&gt;"class",'Reels'!D69='Reels'!D112,'Reels'!D70='Reels'!D113,OR('Reels'!D90="class",AND('Reels'!D90='Reels'!D69,'Reels'!D91='Reels'!D70)))</f>
        <v>0</v>
      </c>
      <c r="H408">
        <f>IF(G408,C408,0)</f>
        <v>0</v>
      </c>
    </row>
    <row r="409" spans="1:8" x14ac:dyDescent="0.25">
      <c r="A409" t="s">
        <v>247</v>
      </c>
      <c r="B409" t="s">
        <v>3748</v>
      </c>
      <c r="C409" s="4">
        <f>('Reels'!D71/('Reels'!D62+'Reels'!D65+'Reels'!D68+'Reels'!D71+'Reels'!D74+'Reels'!D77))*('Reels'!D92/('Reels'!D80+'Reels'!D83+'Reels'!D86+'Reels'!D89+'Reels'!D92+'Reels'!D95+'Reels'!D98))*('Reels'!D117/('Reels'!D102+'Reels'!D105+'Reels'!D108+'Reels'!D111+'Reels'!D114+'Reels'!D117))</f>
        <v>0.00009351912466099317</v>
      </c>
      <c r="D409">
        <f>IF(OR('Reels'!D69="attack",'Reels'!D69="magic"),CHOOSE('Reels'!D70+1,'Slots'!D29,'Slots'!D30,'Slots'!D31,'Slots'!D32,'Slots'!D33),0)+IF(OR('Reels'!D90="attack",'Reels'!D90="magic"),CHOOSE('Reels'!D91+1,'Slots'!D29,'Slots'!D30,'Slots'!D31,'Slots'!D32,'Slots'!D33),0)+IF(OR('Reels'!D115="attack",'Reels'!D115="magic"),CHOOSE('Reels'!D116+1,'Slots'!D29,'Slots'!D30,'Slots'!D31,'Slots'!D32,'Slots'!D33),0)</f>
        <v>2</v>
      </c>
      <c r="E409">
        <f>IF('Reels'!D69="heal",'Reels'!D70*'Slots'!D24,0)+IF('Reels'!D90="heal",'Reels'!D91*'Slots'!D24,0)+IF('Reels'!D115="heal",'Reels'!D116*'Slots'!D24,0)</f>
        <v>0</v>
      </c>
      <c r="F409">
        <f>IF('Reels'!D69="block",'Reels'!D70*'Slots'!D25,0)+IF('Reels'!D90="block",'Reels'!D91*'Slots'!D25,0)+IF('Reels'!D115="block",'Reels'!D116*'Slots'!D25,0)</f>
        <v>0</v>
      </c>
      <c r="G409" t="b">
        <f>AND('Reels'!D69&lt;&gt;"blank",'Reels'!D69&lt;&gt;"class",'Reels'!D69='Reels'!D115,'Reels'!D70='Reels'!D116,OR('Reels'!D90="class",AND('Reels'!D90='Reels'!D69,'Reels'!D91='Reels'!D70)))</f>
        <v>0</v>
      </c>
      <c r="H409">
        <f>IF(G409,C409,0)</f>
        <v>0</v>
      </c>
    </row>
    <row r="410" spans="1:8" x14ac:dyDescent="0.25">
      <c r="A410" t="s">
        <v>247</v>
      </c>
      <c r="B410" t="s">
        <v>3749</v>
      </c>
      <c r="C410" s="4">
        <f>('Reels'!D71/('Reels'!D62+'Reels'!D65+'Reels'!D68+'Reels'!D71+'Reels'!D74+'Reels'!D77))*('Reels'!D95/('Reels'!D80+'Reels'!D83+'Reels'!D86+'Reels'!D89+'Reels'!D92+'Reels'!D95+'Reels'!D98))*('Reels'!D102/('Reels'!D102+'Reels'!D105+'Reels'!D108+'Reels'!D111+'Reels'!D114+'Reels'!D117))</f>
        <v>0.0013092677452539044</v>
      </c>
      <c r="D410">
        <f>IF(OR('Reels'!D69="attack",'Reels'!D69="magic"),CHOOSE('Reels'!D70+1,'Slots'!D29,'Slots'!D30,'Slots'!D31,'Slots'!D32,'Slots'!D33),0)+IF(OR('Reels'!D93="attack",'Reels'!D93="magic"),CHOOSE('Reels'!D94+1,'Slots'!D29,'Slots'!D30,'Slots'!D31,'Slots'!D32,'Slots'!D33),0)+IF(OR('Reels'!D100="attack",'Reels'!D100="magic"),CHOOSE('Reels'!D101+1,'Slots'!D29,'Slots'!D30,'Slots'!D31,'Slots'!D32,'Slots'!D33),0)</f>
        <v>0</v>
      </c>
      <c r="E410">
        <f>IF('Reels'!D69="heal",'Reels'!D70*'Slots'!D24,0)+IF('Reels'!D93="heal",'Reels'!D94*'Slots'!D24,0)+IF('Reels'!D100="heal",'Reels'!D101*'Slots'!D24,0)</f>
        <v>2</v>
      </c>
      <c r="F410">
        <f>IF('Reels'!D69="block",'Reels'!D70*'Slots'!D25,0)+IF('Reels'!D93="block",'Reels'!D94*'Slots'!D25,0)+IF('Reels'!D100="block",'Reels'!D101*'Slots'!D25,0)</f>
        <v>0</v>
      </c>
      <c r="G410" t="b">
        <f>AND('Reels'!D69&lt;&gt;"blank",'Reels'!D69&lt;&gt;"class",'Reels'!D69='Reels'!D100,'Reels'!D70='Reels'!D101,OR('Reels'!D93="class",AND('Reels'!D93='Reels'!D69,'Reels'!D94='Reels'!D70)))</f>
        <v>0</v>
      </c>
      <c r="H410">
        <f>IF(G410,C410,0)</f>
        <v>0</v>
      </c>
    </row>
    <row r="411" spans="1:8" x14ac:dyDescent="0.25">
      <c r="A411" t="s">
        <v>247</v>
      </c>
      <c r="B411" t="s">
        <v>3750</v>
      </c>
      <c r="C411" s="4">
        <f>('Reels'!D71/('Reels'!D62+'Reels'!D65+'Reels'!D68+'Reels'!D71+'Reels'!D74+'Reels'!D77))*('Reels'!D95/('Reels'!D80+'Reels'!D83+'Reels'!D86+'Reels'!D89+'Reels'!D92+'Reels'!D95+'Reels'!D98))*('Reels'!D105/('Reels'!D102+'Reels'!D105+'Reels'!D108+'Reels'!D111+'Reels'!D114+'Reels'!D117))</f>
        <v>0.001122229495931918</v>
      </c>
      <c r="D411">
        <f>IF(OR('Reels'!D69="attack",'Reels'!D69="magic"),CHOOSE('Reels'!D70+1,'Slots'!D29,'Slots'!D30,'Slots'!D31,'Slots'!D32,'Slots'!D33),0)+IF(OR('Reels'!D93="attack",'Reels'!D93="magic"),CHOOSE('Reels'!D94+1,'Slots'!D29,'Slots'!D30,'Slots'!D31,'Slots'!D32,'Slots'!D33),0)+IF(OR('Reels'!D103="attack",'Reels'!D103="magic"),CHOOSE('Reels'!D104+1,'Slots'!D29,'Slots'!D30,'Slots'!D31,'Slots'!D32,'Slots'!D33),0)</f>
        <v>0</v>
      </c>
      <c r="E411">
        <f>IF('Reels'!D69="heal",'Reels'!D70*'Slots'!D24,0)+IF('Reels'!D93="heal",'Reels'!D94*'Slots'!D24,0)+IF('Reels'!D103="heal",'Reels'!D104*'Slots'!D24,0)</f>
        <v>4</v>
      </c>
      <c r="F411">
        <f>IF('Reels'!D69="block",'Reels'!D70*'Slots'!D25,0)+IF('Reels'!D93="block",'Reels'!D94*'Slots'!D25,0)+IF('Reels'!D103="block",'Reels'!D104*'Slots'!D25,0)</f>
        <v>0</v>
      </c>
      <c r="G411" t="b">
        <f>AND('Reels'!D69&lt;&gt;"blank",'Reels'!D69&lt;&gt;"class",'Reels'!D69='Reels'!D103,'Reels'!D70='Reels'!D104,OR('Reels'!D93="class",AND('Reels'!D93='Reels'!D69,'Reels'!D94='Reels'!D70)))</f>
        <v>0</v>
      </c>
      <c r="H411">
        <f>IF(G411,C411,0)</f>
        <v>0</v>
      </c>
    </row>
    <row r="412" spans="1:8" x14ac:dyDescent="0.25">
      <c r="A412" t="s">
        <v>247</v>
      </c>
      <c r="B412" t="s">
        <v>3751</v>
      </c>
      <c r="C412" s="4">
        <f>('Reels'!D71/('Reels'!D62+'Reels'!D65+'Reels'!D68+'Reels'!D71+'Reels'!D74+'Reels'!D77))*('Reels'!D95/('Reels'!D80+'Reels'!D83+'Reels'!D86+'Reels'!D89+'Reels'!D92+'Reels'!D95+'Reels'!D98))*('Reels'!D108/('Reels'!D102+'Reels'!D105+'Reels'!D108+'Reels'!D111+'Reels'!D114+'Reels'!D117))</f>
        <v>0.00018703824932198634</v>
      </c>
      <c r="D412">
        <f>IF(OR('Reels'!D69="attack",'Reels'!D69="magic"),CHOOSE('Reels'!D70+1,'Slots'!D29,'Slots'!D30,'Slots'!D31,'Slots'!D32,'Slots'!D33),0)+IF(OR('Reels'!D93="attack",'Reels'!D93="magic"),CHOOSE('Reels'!D94+1,'Slots'!D29,'Slots'!D30,'Slots'!D31,'Slots'!D32,'Slots'!D33),0)+IF(OR('Reels'!D106="attack",'Reels'!D106="magic"),CHOOSE('Reels'!D107+1,'Slots'!D29,'Slots'!D30,'Slots'!D31,'Slots'!D32,'Slots'!D33),0)</f>
        <v>0</v>
      </c>
      <c r="E412">
        <f>IF('Reels'!D69="heal",'Reels'!D70*'Slots'!D24,0)+IF('Reels'!D93="heal",'Reels'!D94*'Slots'!D24,0)+IF('Reels'!D106="heal",'Reels'!D107*'Slots'!D24,0)</f>
        <v>0</v>
      </c>
      <c r="F412">
        <f>IF('Reels'!D69="block",'Reels'!D70*'Slots'!D25,0)+IF('Reels'!D93="block",'Reels'!D94*'Slots'!D25,0)+IF('Reels'!D106="block",'Reels'!D107*'Slots'!D25,0)</f>
        <v>1</v>
      </c>
      <c r="G412" t="b">
        <f>AND('Reels'!D69&lt;&gt;"blank",'Reels'!D69&lt;&gt;"class",'Reels'!D69='Reels'!D106,'Reels'!D70='Reels'!D107,OR('Reels'!D93="class",AND('Reels'!D93='Reels'!D69,'Reels'!D94='Reels'!D70)))</f>
        <v>0</v>
      </c>
      <c r="H412">
        <f>IF(G412,C412,0)</f>
        <v>0</v>
      </c>
    </row>
    <row r="413" spans="1:8" x14ac:dyDescent="0.25">
      <c r="A413" t="s">
        <v>247</v>
      </c>
      <c r="B413" t="s">
        <v>3752</v>
      </c>
      <c r="C413" s="4">
        <f>('Reels'!D71/('Reels'!D62+'Reels'!D65+'Reels'!D68+'Reels'!D71+'Reels'!D74+'Reels'!D77))*('Reels'!D95/('Reels'!D80+'Reels'!D83+'Reels'!D86+'Reels'!D89+'Reels'!D92+'Reels'!D95+'Reels'!D98))*('Reels'!D111/('Reels'!D102+'Reels'!D105+'Reels'!D108+'Reels'!D111+'Reels'!D114+'Reels'!D117))</f>
        <v>0.00009351912466099317</v>
      </c>
      <c r="D413">
        <f>IF(OR('Reels'!D69="attack",'Reels'!D69="magic"),CHOOSE('Reels'!D70+1,'Slots'!D29,'Slots'!D30,'Slots'!D31,'Slots'!D32,'Slots'!D33),0)+IF(OR('Reels'!D93="attack",'Reels'!D93="magic"),CHOOSE('Reels'!D94+1,'Slots'!D29,'Slots'!D30,'Slots'!D31,'Slots'!D32,'Slots'!D33),0)+IF(OR('Reels'!D109="attack",'Reels'!D109="magic"),CHOOSE('Reels'!D110+1,'Slots'!D29,'Slots'!D30,'Slots'!D31,'Slots'!D32,'Slots'!D33),0)</f>
        <v>0</v>
      </c>
      <c r="E413">
        <f>IF('Reels'!D69="heal",'Reels'!D70*'Slots'!D24,0)+IF('Reels'!D93="heal",'Reels'!D94*'Slots'!D24,0)+IF('Reels'!D109="heal",'Reels'!D110*'Slots'!D24,0)</f>
        <v>0</v>
      </c>
      <c r="F413">
        <f>IF('Reels'!D69="block",'Reels'!D70*'Slots'!D25,0)+IF('Reels'!D93="block",'Reels'!D94*'Slots'!D25,0)+IF('Reels'!D109="block",'Reels'!D110*'Slots'!D25,0)</f>
        <v>0</v>
      </c>
      <c r="G413" t="b">
        <f>AND('Reels'!D69&lt;&gt;"blank",'Reels'!D69&lt;&gt;"class",'Reels'!D69='Reels'!D109,'Reels'!D70='Reels'!D110,OR('Reels'!D93="class",AND('Reels'!D93='Reels'!D69,'Reels'!D94='Reels'!D70)))</f>
        <v>0</v>
      </c>
      <c r="H413">
        <f>IF(G413,C413,0)</f>
        <v>0</v>
      </c>
    </row>
    <row r="414" spans="1:8" x14ac:dyDescent="0.25">
      <c r="A414" t="s">
        <v>247</v>
      </c>
      <c r="B414" t="s">
        <v>3753</v>
      </c>
      <c r="C414" s="4">
        <f>('Reels'!D71/('Reels'!D62+'Reels'!D65+'Reels'!D68+'Reels'!D71+'Reels'!D74+'Reels'!D77))*('Reels'!D95/('Reels'!D80+'Reels'!D83+'Reels'!D86+'Reels'!D89+'Reels'!D92+'Reels'!D95+'Reels'!D98))*('Reels'!D114/('Reels'!D102+'Reels'!D105+'Reels'!D108+'Reels'!D111+'Reels'!D114+'Reels'!D117))</f>
        <v>0.00009351912466099317</v>
      </c>
      <c r="D414">
        <f>IF(OR('Reels'!D69="attack",'Reels'!D69="magic"),CHOOSE('Reels'!D70+1,'Slots'!D29,'Slots'!D30,'Slots'!D31,'Slots'!D32,'Slots'!D33),0)+IF(OR('Reels'!D93="attack",'Reels'!D93="magic"),CHOOSE('Reels'!D94+1,'Slots'!D29,'Slots'!D30,'Slots'!D31,'Slots'!D32,'Slots'!D33),0)+IF(OR('Reels'!D112="attack",'Reels'!D112="magic"),CHOOSE('Reels'!D113+1,'Slots'!D29,'Slots'!D30,'Slots'!D31,'Slots'!D32,'Slots'!D33),0)</f>
        <v>2</v>
      </c>
      <c r="E414">
        <f>IF('Reels'!D69="heal",'Reels'!D70*'Slots'!D24,0)+IF('Reels'!D93="heal",'Reels'!D94*'Slots'!D24,0)+IF('Reels'!D112="heal",'Reels'!D113*'Slots'!D24,0)</f>
        <v>0</v>
      </c>
      <c r="F414">
        <f>IF('Reels'!D69="block",'Reels'!D70*'Slots'!D25,0)+IF('Reels'!D93="block",'Reels'!D94*'Slots'!D25,0)+IF('Reels'!D112="block",'Reels'!D113*'Slots'!D25,0)</f>
        <v>0</v>
      </c>
      <c r="G414" t="b">
        <f>AND('Reels'!D69&lt;&gt;"blank",'Reels'!D69&lt;&gt;"class",'Reels'!D69='Reels'!D112,'Reels'!D70='Reels'!D113,OR('Reels'!D93="class",AND('Reels'!D93='Reels'!D69,'Reels'!D94='Reels'!D70)))</f>
        <v>0</v>
      </c>
      <c r="H414">
        <f>IF(G414,C414,0)</f>
        <v>0</v>
      </c>
    </row>
    <row r="415" spans="1:8" x14ac:dyDescent="0.25">
      <c r="A415" t="s">
        <v>247</v>
      </c>
      <c r="B415" t="s">
        <v>3754</v>
      </c>
      <c r="C415" s="4">
        <f>('Reels'!D71/('Reels'!D62+'Reels'!D65+'Reels'!D68+'Reels'!D71+'Reels'!D74+'Reels'!D77))*('Reels'!D95/('Reels'!D80+'Reels'!D83+'Reels'!D86+'Reels'!D89+'Reels'!D92+'Reels'!D95+'Reels'!D98))*('Reels'!D117/('Reels'!D102+'Reels'!D105+'Reels'!D108+'Reels'!D111+'Reels'!D114+'Reels'!D117))</f>
        <v>0.00037407649864397267</v>
      </c>
      <c r="D415">
        <f>IF(OR('Reels'!D69="attack",'Reels'!D69="magic"),CHOOSE('Reels'!D70+1,'Slots'!D29,'Slots'!D30,'Slots'!D31,'Slots'!D32,'Slots'!D33),0)+IF(OR('Reels'!D93="attack",'Reels'!D93="magic"),CHOOSE('Reels'!D94+1,'Slots'!D29,'Slots'!D30,'Slots'!D31,'Slots'!D32,'Slots'!D33),0)+IF(OR('Reels'!D115="attack",'Reels'!D115="magic"),CHOOSE('Reels'!D116+1,'Slots'!D29,'Slots'!D30,'Slots'!D31,'Slots'!D32,'Slots'!D33),0)</f>
        <v>0</v>
      </c>
      <c r="E415">
        <f>IF('Reels'!D69="heal",'Reels'!D70*'Slots'!D24,0)+IF('Reels'!D93="heal",'Reels'!D94*'Slots'!D24,0)+IF('Reels'!D115="heal",'Reels'!D116*'Slots'!D24,0)</f>
        <v>0</v>
      </c>
      <c r="F415">
        <f>IF('Reels'!D69="block",'Reels'!D70*'Slots'!D25,0)+IF('Reels'!D93="block",'Reels'!D94*'Slots'!D25,0)+IF('Reels'!D115="block",'Reels'!D116*'Slots'!D25,0)</f>
        <v>0</v>
      </c>
      <c r="G415" t="b">
        <f>AND('Reels'!D69&lt;&gt;"blank",'Reels'!D69&lt;&gt;"class",'Reels'!D69='Reels'!D115,'Reels'!D70='Reels'!D116,OR('Reels'!D93="class",AND('Reels'!D93='Reels'!D69,'Reels'!D94='Reels'!D70)))</f>
        <v>0</v>
      </c>
      <c r="H415">
        <f>IF(G415,C415,0)</f>
        <v>0</v>
      </c>
    </row>
    <row r="416" spans="1:8" x14ac:dyDescent="0.25">
      <c r="A416" t="s">
        <v>247</v>
      </c>
      <c r="B416" t="s">
        <v>3755</v>
      </c>
      <c r="C416" s="4">
        <f>('Reels'!D71/('Reels'!D62+'Reels'!D65+'Reels'!D68+'Reels'!D71+'Reels'!D74+'Reels'!D77))*('Reels'!D98/('Reels'!D80+'Reels'!D83+'Reels'!D86+'Reels'!D89+'Reels'!D92+'Reels'!D95+'Reels'!D98))*('Reels'!D102/('Reels'!D102+'Reels'!D105+'Reels'!D108+'Reels'!D111+'Reels'!D114+'Reels'!D117))</f>
        <v>0.0009819508089404284</v>
      </c>
      <c r="D416">
        <f>IF(OR('Reels'!D69="attack",'Reels'!D69="magic"),CHOOSE('Reels'!D70+1,'Slots'!D29,'Slots'!D30,'Slots'!D31,'Slots'!D32,'Slots'!D33),0)+IF(OR('Reels'!D96="attack",'Reels'!D96="magic"),CHOOSE('Reels'!D97+1,'Slots'!D29,'Slots'!D30,'Slots'!D31,'Slots'!D32,'Slots'!D33),0)+IF(OR('Reels'!D100="attack",'Reels'!D100="magic"),CHOOSE('Reels'!D101+1,'Slots'!D29,'Slots'!D30,'Slots'!D31,'Slots'!D32,'Slots'!D33),0)</f>
        <v>0</v>
      </c>
      <c r="E416">
        <f>IF('Reels'!D69="heal",'Reels'!D70*'Slots'!D24,0)+IF('Reels'!D96="heal",'Reels'!D97*'Slots'!D24,0)+IF('Reels'!D100="heal",'Reels'!D101*'Slots'!D24,0)</f>
        <v>2</v>
      </c>
      <c r="F416">
        <f>IF('Reels'!D69="block",'Reels'!D70*'Slots'!D25,0)+IF('Reels'!D96="block",'Reels'!D97*'Slots'!D25,0)+IF('Reels'!D100="block",'Reels'!D101*'Slots'!D25,0)</f>
        <v>0</v>
      </c>
      <c r="G416" t="b">
        <f>AND('Reels'!D69&lt;&gt;"blank",'Reels'!D69&lt;&gt;"class",'Reels'!D69='Reels'!D100,'Reels'!D70='Reels'!D101,OR('Reels'!D96="class",AND('Reels'!D96='Reels'!D69,'Reels'!D97='Reels'!D70)))</f>
        <v>0</v>
      </c>
      <c r="H416">
        <f>IF(G416,C416,0)</f>
        <v>0</v>
      </c>
    </row>
    <row r="417" spans="1:8" x14ac:dyDescent="0.25">
      <c r="A417" t="s">
        <v>247</v>
      </c>
      <c r="B417" t="s">
        <v>3756</v>
      </c>
      <c r="C417" s="4">
        <f>('Reels'!D71/('Reels'!D62+'Reels'!D65+'Reels'!D68+'Reels'!D71+'Reels'!D74+'Reels'!D77))*('Reels'!D98/('Reels'!D80+'Reels'!D83+'Reels'!D86+'Reels'!D89+'Reels'!D92+'Reels'!D95+'Reels'!D98))*('Reels'!D105/('Reels'!D102+'Reels'!D105+'Reels'!D108+'Reels'!D111+'Reels'!D114+'Reels'!D117))</f>
        <v>0.0008416721219489385</v>
      </c>
      <c r="D417">
        <f>IF(OR('Reels'!D69="attack",'Reels'!D69="magic"),CHOOSE('Reels'!D70+1,'Slots'!D29,'Slots'!D30,'Slots'!D31,'Slots'!D32,'Slots'!D33),0)+IF(OR('Reels'!D96="attack",'Reels'!D96="magic"),CHOOSE('Reels'!D97+1,'Slots'!D29,'Slots'!D30,'Slots'!D31,'Slots'!D32,'Slots'!D33),0)+IF(OR('Reels'!D103="attack",'Reels'!D103="magic"),CHOOSE('Reels'!D104+1,'Slots'!D29,'Slots'!D30,'Slots'!D31,'Slots'!D32,'Slots'!D33),0)</f>
        <v>0</v>
      </c>
      <c r="E417">
        <f>IF('Reels'!D69="heal",'Reels'!D70*'Slots'!D24,0)+IF('Reels'!D96="heal",'Reels'!D97*'Slots'!D24,0)+IF('Reels'!D103="heal",'Reels'!D104*'Slots'!D24,0)</f>
        <v>4</v>
      </c>
      <c r="F417">
        <f>IF('Reels'!D69="block",'Reels'!D70*'Slots'!D25,0)+IF('Reels'!D96="block",'Reels'!D97*'Slots'!D25,0)+IF('Reels'!D103="block",'Reels'!D104*'Slots'!D25,0)</f>
        <v>0</v>
      </c>
      <c r="G417" t="b">
        <f>AND('Reels'!D69&lt;&gt;"blank",'Reels'!D69&lt;&gt;"class",'Reels'!D69='Reels'!D103,'Reels'!D70='Reels'!D104,OR('Reels'!D96="class",AND('Reels'!D96='Reels'!D69,'Reels'!D97='Reels'!D70)))</f>
        <v>0</v>
      </c>
      <c r="H417">
        <f>IF(G417,C417,0)</f>
        <v>0</v>
      </c>
    </row>
    <row r="418" spans="1:8" x14ac:dyDescent="0.25">
      <c r="A418" t="s">
        <v>247</v>
      </c>
      <c r="B418" t="s">
        <v>3757</v>
      </c>
      <c r="C418" s="4">
        <f>('Reels'!D71/('Reels'!D62+'Reels'!D65+'Reels'!D68+'Reels'!D71+'Reels'!D74+'Reels'!D77))*('Reels'!D98/('Reels'!D80+'Reels'!D83+'Reels'!D86+'Reels'!D89+'Reels'!D92+'Reels'!D95+'Reels'!D98))*('Reels'!D108/('Reels'!D102+'Reels'!D105+'Reels'!D108+'Reels'!D111+'Reels'!D114+'Reels'!D117))</f>
        <v>0.00014027868699148974</v>
      </c>
      <c r="D418">
        <f>IF(OR('Reels'!D69="attack",'Reels'!D69="magic"),CHOOSE('Reels'!D70+1,'Slots'!D29,'Slots'!D30,'Slots'!D31,'Slots'!D32,'Slots'!D33),0)+IF(OR('Reels'!D96="attack",'Reels'!D96="magic"),CHOOSE('Reels'!D97+1,'Slots'!D29,'Slots'!D30,'Slots'!D31,'Slots'!D32,'Slots'!D33),0)+IF(OR('Reels'!D106="attack",'Reels'!D106="magic"),CHOOSE('Reels'!D107+1,'Slots'!D29,'Slots'!D30,'Slots'!D31,'Slots'!D32,'Slots'!D33),0)</f>
        <v>0</v>
      </c>
      <c r="E418">
        <f>IF('Reels'!D69="heal",'Reels'!D70*'Slots'!D24,0)+IF('Reels'!D96="heal",'Reels'!D97*'Slots'!D24,0)+IF('Reels'!D106="heal",'Reels'!D107*'Slots'!D24,0)</f>
        <v>0</v>
      </c>
      <c r="F418">
        <f>IF('Reels'!D69="block",'Reels'!D70*'Slots'!D25,0)+IF('Reels'!D96="block",'Reels'!D97*'Slots'!D25,0)+IF('Reels'!D106="block",'Reels'!D107*'Slots'!D25,0)</f>
        <v>1</v>
      </c>
      <c r="G418" t="b">
        <f>AND('Reels'!D69&lt;&gt;"blank",'Reels'!D69&lt;&gt;"class",'Reels'!D69='Reels'!D106,'Reels'!D70='Reels'!D107,OR('Reels'!D96="class",AND('Reels'!D96='Reels'!D69,'Reels'!D97='Reels'!D70)))</f>
        <v>0</v>
      </c>
      <c r="H418">
        <f>IF(G418,C418,0)</f>
        <v>0</v>
      </c>
    </row>
    <row r="419" spans="1:8" x14ac:dyDescent="0.25">
      <c r="A419" t="s">
        <v>247</v>
      </c>
      <c r="B419" t="s">
        <v>3758</v>
      </c>
      <c r="C419" s="4">
        <f>('Reels'!D71/('Reels'!D62+'Reels'!D65+'Reels'!D68+'Reels'!D71+'Reels'!D74+'Reels'!D77))*('Reels'!D98/('Reels'!D80+'Reels'!D83+'Reels'!D86+'Reels'!D89+'Reels'!D92+'Reels'!D95+'Reels'!D98))*('Reels'!D111/('Reels'!D102+'Reels'!D105+'Reels'!D108+'Reels'!D111+'Reels'!D114+'Reels'!D117))</f>
        <v>0.00007013934349574487</v>
      </c>
      <c r="D419">
        <f>IF(OR('Reels'!D69="attack",'Reels'!D69="magic"),CHOOSE('Reels'!D70+1,'Slots'!D29,'Slots'!D30,'Slots'!D31,'Slots'!D32,'Slots'!D33),0)+IF(OR('Reels'!D96="attack",'Reels'!D96="magic"),CHOOSE('Reels'!D97+1,'Slots'!D29,'Slots'!D30,'Slots'!D31,'Slots'!D32,'Slots'!D33),0)+IF(OR('Reels'!D109="attack",'Reels'!D109="magic"),CHOOSE('Reels'!D110+1,'Slots'!D29,'Slots'!D30,'Slots'!D31,'Slots'!D32,'Slots'!D33),0)</f>
        <v>0</v>
      </c>
      <c r="E419">
        <f>IF('Reels'!D69="heal",'Reels'!D70*'Slots'!D24,0)+IF('Reels'!D96="heal",'Reels'!D97*'Slots'!D24,0)+IF('Reels'!D109="heal",'Reels'!D110*'Slots'!D24,0)</f>
        <v>0</v>
      </c>
      <c r="F419">
        <f>IF('Reels'!D69="block",'Reels'!D70*'Slots'!D25,0)+IF('Reels'!D96="block",'Reels'!D97*'Slots'!D25,0)+IF('Reels'!D109="block",'Reels'!D110*'Slots'!D25,0)</f>
        <v>0</v>
      </c>
      <c r="G419" t="b">
        <f>AND('Reels'!D69&lt;&gt;"blank",'Reels'!D69&lt;&gt;"class",'Reels'!D69='Reels'!D109,'Reels'!D70='Reels'!D110,OR('Reels'!D96="class",AND('Reels'!D96='Reels'!D69,'Reels'!D97='Reels'!D70)))</f>
        <v>1</v>
      </c>
      <c r="H419">
        <f>IF(G419,C419,0)</f>
        <v>0.00007013934349574487</v>
      </c>
    </row>
    <row r="420" spans="1:8" x14ac:dyDescent="0.25">
      <c r="A420" t="s">
        <v>247</v>
      </c>
      <c r="B420" t="s">
        <v>3759</v>
      </c>
      <c r="C420" s="4">
        <f>('Reels'!D71/('Reels'!D62+'Reels'!D65+'Reels'!D68+'Reels'!D71+'Reels'!D74+'Reels'!D77))*('Reels'!D98/('Reels'!D80+'Reels'!D83+'Reels'!D86+'Reels'!D89+'Reels'!D92+'Reels'!D95+'Reels'!D98))*('Reels'!D114/('Reels'!D102+'Reels'!D105+'Reels'!D108+'Reels'!D111+'Reels'!D114+'Reels'!D117))</f>
        <v>0.00007013934349574487</v>
      </c>
      <c r="D420">
        <f>IF(OR('Reels'!D69="attack",'Reels'!D69="magic"),CHOOSE('Reels'!D70+1,'Slots'!D29,'Slots'!D30,'Slots'!D31,'Slots'!D32,'Slots'!D33),0)+IF(OR('Reels'!D96="attack",'Reels'!D96="magic"),CHOOSE('Reels'!D97+1,'Slots'!D29,'Slots'!D30,'Slots'!D31,'Slots'!D32,'Slots'!D33),0)+IF(OR('Reels'!D112="attack",'Reels'!D112="magic"),CHOOSE('Reels'!D113+1,'Slots'!D29,'Slots'!D30,'Slots'!D31,'Slots'!D32,'Slots'!D33),0)</f>
        <v>2</v>
      </c>
      <c r="E420">
        <f>IF('Reels'!D69="heal",'Reels'!D70*'Slots'!D24,0)+IF('Reels'!D96="heal",'Reels'!D97*'Slots'!D24,0)+IF('Reels'!D112="heal",'Reels'!D113*'Slots'!D24,0)</f>
        <v>0</v>
      </c>
      <c r="F420">
        <f>IF('Reels'!D69="block",'Reels'!D70*'Slots'!D25,0)+IF('Reels'!D96="block",'Reels'!D97*'Slots'!D25,0)+IF('Reels'!D112="block",'Reels'!D113*'Slots'!D25,0)</f>
        <v>0</v>
      </c>
      <c r="G420" t="b">
        <f>AND('Reels'!D69&lt;&gt;"blank",'Reels'!D69&lt;&gt;"class",'Reels'!D69='Reels'!D112,'Reels'!D70='Reels'!D113,OR('Reels'!D96="class",AND('Reels'!D96='Reels'!D69,'Reels'!D97='Reels'!D70)))</f>
        <v>0</v>
      </c>
      <c r="H420">
        <f>IF(G420,C420,0)</f>
        <v>0</v>
      </c>
    </row>
    <row r="421" spans="1:8" x14ac:dyDescent="0.25">
      <c r="A421" t="s">
        <v>247</v>
      </c>
      <c r="B421" t="s">
        <v>3760</v>
      </c>
      <c r="C421" s="4">
        <f>('Reels'!D71/('Reels'!D62+'Reels'!D65+'Reels'!D68+'Reels'!D71+'Reels'!D74+'Reels'!D77))*('Reels'!D98/('Reels'!D80+'Reels'!D83+'Reels'!D86+'Reels'!D89+'Reels'!D92+'Reels'!D95+'Reels'!D98))*('Reels'!D117/('Reels'!D102+'Reels'!D105+'Reels'!D108+'Reels'!D111+'Reels'!D114+'Reels'!D117))</f>
        <v>0.0002805573739829795</v>
      </c>
      <c r="D421">
        <f>IF(OR('Reels'!D69="attack",'Reels'!D69="magic"),CHOOSE('Reels'!D70+1,'Slots'!D29,'Slots'!D30,'Slots'!D31,'Slots'!D32,'Slots'!D33),0)+IF(OR('Reels'!D96="attack",'Reels'!D96="magic"),CHOOSE('Reels'!D97+1,'Slots'!D29,'Slots'!D30,'Slots'!D31,'Slots'!D32,'Slots'!D33),0)+IF(OR('Reels'!D115="attack",'Reels'!D115="magic"),CHOOSE('Reels'!D116+1,'Slots'!D29,'Slots'!D30,'Slots'!D31,'Slots'!D32,'Slots'!D33),0)</f>
        <v>0</v>
      </c>
      <c r="E421">
        <f>IF('Reels'!D69="heal",'Reels'!D70*'Slots'!D24,0)+IF('Reels'!D96="heal",'Reels'!D97*'Slots'!D24,0)+IF('Reels'!D115="heal",'Reels'!D116*'Slots'!D24,0)</f>
        <v>0</v>
      </c>
      <c r="F421">
        <f>IF('Reels'!D69="block",'Reels'!D70*'Slots'!D25,0)+IF('Reels'!D96="block",'Reels'!D97*'Slots'!D25,0)+IF('Reels'!D115="block",'Reels'!D116*'Slots'!D25,0)</f>
        <v>0</v>
      </c>
      <c r="G421" t="b">
        <f>AND('Reels'!D69&lt;&gt;"blank",'Reels'!D69&lt;&gt;"class",'Reels'!D69='Reels'!D115,'Reels'!D70='Reels'!D116,OR('Reels'!D96="class",AND('Reels'!D96='Reels'!D69,'Reels'!D97='Reels'!D70)))</f>
        <v>0</v>
      </c>
      <c r="H421">
        <f>IF(G421,C421,0)</f>
        <v>0</v>
      </c>
    </row>
    <row r="422" spans="1:8" x14ac:dyDescent="0.25">
      <c r="A422" t="s">
        <v>247</v>
      </c>
      <c r="B422" t="s">
        <v>3761</v>
      </c>
      <c r="C422" s="4">
        <f>('Reels'!D74/('Reels'!D62+'Reels'!D65+'Reels'!D68+'Reels'!D71+'Reels'!D74+'Reels'!D77))*('Reels'!D80/('Reels'!D80+'Reels'!D83+'Reels'!D86+'Reels'!D89+'Reels'!D92+'Reels'!D95+'Reels'!D98))*('Reels'!D102/('Reels'!D102+'Reels'!D105+'Reels'!D108+'Reels'!D111+'Reels'!D114+'Reels'!D117))</f>
        <v>0.004582437108388665</v>
      </c>
      <c r="D422">
        <f>IF(OR('Reels'!D72="attack",'Reels'!D72="magic"),CHOOSE('Reels'!D73+1,'Slots'!D29,'Slots'!D30,'Slots'!D31,'Slots'!D32,'Slots'!D33),0)+IF(OR('Reels'!D78="attack",'Reels'!D78="magic"),CHOOSE('Reels'!D79+1,'Slots'!D29,'Slots'!D30,'Slots'!D31,'Slots'!D32,'Slots'!D33),0)+IF(OR('Reels'!D100="attack",'Reels'!D100="magic"),CHOOSE('Reels'!D101+1,'Slots'!D29,'Slots'!D30,'Slots'!D31,'Slots'!D32,'Slots'!D33),0)</f>
        <v>2</v>
      </c>
      <c r="E422">
        <f>IF('Reels'!D72="heal",'Reels'!D73*'Slots'!D24,0)+IF('Reels'!D78="heal",'Reels'!D79*'Slots'!D24,0)+IF('Reels'!D100="heal",'Reels'!D101*'Slots'!D24,0)</f>
        <v>4</v>
      </c>
      <c r="F422">
        <f>IF('Reels'!D72="block",'Reels'!D73*'Slots'!D25,0)+IF('Reels'!D78="block",'Reels'!D79*'Slots'!D25,0)+IF('Reels'!D100="block",'Reels'!D101*'Slots'!D25,0)</f>
        <v>0</v>
      </c>
      <c r="G422" t="b">
        <f>AND('Reels'!D72&lt;&gt;"blank",'Reels'!D72&lt;&gt;"class",'Reels'!D72='Reels'!D100,'Reels'!D73='Reels'!D101,OR('Reels'!D78="class",AND('Reels'!D78='Reels'!D72,'Reels'!D79='Reels'!D73)))</f>
        <v>0</v>
      </c>
      <c r="H422">
        <f>IF(G422,C422,0)</f>
        <v>0</v>
      </c>
    </row>
    <row r="423" spans="1:8" x14ac:dyDescent="0.25">
      <c r="A423" t="s">
        <v>247</v>
      </c>
      <c r="B423" t="s">
        <v>3762</v>
      </c>
      <c r="C423" s="4">
        <f>('Reels'!D74/('Reels'!D62+'Reels'!D65+'Reels'!D68+'Reels'!D71+'Reels'!D74+'Reels'!D77))*('Reels'!D80/('Reels'!D80+'Reels'!D83+'Reels'!D86+'Reels'!D89+'Reels'!D92+'Reels'!D95+'Reels'!D98))*('Reels'!D105/('Reels'!D102+'Reels'!D105+'Reels'!D108+'Reels'!D111+'Reels'!D114+'Reels'!D117))</f>
        <v>0.003927803235761714</v>
      </c>
      <c r="D423">
        <f>IF(OR('Reels'!D72="attack",'Reels'!D72="magic"),CHOOSE('Reels'!D73+1,'Slots'!D29,'Slots'!D30,'Slots'!D31,'Slots'!D32,'Slots'!D33),0)+IF(OR('Reels'!D78="attack",'Reels'!D78="magic"),CHOOSE('Reels'!D79+1,'Slots'!D29,'Slots'!D30,'Slots'!D31,'Slots'!D32,'Slots'!D33),0)+IF(OR('Reels'!D103="attack",'Reels'!D103="magic"),CHOOSE('Reels'!D104+1,'Slots'!D29,'Slots'!D30,'Slots'!D31,'Slots'!D32,'Slots'!D33),0)</f>
        <v>2</v>
      </c>
      <c r="E423">
        <f>IF('Reels'!D72="heal",'Reels'!D73*'Slots'!D24,0)+IF('Reels'!D78="heal",'Reels'!D79*'Slots'!D24,0)+IF('Reels'!D103="heal",'Reels'!D104*'Slots'!D24,0)</f>
        <v>6</v>
      </c>
      <c r="F423">
        <f>IF('Reels'!D72="block",'Reels'!D73*'Slots'!D25,0)+IF('Reels'!D78="block",'Reels'!D79*'Slots'!D25,0)+IF('Reels'!D103="block",'Reels'!D104*'Slots'!D25,0)</f>
        <v>0</v>
      </c>
      <c r="G423" t="b">
        <f>AND('Reels'!D72&lt;&gt;"blank",'Reels'!D72&lt;&gt;"class",'Reels'!D72='Reels'!D103,'Reels'!D73='Reels'!D104,OR('Reels'!D78="class",AND('Reels'!D78='Reels'!D72,'Reels'!D79='Reels'!D73)))</f>
        <v>0</v>
      </c>
      <c r="H423">
        <f>IF(G423,C423,0)</f>
        <v>0</v>
      </c>
    </row>
    <row r="424" spans="1:8" x14ac:dyDescent="0.25">
      <c r="A424" t="s">
        <v>247</v>
      </c>
      <c r="B424" t="s">
        <v>3763</v>
      </c>
      <c r="C424" s="4">
        <f>('Reels'!D74/('Reels'!D62+'Reels'!D65+'Reels'!D68+'Reels'!D71+'Reels'!D74+'Reels'!D77))*('Reels'!D80/('Reels'!D80+'Reels'!D83+'Reels'!D86+'Reels'!D89+'Reels'!D92+'Reels'!D95+'Reels'!D98))*('Reels'!D108/('Reels'!D102+'Reels'!D105+'Reels'!D108+'Reels'!D111+'Reels'!D114+'Reels'!D117))</f>
        <v>0.0006546338726269522</v>
      </c>
      <c r="D424">
        <f>IF(OR('Reels'!D72="attack",'Reels'!D72="magic"),CHOOSE('Reels'!D73+1,'Slots'!D29,'Slots'!D30,'Slots'!D31,'Slots'!D32,'Slots'!D33),0)+IF(OR('Reels'!D78="attack",'Reels'!D78="magic"),CHOOSE('Reels'!D79+1,'Slots'!D29,'Slots'!D30,'Slots'!D31,'Slots'!D32,'Slots'!D33),0)+IF(OR('Reels'!D106="attack",'Reels'!D106="magic"),CHOOSE('Reels'!D107+1,'Slots'!D29,'Slots'!D30,'Slots'!D31,'Slots'!D32,'Slots'!D33),0)</f>
        <v>2</v>
      </c>
      <c r="E424">
        <f>IF('Reels'!D72="heal",'Reels'!D73*'Slots'!D24,0)+IF('Reels'!D78="heal",'Reels'!D79*'Slots'!D24,0)+IF('Reels'!D106="heal",'Reels'!D107*'Slots'!D24,0)</f>
        <v>2</v>
      </c>
      <c r="F424">
        <f>IF('Reels'!D72="block",'Reels'!D73*'Slots'!D25,0)+IF('Reels'!D78="block",'Reels'!D79*'Slots'!D25,0)+IF('Reels'!D106="block",'Reels'!D107*'Slots'!D25,0)</f>
        <v>1</v>
      </c>
      <c r="G424" t="b">
        <f>AND('Reels'!D72&lt;&gt;"blank",'Reels'!D72&lt;&gt;"class",'Reels'!D72='Reels'!D106,'Reels'!D73='Reels'!D107,OR('Reels'!D78="class",AND('Reels'!D78='Reels'!D72,'Reels'!D79='Reels'!D73)))</f>
        <v>0</v>
      </c>
      <c r="H424">
        <f>IF(G424,C424,0)</f>
        <v>0</v>
      </c>
    </row>
    <row r="425" spans="1:8" x14ac:dyDescent="0.25">
      <c r="A425" t="s">
        <v>247</v>
      </c>
      <c r="B425" t="s">
        <v>3764</v>
      </c>
      <c r="C425" s="4">
        <f>('Reels'!D74/('Reels'!D62+'Reels'!D65+'Reels'!D68+'Reels'!D71+'Reels'!D74+'Reels'!D77))*('Reels'!D80/('Reels'!D80+'Reels'!D83+'Reels'!D86+'Reels'!D89+'Reels'!D92+'Reels'!D95+'Reels'!D98))*('Reels'!D111/('Reels'!D102+'Reels'!D105+'Reels'!D108+'Reels'!D111+'Reels'!D114+'Reels'!D117))</f>
        <v>0.0003273169363134761</v>
      </c>
      <c r="D425">
        <f>IF(OR('Reels'!D72="attack",'Reels'!D72="magic"),CHOOSE('Reels'!D73+1,'Slots'!D29,'Slots'!D30,'Slots'!D31,'Slots'!D32,'Slots'!D33),0)+IF(OR('Reels'!D78="attack",'Reels'!D78="magic"),CHOOSE('Reels'!D79+1,'Slots'!D29,'Slots'!D30,'Slots'!D31,'Slots'!D32,'Slots'!D33),0)+IF(OR('Reels'!D109="attack",'Reels'!D109="magic"),CHOOSE('Reels'!D110+1,'Slots'!D29,'Slots'!D30,'Slots'!D31,'Slots'!D32,'Slots'!D33),0)</f>
        <v>2</v>
      </c>
      <c r="E425">
        <f>IF('Reels'!D72="heal",'Reels'!D73*'Slots'!D24,0)+IF('Reels'!D78="heal",'Reels'!D79*'Slots'!D24,0)+IF('Reels'!D109="heal",'Reels'!D110*'Slots'!D24,0)</f>
        <v>2</v>
      </c>
      <c r="F425">
        <f>IF('Reels'!D72="block",'Reels'!D73*'Slots'!D25,0)+IF('Reels'!D78="block",'Reels'!D79*'Slots'!D25,0)+IF('Reels'!D109="block",'Reels'!D110*'Slots'!D25,0)</f>
        <v>0</v>
      </c>
      <c r="G425" t="b">
        <f>AND('Reels'!D72&lt;&gt;"blank",'Reels'!D72&lt;&gt;"class",'Reels'!D72='Reels'!D109,'Reels'!D73='Reels'!D110,OR('Reels'!D78="class",AND('Reels'!D78='Reels'!D72,'Reels'!D79='Reels'!D73)))</f>
        <v>0</v>
      </c>
      <c r="H425">
        <f>IF(G425,C425,0)</f>
        <v>0</v>
      </c>
    </row>
    <row r="426" spans="1:8" x14ac:dyDescent="0.25">
      <c r="A426" t="s">
        <v>247</v>
      </c>
      <c r="B426" t="s">
        <v>3765</v>
      </c>
      <c r="C426" s="4">
        <f>('Reels'!D74/('Reels'!D62+'Reels'!D65+'Reels'!D68+'Reels'!D71+'Reels'!D74+'Reels'!D77))*('Reels'!D80/('Reels'!D80+'Reels'!D83+'Reels'!D86+'Reels'!D89+'Reels'!D92+'Reels'!D95+'Reels'!D98))*('Reels'!D114/('Reels'!D102+'Reels'!D105+'Reels'!D108+'Reels'!D111+'Reels'!D114+'Reels'!D117))</f>
        <v>0.0003273169363134761</v>
      </c>
      <c r="D426">
        <f>IF(OR('Reels'!D72="attack",'Reels'!D72="magic"),CHOOSE('Reels'!D73+1,'Slots'!D29,'Slots'!D30,'Slots'!D31,'Slots'!D32,'Slots'!D33),0)+IF(OR('Reels'!D78="attack",'Reels'!D78="magic"),CHOOSE('Reels'!D79+1,'Slots'!D29,'Slots'!D30,'Slots'!D31,'Slots'!D32,'Slots'!D33),0)+IF(OR('Reels'!D112="attack",'Reels'!D112="magic"),CHOOSE('Reels'!D113+1,'Slots'!D29,'Slots'!D30,'Slots'!D31,'Slots'!D32,'Slots'!D33),0)</f>
        <v>4</v>
      </c>
      <c r="E426">
        <f>IF('Reels'!D72="heal",'Reels'!D73*'Slots'!D24,0)+IF('Reels'!D78="heal",'Reels'!D79*'Slots'!D24,0)+IF('Reels'!D112="heal",'Reels'!D113*'Slots'!D24,0)</f>
        <v>2</v>
      </c>
      <c r="F426">
        <f>IF('Reels'!D72="block",'Reels'!D73*'Slots'!D25,0)+IF('Reels'!D78="block",'Reels'!D79*'Slots'!D25,0)+IF('Reels'!D112="block",'Reels'!D113*'Slots'!D25,0)</f>
        <v>0</v>
      </c>
      <c r="G426" t="b">
        <f>AND('Reels'!D72&lt;&gt;"blank",'Reels'!D72&lt;&gt;"class",'Reels'!D72='Reels'!D112,'Reels'!D73='Reels'!D113,OR('Reels'!D78="class",AND('Reels'!D78='Reels'!D72,'Reels'!D79='Reels'!D73)))</f>
        <v>0</v>
      </c>
      <c r="H426">
        <f>IF(G426,C426,0)</f>
        <v>0</v>
      </c>
    </row>
    <row r="427" spans="1:8" x14ac:dyDescent="0.25">
      <c r="A427" t="s">
        <v>247</v>
      </c>
      <c r="B427" t="s">
        <v>3766</v>
      </c>
      <c r="C427" s="4">
        <f>('Reels'!D74/('Reels'!D62+'Reels'!D65+'Reels'!D68+'Reels'!D71+'Reels'!D74+'Reels'!D77))*('Reels'!D80/('Reels'!D80+'Reels'!D83+'Reels'!D86+'Reels'!D89+'Reels'!D92+'Reels'!D95+'Reels'!D98))*('Reels'!D117/('Reels'!D102+'Reels'!D105+'Reels'!D108+'Reels'!D111+'Reels'!D114+'Reels'!D117))</f>
        <v>0.0013092677452539044</v>
      </c>
      <c r="D427">
        <f>IF(OR('Reels'!D72="attack",'Reels'!D72="magic"),CHOOSE('Reels'!D73+1,'Slots'!D29,'Slots'!D30,'Slots'!D31,'Slots'!D32,'Slots'!D33),0)+IF(OR('Reels'!D78="attack",'Reels'!D78="magic"),CHOOSE('Reels'!D79+1,'Slots'!D29,'Slots'!D30,'Slots'!D31,'Slots'!D32,'Slots'!D33),0)+IF(OR('Reels'!D115="attack",'Reels'!D115="magic"),CHOOSE('Reels'!D116+1,'Slots'!D29,'Slots'!D30,'Slots'!D31,'Slots'!D32,'Slots'!D33),0)</f>
        <v>2</v>
      </c>
      <c r="E427">
        <f>IF('Reels'!D72="heal",'Reels'!D73*'Slots'!D24,0)+IF('Reels'!D78="heal",'Reels'!D79*'Slots'!D24,0)+IF('Reels'!D115="heal",'Reels'!D116*'Slots'!D24,0)</f>
        <v>2</v>
      </c>
      <c r="F427">
        <f>IF('Reels'!D72="block",'Reels'!D73*'Slots'!D25,0)+IF('Reels'!D78="block",'Reels'!D79*'Slots'!D25,0)+IF('Reels'!D115="block",'Reels'!D116*'Slots'!D25,0)</f>
        <v>0</v>
      </c>
      <c r="G427" t="b">
        <f>AND('Reels'!D72&lt;&gt;"blank",'Reels'!D72&lt;&gt;"class",'Reels'!D72='Reels'!D115,'Reels'!D73='Reels'!D116,OR('Reels'!D78="class",AND('Reels'!D78='Reels'!D72,'Reels'!D79='Reels'!D73)))</f>
        <v>0</v>
      </c>
      <c r="H427">
        <f>IF(G427,C427,0)</f>
        <v>0</v>
      </c>
    </row>
    <row r="428" spans="1:8" x14ac:dyDescent="0.25">
      <c r="A428" t="s">
        <v>247</v>
      </c>
      <c r="B428" t="s">
        <v>3767</v>
      </c>
      <c r="C428" s="4">
        <f>('Reels'!D74/('Reels'!D62+'Reels'!D65+'Reels'!D68+'Reels'!D71+'Reels'!D74+'Reels'!D77))*('Reels'!D83/('Reels'!D80+'Reels'!D83+'Reels'!D86+'Reels'!D89+'Reels'!D92+'Reels'!D95+'Reels'!D98))*('Reels'!D102/('Reels'!D102+'Reels'!D105+'Reels'!D108+'Reels'!D111+'Reels'!D114+'Reels'!D117))</f>
        <v>0.003927803235761714</v>
      </c>
      <c r="D428">
        <f>IF(OR('Reels'!D72="attack",'Reels'!D72="magic"),CHOOSE('Reels'!D73+1,'Slots'!D29,'Slots'!D30,'Slots'!D31,'Slots'!D32,'Slots'!D33),0)+IF(OR('Reels'!D81="attack",'Reels'!D81="magic"),CHOOSE('Reels'!D82+1,'Slots'!D29,'Slots'!D30,'Slots'!D31,'Slots'!D32,'Slots'!D33),0)+IF(OR('Reels'!D100="attack",'Reels'!D100="magic"),CHOOSE('Reels'!D101+1,'Slots'!D29,'Slots'!D30,'Slots'!D31,'Slots'!D32,'Slots'!D33),0)</f>
        <v>2</v>
      </c>
      <c r="E428">
        <f>IF('Reels'!D72="heal",'Reels'!D73*'Slots'!D24,0)+IF('Reels'!D81="heal",'Reels'!D82*'Slots'!D24,0)+IF('Reels'!D100="heal",'Reels'!D101*'Slots'!D24,0)</f>
        <v>6</v>
      </c>
      <c r="F428">
        <f>IF('Reels'!D72="block",'Reels'!D73*'Slots'!D25,0)+IF('Reels'!D81="block",'Reels'!D82*'Slots'!D25,0)+IF('Reels'!D100="block",'Reels'!D101*'Slots'!D25,0)</f>
        <v>0</v>
      </c>
      <c r="G428" t="b">
        <f>AND('Reels'!D72&lt;&gt;"blank",'Reels'!D72&lt;&gt;"class",'Reels'!D72='Reels'!D100,'Reels'!D73='Reels'!D101,OR('Reels'!D81="class",AND('Reels'!D81='Reels'!D72,'Reels'!D82='Reels'!D73)))</f>
        <v>0</v>
      </c>
      <c r="H428">
        <f>IF(G428,C428,0)</f>
        <v>0</v>
      </c>
    </row>
    <row r="429" spans="1:8" x14ac:dyDescent="0.25">
      <c r="A429" t="s">
        <v>247</v>
      </c>
      <c r="B429" t="s">
        <v>3768</v>
      </c>
      <c r="C429" s="4">
        <f>('Reels'!D74/('Reels'!D62+'Reels'!D65+'Reels'!D68+'Reels'!D71+'Reels'!D74+'Reels'!D77))*('Reels'!D83/('Reels'!D80+'Reels'!D83+'Reels'!D86+'Reels'!D89+'Reels'!D92+'Reels'!D95+'Reels'!D98))*('Reels'!D105/('Reels'!D102+'Reels'!D105+'Reels'!D108+'Reels'!D111+'Reels'!D114+'Reels'!D117))</f>
        <v>0.003366688487795754</v>
      </c>
      <c r="D429">
        <f>IF(OR('Reels'!D72="attack",'Reels'!D72="magic"),CHOOSE('Reels'!D73+1,'Slots'!D29,'Slots'!D30,'Slots'!D31,'Slots'!D32,'Slots'!D33),0)+IF(OR('Reels'!D81="attack",'Reels'!D81="magic"),CHOOSE('Reels'!D82+1,'Slots'!D29,'Slots'!D30,'Slots'!D31,'Slots'!D32,'Slots'!D33),0)+IF(OR('Reels'!D103="attack",'Reels'!D103="magic"),CHOOSE('Reels'!D104+1,'Slots'!D29,'Slots'!D30,'Slots'!D31,'Slots'!D32,'Slots'!D33),0)</f>
        <v>2</v>
      </c>
      <c r="E429">
        <f>IF('Reels'!D72="heal",'Reels'!D73*'Slots'!D24,0)+IF('Reels'!D81="heal",'Reels'!D82*'Slots'!D24,0)+IF('Reels'!D103="heal",'Reels'!D104*'Slots'!D24,0)</f>
        <v>8</v>
      </c>
      <c r="F429">
        <f>IF('Reels'!D72="block",'Reels'!D73*'Slots'!D25,0)+IF('Reels'!D81="block",'Reels'!D82*'Slots'!D25,0)+IF('Reels'!D103="block",'Reels'!D104*'Slots'!D25,0)</f>
        <v>0</v>
      </c>
      <c r="G429" t="b">
        <f>AND('Reels'!D72&lt;&gt;"blank",'Reels'!D72&lt;&gt;"class",'Reels'!D72='Reels'!D103,'Reels'!D73='Reels'!D104,OR('Reels'!D81="class",AND('Reels'!D81='Reels'!D72,'Reels'!D82='Reels'!D73)))</f>
        <v>0</v>
      </c>
      <c r="H429">
        <f>IF(G429,C429,0)</f>
        <v>0</v>
      </c>
    </row>
    <row r="430" spans="1:8" x14ac:dyDescent="0.25">
      <c r="A430" t="s">
        <v>247</v>
      </c>
      <c r="B430" t="s">
        <v>3769</v>
      </c>
      <c r="C430" s="4">
        <f>('Reels'!D74/('Reels'!D62+'Reels'!D65+'Reels'!D68+'Reels'!D71+'Reels'!D74+'Reels'!D77))*('Reels'!D83/('Reels'!D80+'Reels'!D83+'Reels'!D86+'Reels'!D89+'Reels'!D92+'Reels'!D95+'Reels'!D98))*('Reels'!D108/('Reels'!D102+'Reels'!D105+'Reels'!D108+'Reels'!D111+'Reels'!D114+'Reels'!D117))</f>
        <v>0.000561114747965959</v>
      </c>
      <c r="D430">
        <f>IF(OR('Reels'!D72="attack",'Reels'!D72="magic"),CHOOSE('Reels'!D73+1,'Slots'!D29,'Slots'!D30,'Slots'!D31,'Slots'!D32,'Slots'!D33),0)+IF(OR('Reels'!D81="attack",'Reels'!D81="magic"),CHOOSE('Reels'!D82+1,'Slots'!D29,'Slots'!D30,'Slots'!D31,'Slots'!D32,'Slots'!D33),0)+IF(OR('Reels'!D106="attack",'Reels'!D106="magic"),CHOOSE('Reels'!D107+1,'Slots'!D29,'Slots'!D30,'Slots'!D31,'Slots'!D32,'Slots'!D33),0)</f>
        <v>2</v>
      </c>
      <c r="E430">
        <f>IF('Reels'!D72="heal",'Reels'!D73*'Slots'!D24,0)+IF('Reels'!D81="heal",'Reels'!D82*'Slots'!D24,0)+IF('Reels'!D106="heal",'Reels'!D107*'Slots'!D24,0)</f>
        <v>4</v>
      </c>
      <c r="F430">
        <f>IF('Reels'!D72="block",'Reels'!D73*'Slots'!D25,0)+IF('Reels'!D81="block",'Reels'!D82*'Slots'!D25,0)+IF('Reels'!D106="block",'Reels'!D107*'Slots'!D25,0)</f>
        <v>1</v>
      </c>
      <c r="G430" t="b">
        <f>AND('Reels'!D72&lt;&gt;"blank",'Reels'!D72&lt;&gt;"class",'Reels'!D72='Reels'!D106,'Reels'!D73='Reels'!D107,OR('Reels'!D81="class",AND('Reels'!D81='Reels'!D72,'Reels'!D82='Reels'!D73)))</f>
        <v>0</v>
      </c>
      <c r="H430">
        <f>IF(G430,C430,0)</f>
        <v>0</v>
      </c>
    </row>
    <row r="431" spans="1:8" x14ac:dyDescent="0.25">
      <c r="A431" t="s">
        <v>247</v>
      </c>
      <c r="B431" t="s">
        <v>3770</v>
      </c>
      <c r="C431" s="4">
        <f>('Reels'!D74/('Reels'!D62+'Reels'!D65+'Reels'!D68+'Reels'!D71+'Reels'!D74+'Reels'!D77))*('Reels'!D83/('Reels'!D80+'Reels'!D83+'Reels'!D86+'Reels'!D89+'Reels'!D92+'Reels'!D95+'Reels'!D98))*('Reels'!D111/('Reels'!D102+'Reels'!D105+'Reels'!D108+'Reels'!D111+'Reels'!D114+'Reels'!D117))</f>
        <v>0.0002805573739829795</v>
      </c>
      <c r="D431">
        <f>IF(OR('Reels'!D72="attack",'Reels'!D72="magic"),CHOOSE('Reels'!D73+1,'Slots'!D29,'Slots'!D30,'Slots'!D31,'Slots'!D32,'Slots'!D33),0)+IF(OR('Reels'!D81="attack",'Reels'!D81="magic"),CHOOSE('Reels'!D82+1,'Slots'!D29,'Slots'!D30,'Slots'!D31,'Slots'!D32,'Slots'!D33),0)+IF(OR('Reels'!D109="attack",'Reels'!D109="magic"),CHOOSE('Reels'!D110+1,'Slots'!D29,'Slots'!D30,'Slots'!D31,'Slots'!D32,'Slots'!D33),0)</f>
        <v>2</v>
      </c>
      <c r="E431">
        <f>IF('Reels'!D72="heal",'Reels'!D73*'Slots'!D24,0)+IF('Reels'!D81="heal",'Reels'!D82*'Slots'!D24,0)+IF('Reels'!D109="heal",'Reels'!D110*'Slots'!D24,0)</f>
        <v>4</v>
      </c>
      <c r="F431">
        <f>IF('Reels'!D72="block",'Reels'!D73*'Slots'!D25,0)+IF('Reels'!D81="block",'Reels'!D82*'Slots'!D25,0)+IF('Reels'!D109="block",'Reels'!D110*'Slots'!D25,0)</f>
        <v>0</v>
      </c>
      <c r="G431" t="b">
        <f>AND('Reels'!D72&lt;&gt;"blank",'Reels'!D72&lt;&gt;"class",'Reels'!D72='Reels'!D109,'Reels'!D73='Reels'!D110,OR('Reels'!D81="class",AND('Reels'!D81='Reels'!D72,'Reels'!D82='Reels'!D73)))</f>
        <v>0</v>
      </c>
      <c r="H431">
        <f>IF(G431,C431,0)</f>
        <v>0</v>
      </c>
    </row>
    <row r="432" spans="1:8" x14ac:dyDescent="0.25">
      <c r="A432" t="s">
        <v>247</v>
      </c>
      <c r="B432" t="s">
        <v>3771</v>
      </c>
      <c r="C432" s="4">
        <f>('Reels'!D74/('Reels'!D62+'Reels'!D65+'Reels'!D68+'Reels'!D71+'Reels'!D74+'Reels'!D77))*('Reels'!D83/('Reels'!D80+'Reels'!D83+'Reels'!D86+'Reels'!D89+'Reels'!D92+'Reels'!D95+'Reels'!D98))*('Reels'!D114/('Reels'!D102+'Reels'!D105+'Reels'!D108+'Reels'!D111+'Reels'!D114+'Reels'!D117))</f>
        <v>0.0002805573739829795</v>
      </c>
      <c r="D432">
        <f>IF(OR('Reels'!D72="attack",'Reels'!D72="magic"),CHOOSE('Reels'!D73+1,'Slots'!D29,'Slots'!D30,'Slots'!D31,'Slots'!D32,'Slots'!D33),0)+IF(OR('Reels'!D81="attack",'Reels'!D81="magic"),CHOOSE('Reels'!D82+1,'Slots'!D29,'Slots'!D30,'Slots'!D31,'Slots'!D32,'Slots'!D33),0)+IF(OR('Reels'!D112="attack",'Reels'!D112="magic"),CHOOSE('Reels'!D113+1,'Slots'!D29,'Slots'!D30,'Slots'!D31,'Slots'!D32,'Slots'!D33),0)</f>
        <v>4</v>
      </c>
      <c r="E432">
        <f>IF('Reels'!D72="heal",'Reels'!D73*'Slots'!D24,0)+IF('Reels'!D81="heal",'Reels'!D82*'Slots'!D24,0)+IF('Reels'!D112="heal",'Reels'!D113*'Slots'!D24,0)</f>
        <v>4</v>
      </c>
      <c r="F432">
        <f>IF('Reels'!D72="block",'Reels'!D73*'Slots'!D25,0)+IF('Reels'!D81="block",'Reels'!D82*'Slots'!D25,0)+IF('Reels'!D112="block",'Reels'!D113*'Slots'!D25,0)</f>
        <v>0</v>
      </c>
      <c r="G432" t="b">
        <f>AND('Reels'!D72&lt;&gt;"blank",'Reels'!D72&lt;&gt;"class",'Reels'!D72='Reels'!D112,'Reels'!D73='Reels'!D113,OR('Reels'!D81="class",AND('Reels'!D81='Reels'!D72,'Reels'!D82='Reels'!D73)))</f>
        <v>0</v>
      </c>
      <c r="H432">
        <f>IF(G432,C432,0)</f>
        <v>0</v>
      </c>
    </row>
    <row r="433" spans="1:8" x14ac:dyDescent="0.25">
      <c r="A433" t="s">
        <v>247</v>
      </c>
      <c r="B433" t="s">
        <v>3772</v>
      </c>
      <c r="C433" s="4">
        <f>('Reels'!D74/('Reels'!D62+'Reels'!D65+'Reels'!D68+'Reels'!D71+'Reels'!D74+'Reels'!D77))*('Reels'!D83/('Reels'!D80+'Reels'!D83+'Reels'!D86+'Reels'!D89+'Reels'!D92+'Reels'!D95+'Reels'!D98))*('Reels'!D117/('Reels'!D102+'Reels'!D105+'Reels'!D108+'Reels'!D111+'Reels'!D114+'Reels'!D117))</f>
        <v>0.001122229495931918</v>
      </c>
      <c r="D433">
        <f>IF(OR('Reels'!D72="attack",'Reels'!D72="magic"),CHOOSE('Reels'!D73+1,'Slots'!D29,'Slots'!D30,'Slots'!D31,'Slots'!D32,'Slots'!D33),0)+IF(OR('Reels'!D81="attack",'Reels'!D81="magic"),CHOOSE('Reels'!D82+1,'Slots'!D29,'Slots'!D30,'Slots'!D31,'Slots'!D32,'Slots'!D33),0)+IF(OR('Reels'!D115="attack",'Reels'!D115="magic"),CHOOSE('Reels'!D116+1,'Slots'!D29,'Slots'!D30,'Slots'!D31,'Slots'!D32,'Slots'!D33),0)</f>
        <v>2</v>
      </c>
      <c r="E433">
        <f>IF('Reels'!D72="heal",'Reels'!D73*'Slots'!D24,0)+IF('Reels'!D81="heal",'Reels'!D82*'Slots'!D24,0)+IF('Reels'!D115="heal",'Reels'!D116*'Slots'!D24,0)</f>
        <v>4</v>
      </c>
      <c r="F433">
        <f>IF('Reels'!D72="block",'Reels'!D73*'Slots'!D25,0)+IF('Reels'!D81="block",'Reels'!D82*'Slots'!D25,0)+IF('Reels'!D115="block",'Reels'!D116*'Slots'!D25,0)</f>
        <v>0</v>
      </c>
      <c r="G433" t="b">
        <f>AND('Reels'!D72&lt;&gt;"blank",'Reels'!D72&lt;&gt;"class",'Reels'!D72='Reels'!D115,'Reels'!D73='Reels'!D116,OR('Reels'!D81="class",AND('Reels'!D81='Reels'!D72,'Reels'!D82='Reels'!D73)))</f>
        <v>0</v>
      </c>
      <c r="H433">
        <f>IF(G433,C433,0)</f>
        <v>0</v>
      </c>
    </row>
    <row r="434" spans="1:8" x14ac:dyDescent="0.25">
      <c r="A434" t="s">
        <v>247</v>
      </c>
      <c r="B434" t="s">
        <v>3773</v>
      </c>
      <c r="C434" s="4">
        <f>('Reels'!D74/('Reels'!D62+'Reels'!D65+'Reels'!D68+'Reels'!D71+'Reels'!D74+'Reels'!D77))*('Reels'!D86/('Reels'!D80+'Reels'!D83+'Reels'!D86+'Reels'!D89+'Reels'!D92+'Reels'!D95+'Reels'!D98))*('Reels'!D102/('Reels'!D102+'Reels'!D105+'Reels'!D108+'Reels'!D111+'Reels'!D114+'Reels'!D117))</f>
        <v>0.0006546338726269522</v>
      </c>
      <c r="D434">
        <f>IF(OR('Reels'!D72="attack",'Reels'!D72="magic"),CHOOSE('Reels'!D73+1,'Slots'!D29,'Slots'!D30,'Slots'!D31,'Slots'!D32,'Slots'!D33),0)+IF(OR('Reels'!D84="attack",'Reels'!D84="magic"),CHOOSE('Reels'!D85+1,'Slots'!D29,'Slots'!D30,'Slots'!D31,'Slots'!D32,'Slots'!D33),0)+IF(OR('Reels'!D100="attack",'Reels'!D100="magic"),CHOOSE('Reels'!D101+1,'Slots'!D29,'Slots'!D30,'Slots'!D31,'Slots'!D32,'Slots'!D33),0)</f>
        <v>2</v>
      </c>
      <c r="E434">
        <f>IF('Reels'!D72="heal",'Reels'!D73*'Slots'!D24,0)+IF('Reels'!D84="heal",'Reels'!D85*'Slots'!D24,0)+IF('Reels'!D100="heal",'Reels'!D101*'Slots'!D24,0)</f>
        <v>2</v>
      </c>
      <c r="F434">
        <f>IF('Reels'!D72="block",'Reels'!D73*'Slots'!D25,0)+IF('Reels'!D84="block",'Reels'!D85*'Slots'!D25,0)+IF('Reels'!D100="block",'Reels'!D101*'Slots'!D25,0)</f>
        <v>1</v>
      </c>
      <c r="G434" t="b">
        <f>AND('Reels'!D72&lt;&gt;"blank",'Reels'!D72&lt;&gt;"class",'Reels'!D72='Reels'!D100,'Reels'!D73='Reels'!D101,OR('Reels'!D84="class",AND('Reels'!D84='Reels'!D72,'Reels'!D85='Reels'!D73)))</f>
        <v>0</v>
      </c>
      <c r="H434">
        <f>IF(G434,C434,0)</f>
        <v>0</v>
      </c>
    </row>
    <row r="435" spans="1:8" x14ac:dyDescent="0.25">
      <c r="A435" t="s">
        <v>247</v>
      </c>
      <c r="B435" t="s">
        <v>3774</v>
      </c>
      <c r="C435" s="4">
        <f>('Reels'!D74/('Reels'!D62+'Reels'!D65+'Reels'!D68+'Reels'!D71+'Reels'!D74+'Reels'!D77))*('Reels'!D86/('Reels'!D80+'Reels'!D83+'Reels'!D86+'Reels'!D89+'Reels'!D92+'Reels'!D95+'Reels'!D98))*('Reels'!D105/('Reels'!D102+'Reels'!D105+'Reels'!D108+'Reels'!D111+'Reels'!D114+'Reels'!D117))</f>
        <v>0.000561114747965959</v>
      </c>
      <c r="D435">
        <f>IF(OR('Reels'!D72="attack",'Reels'!D72="magic"),CHOOSE('Reels'!D73+1,'Slots'!D29,'Slots'!D30,'Slots'!D31,'Slots'!D32,'Slots'!D33),0)+IF(OR('Reels'!D84="attack",'Reels'!D84="magic"),CHOOSE('Reels'!D85+1,'Slots'!D29,'Slots'!D30,'Slots'!D31,'Slots'!D32,'Slots'!D33),0)+IF(OR('Reels'!D103="attack",'Reels'!D103="magic"),CHOOSE('Reels'!D104+1,'Slots'!D29,'Slots'!D30,'Slots'!D31,'Slots'!D32,'Slots'!D33),0)</f>
        <v>2</v>
      </c>
      <c r="E435">
        <f>IF('Reels'!D72="heal",'Reels'!D73*'Slots'!D24,0)+IF('Reels'!D84="heal",'Reels'!D85*'Slots'!D24,0)+IF('Reels'!D103="heal",'Reels'!D104*'Slots'!D24,0)</f>
        <v>4</v>
      </c>
      <c r="F435">
        <f>IF('Reels'!D72="block",'Reels'!D73*'Slots'!D25,0)+IF('Reels'!D84="block",'Reels'!D85*'Slots'!D25,0)+IF('Reels'!D103="block",'Reels'!D104*'Slots'!D25,0)</f>
        <v>1</v>
      </c>
      <c r="G435" t="b">
        <f>AND('Reels'!D72&lt;&gt;"blank",'Reels'!D72&lt;&gt;"class",'Reels'!D72='Reels'!D103,'Reels'!D73='Reels'!D104,OR('Reels'!D84="class",AND('Reels'!D84='Reels'!D72,'Reels'!D85='Reels'!D73)))</f>
        <v>0</v>
      </c>
      <c r="H435">
        <f>IF(G435,C435,0)</f>
        <v>0</v>
      </c>
    </row>
    <row r="436" spans="1:8" x14ac:dyDescent="0.25">
      <c r="A436" t="s">
        <v>247</v>
      </c>
      <c r="B436" t="s">
        <v>3775</v>
      </c>
      <c r="C436" s="4">
        <f>('Reels'!D74/('Reels'!D62+'Reels'!D65+'Reels'!D68+'Reels'!D71+'Reels'!D74+'Reels'!D77))*('Reels'!D86/('Reels'!D80+'Reels'!D83+'Reels'!D86+'Reels'!D89+'Reels'!D92+'Reels'!D95+'Reels'!D98))*('Reels'!D108/('Reels'!D102+'Reels'!D105+'Reels'!D108+'Reels'!D111+'Reels'!D114+'Reels'!D117))</f>
        <v>0.00009351912466099317</v>
      </c>
      <c r="D436">
        <f>IF(OR('Reels'!D72="attack",'Reels'!D72="magic"),CHOOSE('Reels'!D73+1,'Slots'!D29,'Slots'!D30,'Slots'!D31,'Slots'!D32,'Slots'!D33),0)+IF(OR('Reels'!D84="attack",'Reels'!D84="magic"),CHOOSE('Reels'!D85+1,'Slots'!D29,'Slots'!D30,'Slots'!D31,'Slots'!D32,'Slots'!D33),0)+IF(OR('Reels'!D106="attack",'Reels'!D106="magic"),CHOOSE('Reels'!D107+1,'Slots'!D29,'Slots'!D30,'Slots'!D31,'Slots'!D32,'Slots'!D33),0)</f>
        <v>2</v>
      </c>
      <c r="E436">
        <f>IF('Reels'!D72="heal",'Reels'!D73*'Slots'!D24,0)+IF('Reels'!D84="heal",'Reels'!D85*'Slots'!D24,0)+IF('Reels'!D106="heal",'Reels'!D107*'Slots'!D24,0)</f>
        <v>0</v>
      </c>
      <c r="F436">
        <f>IF('Reels'!D72="block",'Reels'!D73*'Slots'!D25,0)+IF('Reels'!D84="block",'Reels'!D85*'Slots'!D25,0)+IF('Reels'!D106="block",'Reels'!D107*'Slots'!D25,0)</f>
        <v>2</v>
      </c>
      <c r="G436" t="b">
        <f>AND('Reels'!D72&lt;&gt;"blank",'Reels'!D72&lt;&gt;"class",'Reels'!D72='Reels'!D106,'Reels'!D73='Reels'!D107,OR('Reels'!D84="class",AND('Reels'!D84='Reels'!D72,'Reels'!D85='Reels'!D73)))</f>
        <v>0</v>
      </c>
      <c r="H436">
        <f>IF(G436,C436,0)</f>
        <v>0</v>
      </c>
    </row>
    <row r="437" spans="1:8" x14ac:dyDescent="0.25">
      <c r="A437" t="s">
        <v>247</v>
      </c>
      <c r="B437" t="s">
        <v>3776</v>
      </c>
      <c r="C437" s="4">
        <f>('Reels'!D74/('Reels'!D62+'Reels'!D65+'Reels'!D68+'Reels'!D71+'Reels'!D74+'Reels'!D77))*('Reels'!D86/('Reels'!D80+'Reels'!D83+'Reels'!D86+'Reels'!D89+'Reels'!D92+'Reels'!D95+'Reels'!D98))*('Reels'!D111/('Reels'!D102+'Reels'!D105+'Reels'!D108+'Reels'!D111+'Reels'!D114+'Reels'!D117))</f>
        <v>0.000046759562330496584</v>
      </c>
      <c r="D437">
        <f>IF(OR('Reels'!D72="attack",'Reels'!D72="magic"),CHOOSE('Reels'!D73+1,'Slots'!D29,'Slots'!D30,'Slots'!D31,'Slots'!D32,'Slots'!D33),0)+IF(OR('Reels'!D84="attack",'Reels'!D84="magic"),CHOOSE('Reels'!D85+1,'Slots'!D29,'Slots'!D30,'Slots'!D31,'Slots'!D32,'Slots'!D33),0)+IF(OR('Reels'!D109="attack",'Reels'!D109="magic"),CHOOSE('Reels'!D110+1,'Slots'!D29,'Slots'!D30,'Slots'!D31,'Slots'!D32,'Slots'!D33),0)</f>
        <v>2</v>
      </c>
      <c r="E437">
        <f>IF('Reels'!D72="heal",'Reels'!D73*'Slots'!D24,0)+IF('Reels'!D84="heal",'Reels'!D85*'Slots'!D24,0)+IF('Reels'!D109="heal",'Reels'!D110*'Slots'!D24,0)</f>
        <v>0</v>
      </c>
      <c r="F437">
        <f>IF('Reels'!D72="block",'Reels'!D73*'Slots'!D25,0)+IF('Reels'!D84="block",'Reels'!D85*'Slots'!D25,0)+IF('Reels'!D109="block",'Reels'!D110*'Slots'!D25,0)</f>
        <v>1</v>
      </c>
      <c r="G437" t="b">
        <f>AND('Reels'!D72&lt;&gt;"blank",'Reels'!D72&lt;&gt;"class",'Reels'!D72='Reels'!D109,'Reels'!D73='Reels'!D110,OR('Reels'!D84="class",AND('Reels'!D84='Reels'!D72,'Reels'!D85='Reels'!D73)))</f>
        <v>0</v>
      </c>
      <c r="H437">
        <f>IF(G437,C437,0)</f>
        <v>0</v>
      </c>
    </row>
    <row r="438" spans="1:8" x14ac:dyDescent="0.25">
      <c r="A438" t="s">
        <v>247</v>
      </c>
      <c r="B438" t="s">
        <v>3777</v>
      </c>
      <c r="C438" s="4">
        <f>('Reels'!D74/('Reels'!D62+'Reels'!D65+'Reels'!D68+'Reels'!D71+'Reels'!D74+'Reels'!D77))*('Reels'!D86/('Reels'!D80+'Reels'!D83+'Reels'!D86+'Reels'!D89+'Reels'!D92+'Reels'!D95+'Reels'!D98))*('Reels'!D114/('Reels'!D102+'Reels'!D105+'Reels'!D108+'Reels'!D111+'Reels'!D114+'Reels'!D117))</f>
        <v>0.000046759562330496584</v>
      </c>
      <c r="D438">
        <f>IF(OR('Reels'!D72="attack",'Reels'!D72="magic"),CHOOSE('Reels'!D73+1,'Slots'!D29,'Slots'!D30,'Slots'!D31,'Slots'!D32,'Slots'!D33),0)+IF(OR('Reels'!D84="attack",'Reels'!D84="magic"),CHOOSE('Reels'!D85+1,'Slots'!D29,'Slots'!D30,'Slots'!D31,'Slots'!D32,'Slots'!D33),0)+IF(OR('Reels'!D112="attack",'Reels'!D112="magic"),CHOOSE('Reels'!D113+1,'Slots'!D29,'Slots'!D30,'Slots'!D31,'Slots'!D32,'Slots'!D33),0)</f>
        <v>4</v>
      </c>
      <c r="E438">
        <f>IF('Reels'!D72="heal",'Reels'!D73*'Slots'!D24,0)+IF('Reels'!D84="heal",'Reels'!D85*'Slots'!D24,0)+IF('Reels'!D112="heal",'Reels'!D113*'Slots'!D24,0)</f>
        <v>0</v>
      </c>
      <c r="F438">
        <f>IF('Reels'!D72="block",'Reels'!D73*'Slots'!D25,0)+IF('Reels'!D84="block",'Reels'!D85*'Slots'!D25,0)+IF('Reels'!D112="block",'Reels'!D113*'Slots'!D25,0)</f>
        <v>1</v>
      </c>
      <c r="G438" t="b">
        <f>AND('Reels'!D72&lt;&gt;"blank",'Reels'!D72&lt;&gt;"class",'Reels'!D72='Reels'!D112,'Reels'!D73='Reels'!D113,OR('Reels'!D84="class",AND('Reels'!D84='Reels'!D72,'Reels'!D85='Reels'!D73)))</f>
        <v>0</v>
      </c>
      <c r="H438">
        <f>IF(G438,C438,0)</f>
        <v>0</v>
      </c>
    </row>
    <row r="439" spans="1:8" x14ac:dyDescent="0.25">
      <c r="A439" t="s">
        <v>247</v>
      </c>
      <c r="B439" t="s">
        <v>3778</v>
      </c>
      <c r="C439" s="4">
        <f>('Reels'!D74/('Reels'!D62+'Reels'!D65+'Reels'!D68+'Reels'!D71+'Reels'!D74+'Reels'!D77))*('Reels'!D86/('Reels'!D80+'Reels'!D83+'Reels'!D86+'Reels'!D89+'Reels'!D92+'Reels'!D95+'Reels'!D98))*('Reels'!D117/('Reels'!D102+'Reels'!D105+'Reels'!D108+'Reels'!D111+'Reels'!D114+'Reels'!D117))</f>
        <v>0.00018703824932198634</v>
      </c>
      <c r="D439">
        <f>IF(OR('Reels'!D72="attack",'Reels'!D72="magic"),CHOOSE('Reels'!D73+1,'Slots'!D29,'Slots'!D30,'Slots'!D31,'Slots'!D32,'Slots'!D33),0)+IF(OR('Reels'!D84="attack",'Reels'!D84="magic"),CHOOSE('Reels'!D85+1,'Slots'!D29,'Slots'!D30,'Slots'!D31,'Slots'!D32,'Slots'!D33),0)+IF(OR('Reels'!D115="attack",'Reels'!D115="magic"),CHOOSE('Reels'!D116+1,'Slots'!D29,'Slots'!D30,'Slots'!D31,'Slots'!D32,'Slots'!D33),0)</f>
        <v>2</v>
      </c>
      <c r="E439">
        <f>IF('Reels'!D72="heal",'Reels'!D73*'Slots'!D24,0)+IF('Reels'!D84="heal",'Reels'!D85*'Slots'!D24,0)+IF('Reels'!D115="heal",'Reels'!D116*'Slots'!D24,0)</f>
        <v>0</v>
      </c>
      <c r="F439">
        <f>IF('Reels'!D72="block",'Reels'!D73*'Slots'!D25,0)+IF('Reels'!D84="block",'Reels'!D85*'Slots'!D25,0)+IF('Reels'!D115="block",'Reels'!D116*'Slots'!D25,0)</f>
        <v>1</v>
      </c>
      <c r="G439" t="b">
        <f>AND('Reels'!D72&lt;&gt;"blank",'Reels'!D72&lt;&gt;"class",'Reels'!D72='Reels'!D115,'Reels'!D73='Reels'!D116,OR('Reels'!D84="class",AND('Reels'!D84='Reels'!D72,'Reels'!D85='Reels'!D73)))</f>
        <v>0</v>
      </c>
      <c r="H439">
        <f>IF(G439,C439,0)</f>
        <v>0</v>
      </c>
    </row>
    <row r="440" spans="1:8" x14ac:dyDescent="0.25">
      <c r="A440" t="s">
        <v>247</v>
      </c>
      <c r="B440" t="s">
        <v>3779</v>
      </c>
      <c r="C440" s="4">
        <f>('Reels'!D74/('Reels'!D62+'Reels'!D65+'Reels'!D68+'Reels'!D71+'Reels'!D74+'Reels'!D77))*('Reels'!D89/('Reels'!D80+'Reels'!D83+'Reels'!D86+'Reels'!D89+'Reels'!D92+'Reels'!D95+'Reels'!D98))*('Reels'!D102/('Reels'!D102+'Reels'!D105+'Reels'!D108+'Reels'!D111+'Reels'!D114+'Reels'!D117))</f>
        <v>0.0003273169363134761</v>
      </c>
      <c r="D440">
        <f>IF(OR('Reels'!D72="attack",'Reels'!D72="magic"),CHOOSE('Reels'!D73+1,'Slots'!D29,'Slots'!D30,'Slots'!D31,'Slots'!D32,'Slots'!D33),0)+IF(OR('Reels'!D87="attack",'Reels'!D87="magic"),CHOOSE('Reels'!D88+1,'Slots'!D29,'Slots'!D30,'Slots'!D31,'Slots'!D32,'Slots'!D33),0)+IF(OR('Reels'!D100="attack",'Reels'!D100="magic"),CHOOSE('Reels'!D101+1,'Slots'!D29,'Slots'!D30,'Slots'!D31,'Slots'!D32,'Slots'!D33),0)</f>
        <v>2</v>
      </c>
      <c r="E440">
        <f>IF('Reels'!D72="heal",'Reels'!D73*'Slots'!D24,0)+IF('Reels'!D87="heal",'Reels'!D88*'Slots'!D24,0)+IF('Reels'!D100="heal",'Reels'!D101*'Slots'!D24,0)</f>
        <v>2</v>
      </c>
      <c r="F440">
        <f>IF('Reels'!D72="block",'Reels'!D73*'Slots'!D25,0)+IF('Reels'!D87="block",'Reels'!D88*'Slots'!D25,0)+IF('Reels'!D100="block",'Reels'!D101*'Slots'!D25,0)</f>
        <v>0</v>
      </c>
      <c r="G440" t="b">
        <f>AND('Reels'!D72&lt;&gt;"blank",'Reels'!D72&lt;&gt;"class",'Reels'!D72='Reels'!D100,'Reels'!D73='Reels'!D101,OR('Reels'!D87="class",AND('Reels'!D87='Reels'!D72,'Reels'!D88='Reels'!D73)))</f>
        <v>0</v>
      </c>
      <c r="H440">
        <f>IF(G440,C440,0)</f>
        <v>0</v>
      </c>
    </row>
    <row r="441" spans="1:8" x14ac:dyDescent="0.25">
      <c r="A441" t="s">
        <v>247</v>
      </c>
      <c r="B441" t="s">
        <v>3780</v>
      </c>
      <c r="C441" s="4">
        <f>('Reels'!D74/('Reels'!D62+'Reels'!D65+'Reels'!D68+'Reels'!D71+'Reels'!D74+'Reels'!D77))*('Reels'!D89/('Reels'!D80+'Reels'!D83+'Reels'!D86+'Reels'!D89+'Reels'!D92+'Reels'!D95+'Reels'!D98))*('Reels'!D105/('Reels'!D102+'Reels'!D105+'Reels'!D108+'Reels'!D111+'Reels'!D114+'Reels'!D117))</f>
        <v>0.0002805573739829795</v>
      </c>
      <c r="D441">
        <f>IF(OR('Reels'!D72="attack",'Reels'!D72="magic"),CHOOSE('Reels'!D73+1,'Slots'!D29,'Slots'!D30,'Slots'!D31,'Slots'!D32,'Slots'!D33),0)+IF(OR('Reels'!D87="attack",'Reels'!D87="magic"),CHOOSE('Reels'!D88+1,'Slots'!D29,'Slots'!D30,'Slots'!D31,'Slots'!D32,'Slots'!D33),0)+IF(OR('Reels'!D103="attack",'Reels'!D103="magic"),CHOOSE('Reels'!D104+1,'Slots'!D29,'Slots'!D30,'Slots'!D31,'Slots'!D32,'Slots'!D33),0)</f>
        <v>2</v>
      </c>
      <c r="E441">
        <f>IF('Reels'!D72="heal",'Reels'!D73*'Slots'!D24,0)+IF('Reels'!D87="heal",'Reels'!D88*'Slots'!D24,0)+IF('Reels'!D103="heal",'Reels'!D104*'Slots'!D24,0)</f>
        <v>4</v>
      </c>
      <c r="F441">
        <f>IF('Reels'!D72="block",'Reels'!D73*'Slots'!D25,0)+IF('Reels'!D87="block",'Reels'!D88*'Slots'!D25,0)+IF('Reels'!D103="block",'Reels'!D104*'Slots'!D25,0)</f>
        <v>0</v>
      </c>
      <c r="G441" t="b">
        <f>AND('Reels'!D72&lt;&gt;"blank",'Reels'!D72&lt;&gt;"class",'Reels'!D72='Reels'!D103,'Reels'!D73='Reels'!D104,OR('Reels'!D87="class",AND('Reels'!D87='Reels'!D72,'Reels'!D88='Reels'!D73)))</f>
        <v>0</v>
      </c>
      <c r="H441">
        <f>IF(G441,C441,0)</f>
        <v>0</v>
      </c>
    </row>
    <row r="442" spans="1:8" x14ac:dyDescent="0.25">
      <c r="A442" t="s">
        <v>247</v>
      </c>
      <c r="B442" t="s">
        <v>3781</v>
      </c>
      <c r="C442" s="4">
        <f>('Reels'!D74/('Reels'!D62+'Reels'!D65+'Reels'!D68+'Reels'!D71+'Reels'!D74+'Reels'!D77))*('Reels'!D89/('Reels'!D80+'Reels'!D83+'Reels'!D86+'Reels'!D89+'Reels'!D92+'Reels'!D95+'Reels'!D98))*('Reels'!D108/('Reels'!D102+'Reels'!D105+'Reels'!D108+'Reels'!D111+'Reels'!D114+'Reels'!D117))</f>
        <v>0.000046759562330496584</v>
      </c>
      <c r="D442">
        <f>IF(OR('Reels'!D72="attack",'Reels'!D72="magic"),CHOOSE('Reels'!D73+1,'Slots'!D29,'Slots'!D30,'Slots'!D31,'Slots'!D32,'Slots'!D33),0)+IF(OR('Reels'!D87="attack",'Reels'!D87="magic"),CHOOSE('Reels'!D88+1,'Slots'!D29,'Slots'!D30,'Slots'!D31,'Slots'!D32,'Slots'!D33),0)+IF(OR('Reels'!D106="attack",'Reels'!D106="magic"),CHOOSE('Reels'!D107+1,'Slots'!D29,'Slots'!D30,'Slots'!D31,'Slots'!D32,'Slots'!D33),0)</f>
        <v>2</v>
      </c>
      <c r="E442">
        <f>IF('Reels'!D72="heal",'Reels'!D73*'Slots'!D24,0)+IF('Reels'!D87="heal",'Reels'!D88*'Slots'!D24,0)+IF('Reels'!D106="heal",'Reels'!D107*'Slots'!D24,0)</f>
        <v>0</v>
      </c>
      <c r="F442">
        <f>IF('Reels'!D72="block",'Reels'!D73*'Slots'!D25,0)+IF('Reels'!D87="block",'Reels'!D88*'Slots'!D25,0)+IF('Reels'!D106="block",'Reels'!D107*'Slots'!D25,0)</f>
        <v>1</v>
      </c>
      <c r="G442" t="b">
        <f>AND('Reels'!D72&lt;&gt;"blank",'Reels'!D72&lt;&gt;"class",'Reels'!D72='Reels'!D106,'Reels'!D73='Reels'!D107,OR('Reels'!D87="class",AND('Reels'!D87='Reels'!D72,'Reels'!D88='Reels'!D73)))</f>
        <v>0</v>
      </c>
      <c r="H442">
        <f>IF(G442,C442,0)</f>
        <v>0</v>
      </c>
    </row>
    <row r="443" spans="1:8" x14ac:dyDescent="0.25">
      <c r="A443" t="s">
        <v>247</v>
      </c>
      <c r="B443" t="s">
        <v>3782</v>
      </c>
      <c r="C443" s="4">
        <f>('Reels'!D74/('Reels'!D62+'Reels'!D65+'Reels'!D68+'Reels'!D71+'Reels'!D74+'Reels'!D77))*('Reels'!D89/('Reels'!D80+'Reels'!D83+'Reels'!D86+'Reels'!D89+'Reels'!D92+'Reels'!D95+'Reels'!D98))*('Reels'!D111/('Reels'!D102+'Reels'!D105+'Reels'!D108+'Reels'!D111+'Reels'!D114+'Reels'!D117))</f>
        <v>0.000023379781165248292</v>
      </c>
      <c r="D443">
        <f>IF(OR('Reels'!D72="attack",'Reels'!D72="magic"),CHOOSE('Reels'!D73+1,'Slots'!D29,'Slots'!D30,'Slots'!D31,'Slots'!D32,'Slots'!D33),0)+IF(OR('Reels'!D87="attack",'Reels'!D87="magic"),CHOOSE('Reels'!D88+1,'Slots'!D29,'Slots'!D30,'Slots'!D31,'Slots'!D32,'Slots'!D33),0)+IF(OR('Reels'!D109="attack",'Reels'!D109="magic"),CHOOSE('Reels'!D110+1,'Slots'!D29,'Slots'!D30,'Slots'!D31,'Slots'!D32,'Slots'!D33),0)</f>
        <v>2</v>
      </c>
      <c r="E443">
        <f>IF('Reels'!D72="heal",'Reels'!D73*'Slots'!D24,0)+IF('Reels'!D87="heal",'Reels'!D88*'Slots'!D24,0)+IF('Reels'!D109="heal",'Reels'!D110*'Slots'!D24,0)</f>
        <v>0</v>
      </c>
      <c r="F443">
        <f>IF('Reels'!D72="block",'Reels'!D73*'Slots'!D25,0)+IF('Reels'!D87="block",'Reels'!D88*'Slots'!D25,0)+IF('Reels'!D109="block",'Reels'!D110*'Slots'!D25,0)</f>
        <v>0</v>
      </c>
      <c r="G443" t="b">
        <f>AND('Reels'!D72&lt;&gt;"blank",'Reels'!D72&lt;&gt;"class",'Reels'!D72='Reels'!D109,'Reels'!D73='Reels'!D110,OR('Reels'!D87="class",AND('Reels'!D87='Reels'!D72,'Reels'!D88='Reels'!D73)))</f>
        <v>0</v>
      </c>
      <c r="H443">
        <f>IF(G443,C443,0)</f>
        <v>0</v>
      </c>
    </row>
    <row r="444" spans="1:8" x14ac:dyDescent="0.25">
      <c r="A444" t="s">
        <v>247</v>
      </c>
      <c r="B444" t="s">
        <v>3783</v>
      </c>
      <c r="C444" s="4">
        <f>('Reels'!D74/('Reels'!D62+'Reels'!D65+'Reels'!D68+'Reels'!D71+'Reels'!D74+'Reels'!D77))*('Reels'!D89/('Reels'!D80+'Reels'!D83+'Reels'!D86+'Reels'!D89+'Reels'!D92+'Reels'!D95+'Reels'!D98))*('Reels'!D114/('Reels'!D102+'Reels'!D105+'Reels'!D108+'Reels'!D111+'Reels'!D114+'Reels'!D117))</f>
        <v>0.000023379781165248292</v>
      </c>
      <c r="D444">
        <f>IF(OR('Reels'!D72="attack",'Reels'!D72="magic"),CHOOSE('Reels'!D73+1,'Slots'!D29,'Slots'!D30,'Slots'!D31,'Slots'!D32,'Slots'!D33),0)+IF(OR('Reels'!D87="attack",'Reels'!D87="magic"),CHOOSE('Reels'!D88+1,'Slots'!D29,'Slots'!D30,'Slots'!D31,'Slots'!D32,'Slots'!D33),0)+IF(OR('Reels'!D112="attack",'Reels'!D112="magic"),CHOOSE('Reels'!D113+1,'Slots'!D29,'Slots'!D30,'Slots'!D31,'Slots'!D32,'Slots'!D33),0)</f>
        <v>4</v>
      </c>
      <c r="E444">
        <f>IF('Reels'!D72="heal",'Reels'!D73*'Slots'!D24,0)+IF('Reels'!D87="heal",'Reels'!D88*'Slots'!D24,0)+IF('Reels'!D112="heal",'Reels'!D113*'Slots'!D24,0)</f>
        <v>0</v>
      </c>
      <c r="F444">
        <f>IF('Reels'!D72="block",'Reels'!D73*'Slots'!D25,0)+IF('Reels'!D87="block",'Reels'!D88*'Slots'!D25,0)+IF('Reels'!D112="block",'Reels'!D113*'Slots'!D25,0)</f>
        <v>0</v>
      </c>
      <c r="G444" t="b">
        <f>AND('Reels'!D72&lt;&gt;"blank",'Reels'!D72&lt;&gt;"class",'Reels'!D72='Reels'!D112,'Reels'!D73='Reels'!D113,OR('Reels'!D87="class",AND('Reels'!D87='Reels'!D72,'Reels'!D88='Reels'!D73)))</f>
        <v>0</v>
      </c>
      <c r="H444">
        <f>IF(G444,C444,0)</f>
        <v>0</v>
      </c>
    </row>
    <row r="445" spans="1:8" x14ac:dyDescent="0.25">
      <c r="A445" t="s">
        <v>247</v>
      </c>
      <c r="B445" t="s">
        <v>3784</v>
      </c>
      <c r="C445" s="4">
        <f>('Reels'!D74/('Reels'!D62+'Reels'!D65+'Reels'!D68+'Reels'!D71+'Reels'!D74+'Reels'!D77))*('Reels'!D89/('Reels'!D80+'Reels'!D83+'Reels'!D86+'Reels'!D89+'Reels'!D92+'Reels'!D95+'Reels'!D98))*('Reels'!D117/('Reels'!D102+'Reels'!D105+'Reels'!D108+'Reels'!D111+'Reels'!D114+'Reels'!D117))</f>
        <v>0.00009351912466099317</v>
      </c>
      <c r="D445">
        <f>IF(OR('Reels'!D72="attack",'Reels'!D72="magic"),CHOOSE('Reels'!D73+1,'Slots'!D29,'Slots'!D30,'Slots'!D31,'Slots'!D32,'Slots'!D33),0)+IF(OR('Reels'!D87="attack",'Reels'!D87="magic"),CHOOSE('Reels'!D88+1,'Slots'!D29,'Slots'!D30,'Slots'!D31,'Slots'!D32,'Slots'!D33),0)+IF(OR('Reels'!D115="attack",'Reels'!D115="magic"),CHOOSE('Reels'!D116+1,'Slots'!D29,'Slots'!D30,'Slots'!D31,'Slots'!D32,'Slots'!D33),0)</f>
        <v>2</v>
      </c>
      <c r="E445">
        <f>IF('Reels'!D72="heal",'Reels'!D73*'Slots'!D24,0)+IF('Reels'!D87="heal",'Reels'!D88*'Slots'!D24,0)+IF('Reels'!D115="heal",'Reels'!D116*'Slots'!D24,0)</f>
        <v>0</v>
      </c>
      <c r="F445">
        <f>IF('Reels'!D72="block",'Reels'!D73*'Slots'!D25,0)+IF('Reels'!D87="block",'Reels'!D88*'Slots'!D25,0)+IF('Reels'!D115="block",'Reels'!D116*'Slots'!D25,0)</f>
        <v>0</v>
      </c>
      <c r="G445" t="b">
        <f>AND('Reels'!D72&lt;&gt;"blank",'Reels'!D72&lt;&gt;"class",'Reels'!D72='Reels'!D115,'Reels'!D73='Reels'!D116,OR('Reels'!D87="class",AND('Reels'!D87='Reels'!D72,'Reels'!D88='Reels'!D73)))</f>
        <v>0</v>
      </c>
      <c r="H445">
        <f>IF(G445,C445,0)</f>
        <v>0</v>
      </c>
    </row>
    <row r="446" spans="1:8" x14ac:dyDescent="0.25">
      <c r="A446" t="s">
        <v>247</v>
      </c>
      <c r="B446" t="s">
        <v>3785</v>
      </c>
      <c r="C446" s="4">
        <f>('Reels'!D74/('Reels'!D62+'Reels'!D65+'Reels'!D68+'Reels'!D71+'Reels'!D74+'Reels'!D77))*('Reels'!D92/('Reels'!D80+'Reels'!D83+'Reels'!D86+'Reels'!D89+'Reels'!D92+'Reels'!D95+'Reels'!D98))*('Reels'!D102/('Reels'!D102+'Reels'!D105+'Reels'!D108+'Reels'!D111+'Reels'!D114+'Reels'!D117))</f>
        <v>0.0003273169363134761</v>
      </c>
      <c r="D446">
        <f>IF(OR('Reels'!D72="attack",'Reels'!D72="magic"),CHOOSE('Reels'!D73+1,'Slots'!D29,'Slots'!D30,'Slots'!D31,'Slots'!D32,'Slots'!D33),0)+IF(OR('Reels'!D90="attack",'Reels'!D90="magic"),CHOOSE('Reels'!D91+1,'Slots'!D29,'Slots'!D30,'Slots'!D31,'Slots'!D32,'Slots'!D33),0)+IF(OR('Reels'!D100="attack",'Reels'!D100="magic"),CHOOSE('Reels'!D101+1,'Slots'!D29,'Slots'!D30,'Slots'!D31,'Slots'!D32,'Slots'!D33),0)</f>
        <v>4</v>
      </c>
      <c r="E446">
        <f>IF('Reels'!D72="heal",'Reels'!D73*'Slots'!D24,0)+IF('Reels'!D90="heal",'Reels'!D91*'Slots'!D24,0)+IF('Reels'!D100="heal",'Reels'!D101*'Slots'!D24,0)</f>
        <v>2</v>
      </c>
      <c r="F446">
        <f>IF('Reels'!D72="block",'Reels'!D73*'Slots'!D25,0)+IF('Reels'!D90="block",'Reels'!D91*'Slots'!D25,0)+IF('Reels'!D100="block",'Reels'!D101*'Slots'!D25,0)</f>
        <v>0</v>
      </c>
      <c r="G446" t="b">
        <f>AND('Reels'!D72&lt;&gt;"blank",'Reels'!D72&lt;&gt;"class",'Reels'!D72='Reels'!D100,'Reels'!D73='Reels'!D101,OR('Reels'!D90="class",AND('Reels'!D90='Reels'!D72,'Reels'!D91='Reels'!D73)))</f>
        <v>0</v>
      </c>
      <c r="H446">
        <f>IF(G446,C446,0)</f>
        <v>0</v>
      </c>
    </row>
    <row r="447" spans="1:8" x14ac:dyDescent="0.25">
      <c r="A447" t="s">
        <v>247</v>
      </c>
      <c r="B447" t="s">
        <v>3786</v>
      </c>
      <c r="C447" s="4">
        <f>('Reels'!D74/('Reels'!D62+'Reels'!D65+'Reels'!D68+'Reels'!D71+'Reels'!D74+'Reels'!D77))*('Reels'!D92/('Reels'!D80+'Reels'!D83+'Reels'!D86+'Reels'!D89+'Reels'!D92+'Reels'!D95+'Reels'!D98))*('Reels'!D105/('Reels'!D102+'Reels'!D105+'Reels'!D108+'Reels'!D111+'Reels'!D114+'Reels'!D117))</f>
        <v>0.0002805573739829795</v>
      </c>
      <c r="D447">
        <f>IF(OR('Reels'!D72="attack",'Reels'!D72="magic"),CHOOSE('Reels'!D73+1,'Slots'!D29,'Slots'!D30,'Slots'!D31,'Slots'!D32,'Slots'!D33),0)+IF(OR('Reels'!D90="attack",'Reels'!D90="magic"),CHOOSE('Reels'!D91+1,'Slots'!D29,'Slots'!D30,'Slots'!D31,'Slots'!D32,'Slots'!D33),0)+IF(OR('Reels'!D103="attack",'Reels'!D103="magic"),CHOOSE('Reels'!D104+1,'Slots'!D29,'Slots'!D30,'Slots'!D31,'Slots'!D32,'Slots'!D33),0)</f>
        <v>4</v>
      </c>
      <c r="E447">
        <f>IF('Reels'!D72="heal",'Reels'!D73*'Slots'!D24,0)+IF('Reels'!D90="heal",'Reels'!D91*'Slots'!D24,0)+IF('Reels'!D103="heal",'Reels'!D104*'Slots'!D24,0)</f>
        <v>4</v>
      </c>
      <c r="F447">
        <f>IF('Reels'!D72="block",'Reels'!D73*'Slots'!D25,0)+IF('Reels'!D90="block",'Reels'!D91*'Slots'!D25,0)+IF('Reels'!D103="block",'Reels'!D104*'Slots'!D25,0)</f>
        <v>0</v>
      </c>
      <c r="G447" t="b">
        <f>AND('Reels'!D72&lt;&gt;"blank",'Reels'!D72&lt;&gt;"class",'Reels'!D72='Reels'!D103,'Reels'!D73='Reels'!D104,OR('Reels'!D90="class",AND('Reels'!D90='Reels'!D72,'Reels'!D91='Reels'!D73)))</f>
        <v>0</v>
      </c>
      <c r="H447">
        <f>IF(G447,C447,0)</f>
        <v>0</v>
      </c>
    </row>
    <row r="448" spans="1:8" x14ac:dyDescent="0.25">
      <c r="A448" t="s">
        <v>247</v>
      </c>
      <c r="B448" t="s">
        <v>3787</v>
      </c>
      <c r="C448" s="4">
        <f>('Reels'!D74/('Reels'!D62+'Reels'!D65+'Reels'!D68+'Reels'!D71+'Reels'!D74+'Reels'!D77))*('Reels'!D92/('Reels'!D80+'Reels'!D83+'Reels'!D86+'Reels'!D89+'Reels'!D92+'Reels'!D95+'Reels'!D98))*('Reels'!D108/('Reels'!D102+'Reels'!D105+'Reels'!D108+'Reels'!D111+'Reels'!D114+'Reels'!D117))</f>
        <v>0.000046759562330496584</v>
      </c>
      <c r="D448">
        <f>IF(OR('Reels'!D72="attack",'Reels'!D72="magic"),CHOOSE('Reels'!D73+1,'Slots'!D29,'Slots'!D30,'Slots'!D31,'Slots'!D32,'Slots'!D33),0)+IF(OR('Reels'!D90="attack",'Reels'!D90="magic"),CHOOSE('Reels'!D91+1,'Slots'!D29,'Slots'!D30,'Slots'!D31,'Slots'!D32,'Slots'!D33),0)+IF(OR('Reels'!D106="attack",'Reels'!D106="magic"),CHOOSE('Reels'!D107+1,'Slots'!D29,'Slots'!D30,'Slots'!D31,'Slots'!D32,'Slots'!D33),0)</f>
        <v>4</v>
      </c>
      <c r="E448">
        <f>IF('Reels'!D72="heal",'Reels'!D73*'Slots'!D24,0)+IF('Reels'!D90="heal",'Reels'!D91*'Slots'!D24,0)+IF('Reels'!D106="heal",'Reels'!D107*'Slots'!D24,0)</f>
        <v>0</v>
      </c>
      <c r="F448">
        <f>IF('Reels'!D72="block",'Reels'!D73*'Slots'!D25,0)+IF('Reels'!D90="block",'Reels'!D91*'Slots'!D25,0)+IF('Reels'!D106="block",'Reels'!D107*'Slots'!D25,0)</f>
        <v>1</v>
      </c>
      <c r="G448" t="b">
        <f>AND('Reels'!D72&lt;&gt;"blank",'Reels'!D72&lt;&gt;"class",'Reels'!D72='Reels'!D106,'Reels'!D73='Reels'!D107,OR('Reels'!D90="class",AND('Reels'!D90='Reels'!D72,'Reels'!D91='Reels'!D73)))</f>
        <v>0</v>
      </c>
      <c r="H448">
        <f>IF(G448,C448,0)</f>
        <v>0</v>
      </c>
    </row>
    <row r="449" spans="1:8" x14ac:dyDescent="0.25">
      <c r="A449" t="s">
        <v>247</v>
      </c>
      <c r="B449" t="s">
        <v>3788</v>
      </c>
      <c r="C449" s="4">
        <f>('Reels'!D74/('Reels'!D62+'Reels'!D65+'Reels'!D68+'Reels'!D71+'Reels'!D74+'Reels'!D77))*('Reels'!D92/('Reels'!D80+'Reels'!D83+'Reels'!D86+'Reels'!D89+'Reels'!D92+'Reels'!D95+'Reels'!D98))*('Reels'!D111/('Reels'!D102+'Reels'!D105+'Reels'!D108+'Reels'!D111+'Reels'!D114+'Reels'!D117))</f>
        <v>0.000023379781165248292</v>
      </c>
      <c r="D449">
        <f>IF(OR('Reels'!D72="attack",'Reels'!D72="magic"),CHOOSE('Reels'!D73+1,'Slots'!D29,'Slots'!D30,'Slots'!D31,'Slots'!D32,'Slots'!D33),0)+IF(OR('Reels'!D90="attack",'Reels'!D90="magic"),CHOOSE('Reels'!D91+1,'Slots'!D29,'Slots'!D30,'Slots'!D31,'Slots'!D32,'Slots'!D33),0)+IF(OR('Reels'!D109="attack",'Reels'!D109="magic"),CHOOSE('Reels'!D110+1,'Slots'!D29,'Slots'!D30,'Slots'!D31,'Slots'!D32,'Slots'!D33),0)</f>
        <v>4</v>
      </c>
      <c r="E449">
        <f>IF('Reels'!D72="heal",'Reels'!D73*'Slots'!D24,0)+IF('Reels'!D90="heal",'Reels'!D91*'Slots'!D24,0)+IF('Reels'!D109="heal",'Reels'!D110*'Slots'!D24,0)</f>
        <v>0</v>
      </c>
      <c r="F449">
        <f>IF('Reels'!D72="block",'Reels'!D73*'Slots'!D25,0)+IF('Reels'!D90="block",'Reels'!D91*'Slots'!D25,0)+IF('Reels'!D109="block",'Reels'!D110*'Slots'!D25,0)</f>
        <v>0</v>
      </c>
      <c r="G449" t="b">
        <f>AND('Reels'!D72&lt;&gt;"blank",'Reels'!D72&lt;&gt;"class",'Reels'!D72='Reels'!D109,'Reels'!D73='Reels'!D110,OR('Reels'!D90="class",AND('Reels'!D90='Reels'!D72,'Reels'!D91='Reels'!D73)))</f>
        <v>0</v>
      </c>
      <c r="H449">
        <f>IF(G449,C449,0)</f>
        <v>0</v>
      </c>
    </row>
    <row r="450" spans="1:8" x14ac:dyDescent="0.25">
      <c r="A450" t="s">
        <v>247</v>
      </c>
      <c r="B450" t="s">
        <v>3789</v>
      </c>
      <c r="C450" s="4">
        <f>('Reels'!D74/('Reels'!D62+'Reels'!D65+'Reels'!D68+'Reels'!D71+'Reels'!D74+'Reels'!D77))*('Reels'!D92/('Reels'!D80+'Reels'!D83+'Reels'!D86+'Reels'!D89+'Reels'!D92+'Reels'!D95+'Reels'!D98))*('Reels'!D114/('Reels'!D102+'Reels'!D105+'Reels'!D108+'Reels'!D111+'Reels'!D114+'Reels'!D117))</f>
        <v>0.000023379781165248292</v>
      </c>
      <c r="D450">
        <f>IF(OR('Reels'!D72="attack",'Reels'!D72="magic"),CHOOSE('Reels'!D73+1,'Slots'!D29,'Slots'!D30,'Slots'!D31,'Slots'!D32,'Slots'!D33),0)+IF(OR('Reels'!D90="attack",'Reels'!D90="magic"),CHOOSE('Reels'!D91+1,'Slots'!D29,'Slots'!D30,'Slots'!D31,'Slots'!D32,'Slots'!D33),0)+IF(OR('Reels'!D112="attack",'Reels'!D112="magic"),CHOOSE('Reels'!D113+1,'Slots'!D29,'Slots'!D30,'Slots'!D31,'Slots'!D32,'Slots'!D33),0)</f>
        <v>6</v>
      </c>
      <c r="E450">
        <f>IF('Reels'!D72="heal",'Reels'!D73*'Slots'!D24,0)+IF('Reels'!D90="heal",'Reels'!D91*'Slots'!D24,0)+IF('Reels'!D112="heal",'Reels'!D113*'Slots'!D24,0)</f>
        <v>0</v>
      </c>
      <c r="F450">
        <f>IF('Reels'!D72="block",'Reels'!D73*'Slots'!D25,0)+IF('Reels'!D90="block",'Reels'!D91*'Slots'!D25,0)+IF('Reels'!D112="block",'Reels'!D113*'Slots'!D25,0)</f>
        <v>0</v>
      </c>
      <c r="G450" t="b">
        <f>AND('Reels'!D72&lt;&gt;"blank",'Reels'!D72&lt;&gt;"class",'Reels'!D72='Reels'!D112,'Reels'!D73='Reels'!D113,OR('Reels'!D90="class",AND('Reels'!D90='Reels'!D72,'Reels'!D91='Reels'!D73)))</f>
        <v>1</v>
      </c>
      <c r="H450">
        <f>IF(G450,C450,0)</f>
        <v>0.000023379781165248292</v>
      </c>
    </row>
    <row r="451" spans="1:8" x14ac:dyDescent="0.25">
      <c r="A451" t="s">
        <v>247</v>
      </c>
      <c r="B451" t="s">
        <v>3790</v>
      </c>
      <c r="C451" s="4">
        <f>('Reels'!D74/('Reels'!D62+'Reels'!D65+'Reels'!D68+'Reels'!D71+'Reels'!D74+'Reels'!D77))*('Reels'!D92/('Reels'!D80+'Reels'!D83+'Reels'!D86+'Reels'!D89+'Reels'!D92+'Reels'!D95+'Reels'!D98))*('Reels'!D117/('Reels'!D102+'Reels'!D105+'Reels'!D108+'Reels'!D111+'Reels'!D114+'Reels'!D117))</f>
        <v>0.00009351912466099317</v>
      </c>
      <c r="D451">
        <f>IF(OR('Reels'!D72="attack",'Reels'!D72="magic"),CHOOSE('Reels'!D73+1,'Slots'!D29,'Slots'!D30,'Slots'!D31,'Slots'!D32,'Slots'!D33),0)+IF(OR('Reels'!D90="attack",'Reels'!D90="magic"),CHOOSE('Reels'!D91+1,'Slots'!D29,'Slots'!D30,'Slots'!D31,'Slots'!D32,'Slots'!D33),0)+IF(OR('Reels'!D115="attack",'Reels'!D115="magic"),CHOOSE('Reels'!D116+1,'Slots'!D29,'Slots'!D30,'Slots'!D31,'Slots'!D32,'Slots'!D33),0)</f>
        <v>4</v>
      </c>
      <c r="E451">
        <f>IF('Reels'!D72="heal",'Reels'!D73*'Slots'!D24,0)+IF('Reels'!D90="heal",'Reels'!D91*'Slots'!D24,0)+IF('Reels'!D115="heal",'Reels'!D116*'Slots'!D24,0)</f>
        <v>0</v>
      </c>
      <c r="F451">
        <f>IF('Reels'!D72="block",'Reels'!D73*'Slots'!D25,0)+IF('Reels'!D90="block",'Reels'!D91*'Slots'!D25,0)+IF('Reels'!D115="block",'Reels'!D116*'Slots'!D25,0)</f>
        <v>0</v>
      </c>
      <c r="G451" t="b">
        <f>AND('Reels'!D72&lt;&gt;"blank",'Reels'!D72&lt;&gt;"class",'Reels'!D72='Reels'!D115,'Reels'!D73='Reels'!D116,OR('Reels'!D90="class",AND('Reels'!D90='Reels'!D72,'Reels'!D91='Reels'!D73)))</f>
        <v>0</v>
      </c>
      <c r="H451">
        <f>IF(G451,C451,0)</f>
        <v>0</v>
      </c>
    </row>
    <row r="452" spans="1:8" x14ac:dyDescent="0.25">
      <c r="A452" t="s">
        <v>247</v>
      </c>
      <c r="B452" t="s">
        <v>3791</v>
      </c>
      <c r="C452" s="4">
        <f>('Reels'!D74/('Reels'!D62+'Reels'!D65+'Reels'!D68+'Reels'!D71+'Reels'!D74+'Reels'!D77))*('Reels'!D95/('Reels'!D80+'Reels'!D83+'Reels'!D86+'Reels'!D89+'Reels'!D92+'Reels'!D95+'Reels'!D98))*('Reels'!D102/('Reels'!D102+'Reels'!D105+'Reels'!D108+'Reels'!D111+'Reels'!D114+'Reels'!D117))</f>
        <v>0.0013092677452539044</v>
      </c>
      <c r="D452">
        <f>IF(OR('Reels'!D72="attack",'Reels'!D72="magic"),CHOOSE('Reels'!D73+1,'Slots'!D29,'Slots'!D30,'Slots'!D31,'Slots'!D32,'Slots'!D33),0)+IF(OR('Reels'!D93="attack",'Reels'!D93="magic"),CHOOSE('Reels'!D94+1,'Slots'!D29,'Slots'!D30,'Slots'!D31,'Slots'!D32,'Slots'!D33),0)+IF(OR('Reels'!D100="attack",'Reels'!D100="magic"),CHOOSE('Reels'!D101+1,'Slots'!D29,'Slots'!D30,'Slots'!D31,'Slots'!D32,'Slots'!D33),0)</f>
        <v>2</v>
      </c>
      <c r="E452">
        <f>IF('Reels'!D72="heal",'Reels'!D73*'Slots'!D24,0)+IF('Reels'!D93="heal",'Reels'!D94*'Slots'!D24,0)+IF('Reels'!D100="heal",'Reels'!D101*'Slots'!D24,0)</f>
        <v>2</v>
      </c>
      <c r="F452">
        <f>IF('Reels'!D72="block",'Reels'!D73*'Slots'!D25,0)+IF('Reels'!D93="block",'Reels'!D94*'Slots'!D25,0)+IF('Reels'!D100="block",'Reels'!D101*'Slots'!D25,0)</f>
        <v>0</v>
      </c>
      <c r="G452" t="b">
        <f>AND('Reels'!D72&lt;&gt;"blank",'Reels'!D72&lt;&gt;"class",'Reels'!D72='Reels'!D100,'Reels'!D73='Reels'!D101,OR('Reels'!D93="class",AND('Reels'!D93='Reels'!D72,'Reels'!D94='Reels'!D73)))</f>
        <v>0</v>
      </c>
      <c r="H452">
        <f>IF(G452,C452,0)</f>
        <v>0</v>
      </c>
    </row>
    <row r="453" spans="1:8" x14ac:dyDescent="0.25">
      <c r="A453" t="s">
        <v>247</v>
      </c>
      <c r="B453" t="s">
        <v>3792</v>
      </c>
      <c r="C453" s="4">
        <f>('Reels'!D74/('Reels'!D62+'Reels'!D65+'Reels'!D68+'Reels'!D71+'Reels'!D74+'Reels'!D77))*('Reels'!D95/('Reels'!D80+'Reels'!D83+'Reels'!D86+'Reels'!D89+'Reels'!D92+'Reels'!D95+'Reels'!D98))*('Reels'!D105/('Reels'!D102+'Reels'!D105+'Reels'!D108+'Reels'!D111+'Reels'!D114+'Reels'!D117))</f>
        <v>0.001122229495931918</v>
      </c>
      <c r="D453">
        <f>IF(OR('Reels'!D72="attack",'Reels'!D72="magic"),CHOOSE('Reels'!D73+1,'Slots'!D29,'Slots'!D30,'Slots'!D31,'Slots'!D32,'Slots'!D33),0)+IF(OR('Reels'!D93="attack",'Reels'!D93="magic"),CHOOSE('Reels'!D94+1,'Slots'!D29,'Slots'!D30,'Slots'!D31,'Slots'!D32,'Slots'!D33),0)+IF(OR('Reels'!D103="attack",'Reels'!D103="magic"),CHOOSE('Reels'!D104+1,'Slots'!D29,'Slots'!D30,'Slots'!D31,'Slots'!D32,'Slots'!D33),0)</f>
        <v>2</v>
      </c>
      <c r="E453">
        <f>IF('Reels'!D72="heal",'Reels'!D73*'Slots'!D24,0)+IF('Reels'!D93="heal",'Reels'!D94*'Slots'!D24,0)+IF('Reels'!D103="heal",'Reels'!D104*'Slots'!D24,0)</f>
        <v>4</v>
      </c>
      <c r="F453">
        <f>IF('Reels'!D72="block",'Reels'!D73*'Slots'!D25,0)+IF('Reels'!D93="block",'Reels'!D94*'Slots'!D25,0)+IF('Reels'!D103="block",'Reels'!D104*'Slots'!D25,0)</f>
        <v>0</v>
      </c>
      <c r="G453" t="b">
        <f>AND('Reels'!D72&lt;&gt;"blank",'Reels'!D72&lt;&gt;"class",'Reels'!D72='Reels'!D103,'Reels'!D73='Reels'!D104,OR('Reels'!D93="class",AND('Reels'!D93='Reels'!D72,'Reels'!D94='Reels'!D73)))</f>
        <v>0</v>
      </c>
      <c r="H453">
        <f>IF(G453,C453,0)</f>
        <v>0</v>
      </c>
    </row>
    <row r="454" spans="1:8" x14ac:dyDescent="0.25">
      <c r="A454" t="s">
        <v>247</v>
      </c>
      <c r="B454" t="s">
        <v>3793</v>
      </c>
      <c r="C454" s="4">
        <f>('Reels'!D74/('Reels'!D62+'Reels'!D65+'Reels'!D68+'Reels'!D71+'Reels'!D74+'Reels'!D77))*('Reels'!D95/('Reels'!D80+'Reels'!D83+'Reels'!D86+'Reels'!D89+'Reels'!D92+'Reels'!D95+'Reels'!D98))*('Reels'!D108/('Reels'!D102+'Reels'!D105+'Reels'!D108+'Reels'!D111+'Reels'!D114+'Reels'!D117))</f>
        <v>0.00018703824932198634</v>
      </c>
      <c r="D454">
        <f>IF(OR('Reels'!D72="attack",'Reels'!D72="magic"),CHOOSE('Reels'!D73+1,'Slots'!D29,'Slots'!D30,'Slots'!D31,'Slots'!D32,'Slots'!D33),0)+IF(OR('Reels'!D93="attack",'Reels'!D93="magic"),CHOOSE('Reels'!D94+1,'Slots'!D29,'Slots'!D30,'Slots'!D31,'Slots'!D32,'Slots'!D33),0)+IF(OR('Reels'!D106="attack",'Reels'!D106="magic"),CHOOSE('Reels'!D107+1,'Slots'!D29,'Slots'!D30,'Slots'!D31,'Slots'!D32,'Slots'!D33),0)</f>
        <v>2</v>
      </c>
      <c r="E454">
        <f>IF('Reels'!D72="heal",'Reels'!D73*'Slots'!D24,0)+IF('Reels'!D93="heal",'Reels'!D94*'Slots'!D24,0)+IF('Reels'!D106="heal",'Reels'!D107*'Slots'!D24,0)</f>
        <v>0</v>
      </c>
      <c r="F454">
        <f>IF('Reels'!D72="block",'Reels'!D73*'Slots'!D25,0)+IF('Reels'!D93="block",'Reels'!D94*'Slots'!D25,0)+IF('Reels'!D106="block",'Reels'!D107*'Slots'!D25,0)</f>
        <v>1</v>
      </c>
      <c r="G454" t="b">
        <f>AND('Reels'!D72&lt;&gt;"blank",'Reels'!D72&lt;&gt;"class",'Reels'!D72='Reels'!D106,'Reels'!D73='Reels'!D107,OR('Reels'!D93="class",AND('Reels'!D93='Reels'!D72,'Reels'!D94='Reels'!D73)))</f>
        <v>0</v>
      </c>
      <c r="H454">
        <f>IF(G454,C454,0)</f>
        <v>0</v>
      </c>
    </row>
    <row r="455" spans="1:8" x14ac:dyDescent="0.25">
      <c r="A455" t="s">
        <v>247</v>
      </c>
      <c r="B455" t="s">
        <v>3794</v>
      </c>
      <c r="C455" s="4">
        <f>('Reels'!D74/('Reels'!D62+'Reels'!D65+'Reels'!D68+'Reels'!D71+'Reels'!D74+'Reels'!D77))*('Reels'!D95/('Reels'!D80+'Reels'!D83+'Reels'!D86+'Reels'!D89+'Reels'!D92+'Reels'!D95+'Reels'!D98))*('Reels'!D111/('Reels'!D102+'Reels'!D105+'Reels'!D108+'Reels'!D111+'Reels'!D114+'Reels'!D117))</f>
        <v>0.00009351912466099317</v>
      </c>
      <c r="D455">
        <f>IF(OR('Reels'!D72="attack",'Reels'!D72="magic"),CHOOSE('Reels'!D73+1,'Slots'!D29,'Slots'!D30,'Slots'!D31,'Slots'!D32,'Slots'!D33),0)+IF(OR('Reels'!D93="attack",'Reels'!D93="magic"),CHOOSE('Reels'!D94+1,'Slots'!D29,'Slots'!D30,'Slots'!D31,'Slots'!D32,'Slots'!D33),0)+IF(OR('Reels'!D109="attack",'Reels'!D109="magic"),CHOOSE('Reels'!D110+1,'Slots'!D29,'Slots'!D30,'Slots'!D31,'Slots'!D32,'Slots'!D33),0)</f>
        <v>2</v>
      </c>
      <c r="E455">
        <f>IF('Reels'!D72="heal",'Reels'!D73*'Slots'!D24,0)+IF('Reels'!D93="heal",'Reels'!D94*'Slots'!D24,0)+IF('Reels'!D109="heal",'Reels'!D110*'Slots'!D24,0)</f>
        <v>0</v>
      </c>
      <c r="F455">
        <f>IF('Reels'!D72="block",'Reels'!D73*'Slots'!D25,0)+IF('Reels'!D93="block",'Reels'!D94*'Slots'!D25,0)+IF('Reels'!D109="block",'Reels'!D110*'Slots'!D25,0)</f>
        <v>0</v>
      </c>
      <c r="G455" t="b">
        <f>AND('Reels'!D72&lt;&gt;"blank",'Reels'!D72&lt;&gt;"class",'Reels'!D72='Reels'!D109,'Reels'!D73='Reels'!D110,OR('Reels'!D93="class",AND('Reels'!D93='Reels'!D72,'Reels'!D94='Reels'!D73)))</f>
        <v>0</v>
      </c>
      <c r="H455">
        <f>IF(G455,C455,0)</f>
        <v>0</v>
      </c>
    </row>
    <row r="456" spans="1:8" x14ac:dyDescent="0.25">
      <c r="A456" t="s">
        <v>247</v>
      </c>
      <c r="B456" t="s">
        <v>3795</v>
      </c>
      <c r="C456" s="4">
        <f>('Reels'!D74/('Reels'!D62+'Reels'!D65+'Reels'!D68+'Reels'!D71+'Reels'!D74+'Reels'!D77))*('Reels'!D95/('Reels'!D80+'Reels'!D83+'Reels'!D86+'Reels'!D89+'Reels'!D92+'Reels'!D95+'Reels'!D98))*('Reels'!D114/('Reels'!D102+'Reels'!D105+'Reels'!D108+'Reels'!D111+'Reels'!D114+'Reels'!D117))</f>
        <v>0.00009351912466099317</v>
      </c>
      <c r="D456">
        <f>IF(OR('Reels'!D72="attack",'Reels'!D72="magic"),CHOOSE('Reels'!D73+1,'Slots'!D29,'Slots'!D30,'Slots'!D31,'Slots'!D32,'Slots'!D33),0)+IF(OR('Reels'!D93="attack",'Reels'!D93="magic"),CHOOSE('Reels'!D94+1,'Slots'!D29,'Slots'!D30,'Slots'!D31,'Slots'!D32,'Slots'!D33),0)+IF(OR('Reels'!D112="attack",'Reels'!D112="magic"),CHOOSE('Reels'!D113+1,'Slots'!D29,'Slots'!D30,'Slots'!D31,'Slots'!D32,'Slots'!D33),0)</f>
        <v>4</v>
      </c>
      <c r="E456">
        <f>IF('Reels'!D72="heal",'Reels'!D73*'Slots'!D24,0)+IF('Reels'!D93="heal",'Reels'!D94*'Slots'!D24,0)+IF('Reels'!D112="heal",'Reels'!D113*'Slots'!D24,0)</f>
        <v>0</v>
      </c>
      <c r="F456">
        <f>IF('Reels'!D72="block",'Reels'!D73*'Slots'!D25,0)+IF('Reels'!D93="block",'Reels'!D94*'Slots'!D25,0)+IF('Reels'!D112="block",'Reels'!D113*'Slots'!D25,0)</f>
        <v>0</v>
      </c>
      <c r="G456" t="b">
        <f>AND('Reels'!D72&lt;&gt;"blank",'Reels'!D72&lt;&gt;"class",'Reels'!D72='Reels'!D112,'Reels'!D73='Reels'!D113,OR('Reels'!D93="class",AND('Reels'!D93='Reels'!D72,'Reels'!D94='Reels'!D73)))</f>
        <v>0</v>
      </c>
      <c r="H456">
        <f>IF(G456,C456,0)</f>
        <v>0</v>
      </c>
    </row>
    <row r="457" spans="1:8" x14ac:dyDescent="0.25">
      <c r="A457" t="s">
        <v>247</v>
      </c>
      <c r="B457" t="s">
        <v>3796</v>
      </c>
      <c r="C457" s="4">
        <f>('Reels'!D74/('Reels'!D62+'Reels'!D65+'Reels'!D68+'Reels'!D71+'Reels'!D74+'Reels'!D77))*('Reels'!D95/('Reels'!D80+'Reels'!D83+'Reels'!D86+'Reels'!D89+'Reels'!D92+'Reels'!D95+'Reels'!D98))*('Reels'!D117/('Reels'!D102+'Reels'!D105+'Reels'!D108+'Reels'!D111+'Reels'!D114+'Reels'!D117))</f>
        <v>0.00037407649864397267</v>
      </c>
      <c r="D457">
        <f>IF(OR('Reels'!D72="attack",'Reels'!D72="magic"),CHOOSE('Reels'!D73+1,'Slots'!D29,'Slots'!D30,'Slots'!D31,'Slots'!D32,'Slots'!D33),0)+IF(OR('Reels'!D93="attack",'Reels'!D93="magic"),CHOOSE('Reels'!D94+1,'Slots'!D29,'Slots'!D30,'Slots'!D31,'Slots'!D32,'Slots'!D33),0)+IF(OR('Reels'!D115="attack",'Reels'!D115="magic"),CHOOSE('Reels'!D116+1,'Slots'!D29,'Slots'!D30,'Slots'!D31,'Slots'!D32,'Slots'!D33),0)</f>
        <v>2</v>
      </c>
      <c r="E457">
        <f>IF('Reels'!D72="heal",'Reels'!D73*'Slots'!D24,0)+IF('Reels'!D93="heal",'Reels'!D94*'Slots'!D24,0)+IF('Reels'!D115="heal",'Reels'!D116*'Slots'!D24,0)</f>
        <v>0</v>
      </c>
      <c r="F457">
        <f>IF('Reels'!D72="block",'Reels'!D73*'Slots'!D25,0)+IF('Reels'!D93="block",'Reels'!D94*'Slots'!D25,0)+IF('Reels'!D115="block",'Reels'!D116*'Slots'!D25,0)</f>
        <v>0</v>
      </c>
      <c r="G457" t="b">
        <f>AND('Reels'!D72&lt;&gt;"blank",'Reels'!D72&lt;&gt;"class",'Reels'!D72='Reels'!D115,'Reels'!D73='Reels'!D116,OR('Reels'!D93="class",AND('Reels'!D93='Reels'!D72,'Reels'!D94='Reels'!D73)))</f>
        <v>0</v>
      </c>
      <c r="H457">
        <f>IF(G457,C457,0)</f>
        <v>0</v>
      </c>
    </row>
    <row r="458" spans="1:8" x14ac:dyDescent="0.25">
      <c r="A458" t="s">
        <v>247</v>
      </c>
      <c r="B458" t="s">
        <v>3797</v>
      </c>
      <c r="C458" s="4">
        <f>('Reels'!D74/('Reels'!D62+'Reels'!D65+'Reels'!D68+'Reels'!D71+'Reels'!D74+'Reels'!D77))*('Reels'!D98/('Reels'!D80+'Reels'!D83+'Reels'!D86+'Reels'!D89+'Reels'!D92+'Reels'!D95+'Reels'!D98))*('Reels'!D102/('Reels'!D102+'Reels'!D105+'Reels'!D108+'Reels'!D111+'Reels'!D114+'Reels'!D117))</f>
        <v>0.0009819508089404284</v>
      </c>
      <c r="D458">
        <f>IF(OR('Reels'!D72="attack",'Reels'!D72="magic"),CHOOSE('Reels'!D73+1,'Slots'!D29,'Slots'!D30,'Slots'!D31,'Slots'!D32,'Slots'!D33),0)+IF(OR('Reels'!D96="attack",'Reels'!D96="magic"),CHOOSE('Reels'!D97+1,'Slots'!D29,'Slots'!D30,'Slots'!D31,'Slots'!D32,'Slots'!D33),0)+IF(OR('Reels'!D100="attack",'Reels'!D100="magic"),CHOOSE('Reels'!D101+1,'Slots'!D29,'Slots'!D30,'Slots'!D31,'Slots'!D32,'Slots'!D33),0)</f>
        <v>2</v>
      </c>
      <c r="E458">
        <f>IF('Reels'!D72="heal",'Reels'!D73*'Slots'!D24,0)+IF('Reels'!D96="heal",'Reels'!D97*'Slots'!D24,0)+IF('Reels'!D100="heal",'Reels'!D101*'Slots'!D24,0)</f>
        <v>2</v>
      </c>
      <c r="F458">
        <f>IF('Reels'!D72="block",'Reels'!D73*'Slots'!D25,0)+IF('Reels'!D96="block",'Reels'!D97*'Slots'!D25,0)+IF('Reels'!D100="block",'Reels'!D101*'Slots'!D25,0)</f>
        <v>0</v>
      </c>
      <c r="G458" t="b">
        <f>AND('Reels'!D72&lt;&gt;"blank",'Reels'!D72&lt;&gt;"class",'Reels'!D72='Reels'!D100,'Reels'!D73='Reels'!D101,OR('Reels'!D96="class",AND('Reels'!D96='Reels'!D72,'Reels'!D97='Reels'!D73)))</f>
        <v>0</v>
      </c>
      <c r="H458">
        <f>IF(G458,C458,0)</f>
        <v>0</v>
      </c>
    </row>
    <row r="459" spans="1:8" x14ac:dyDescent="0.25">
      <c r="A459" t="s">
        <v>247</v>
      </c>
      <c r="B459" t="s">
        <v>3798</v>
      </c>
      <c r="C459" s="4">
        <f>('Reels'!D74/('Reels'!D62+'Reels'!D65+'Reels'!D68+'Reels'!D71+'Reels'!D74+'Reels'!D77))*('Reels'!D98/('Reels'!D80+'Reels'!D83+'Reels'!D86+'Reels'!D89+'Reels'!D92+'Reels'!D95+'Reels'!D98))*('Reels'!D105/('Reels'!D102+'Reels'!D105+'Reels'!D108+'Reels'!D111+'Reels'!D114+'Reels'!D117))</f>
        <v>0.0008416721219489385</v>
      </c>
      <c r="D459">
        <f>IF(OR('Reels'!D72="attack",'Reels'!D72="magic"),CHOOSE('Reels'!D73+1,'Slots'!D29,'Slots'!D30,'Slots'!D31,'Slots'!D32,'Slots'!D33),0)+IF(OR('Reels'!D96="attack",'Reels'!D96="magic"),CHOOSE('Reels'!D97+1,'Slots'!D29,'Slots'!D30,'Slots'!D31,'Slots'!D32,'Slots'!D33),0)+IF(OR('Reels'!D103="attack",'Reels'!D103="magic"),CHOOSE('Reels'!D104+1,'Slots'!D29,'Slots'!D30,'Slots'!D31,'Slots'!D32,'Slots'!D33),0)</f>
        <v>2</v>
      </c>
      <c r="E459">
        <f>IF('Reels'!D72="heal",'Reels'!D73*'Slots'!D24,0)+IF('Reels'!D96="heal",'Reels'!D97*'Slots'!D24,0)+IF('Reels'!D103="heal",'Reels'!D104*'Slots'!D24,0)</f>
        <v>4</v>
      </c>
      <c r="F459">
        <f>IF('Reels'!D72="block",'Reels'!D73*'Slots'!D25,0)+IF('Reels'!D96="block",'Reels'!D97*'Slots'!D25,0)+IF('Reels'!D103="block",'Reels'!D104*'Slots'!D25,0)</f>
        <v>0</v>
      </c>
      <c r="G459" t="b">
        <f>AND('Reels'!D72&lt;&gt;"blank",'Reels'!D72&lt;&gt;"class",'Reels'!D72='Reels'!D103,'Reels'!D73='Reels'!D104,OR('Reels'!D96="class",AND('Reels'!D96='Reels'!D72,'Reels'!D97='Reels'!D73)))</f>
        <v>0</v>
      </c>
      <c r="H459">
        <f>IF(G459,C459,0)</f>
        <v>0</v>
      </c>
    </row>
    <row r="460" spans="1:8" x14ac:dyDescent="0.25">
      <c r="A460" t="s">
        <v>247</v>
      </c>
      <c r="B460" t="s">
        <v>3799</v>
      </c>
      <c r="C460" s="4">
        <f>('Reels'!D74/('Reels'!D62+'Reels'!D65+'Reels'!D68+'Reels'!D71+'Reels'!D74+'Reels'!D77))*('Reels'!D98/('Reels'!D80+'Reels'!D83+'Reels'!D86+'Reels'!D89+'Reels'!D92+'Reels'!D95+'Reels'!D98))*('Reels'!D108/('Reels'!D102+'Reels'!D105+'Reels'!D108+'Reels'!D111+'Reels'!D114+'Reels'!D117))</f>
        <v>0.00014027868699148974</v>
      </c>
      <c r="D460">
        <f>IF(OR('Reels'!D72="attack",'Reels'!D72="magic"),CHOOSE('Reels'!D73+1,'Slots'!D29,'Slots'!D30,'Slots'!D31,'Slots'!D32,'Slots'!D33),0)+IF(OR('Reels'!D96="attack",'Reels'!D96="magic"),CHOOSE('Reels'!D97+1,'Slots'!D29,'Slots'!D30,'Slots'!D31,'Slots'!D32,'Slots'!D33),0)+IF(OR('Reels'!D106="attack",'Reels'!D106="magic"),CHOOSE('Reels'!D107+1,'Slots'!D29,'Slots'!D30,'Slots'!D31,'Slots'!D32,'Slots'!D33),0)</f>
        <v>2</v>
      </c>
      <c r="E460">
        <f>IF('Reels'!D72="heal",'Reels'!D73*'Slots'!D24,0)+IF('Reels'!D96="heal",'Reels'!D97*'Slots'!D24,0)+IF('Reels'!D106="heal",'Reels'!D107*'Slots'!D24,0)</f>
        <v>0</v>
      </c>
      <c r="F460">
        <f>IF('Reels'!D72="block",'Reels'!D73*'Slots'!D25,0)+IF('Reels'!D96="block",'Reels'!D97*'Slots'!D25,0)+IF('Reels'!D106="block",'Reels'!D107*'Slots'!D25,0)</f>
        <v>1</v>
      </c>
      <c r="G460" t="b">
        <f>AND('Reels'!D72&lt;&gt;"blank",'Reels'!D72&lt;&gt;"class",'Reels'!D72='Reels'!D106,'Reels'!D73='Reels'!D107,OR('Reels'!D96="class",AND('Reels'!D96='Reels'!D72,'Reels'!D97='Reels'!D73)))</f>
        <v>0</v>
      </c>
      <c r="H460">
        <f>IF(G460,C460,0)</f>
        <v>0</v>
      </c>
    </row>
    <row r="461" spans="1:8" x14ac:dyDescent="0.25">
      <c r="A461" t="s">
        <v>247</v>
      </c>
      <c r="B461" t="s">
        <v>3800</v>
      </c>
      <c r="C461" s="4">
        <f>('Reels'!D74/('Reels'!D62+'Reels'!D65+'Reels'!D68+'Reels'!D71+'Reels'!D74+'Reels'!D77))*('Reels'!D98/('Reels'!D80+'Reels'!D83+'Reels'!D86+'Reels'!D89+'Reels'!D92+'Reels'!D95+'Reels'!D98))*('Reels'!D111/('Reels'!D102+'Reels'!D105+'Reels'!D108+'Reels'!D111+'Reels'!D114+'Reels'!D117))</f>
        <v>0.00007013934349574487</v>
      </c>
      <c r="D461">
        <f>IF(OR('Reels'!D72="attack",'Reels'!D72="magic"),CHOOSE('Reels'!D73+1,'Slots'!D29,'Slots'!D30,'Slots'!D31,'Slots'!D32,'Slots'!D33),0)+IF(OR('Reels'!D96="attack",'Reels'!D96="magic"),CHOOSE('Reels'!D97+1,'Slots'!D29,'Slots'!D30,'Slots'!D31,'Slots'!D32,'Slots'!D33),0)+IF(OR('Reels'!D109="attack",'Reels'!D109="magic"),CHOOSE('Reels'!D110+1,'Slots'!D29,'Slots'!D30,'Slots'!D31,'Slots'!D32,'Slots'!D33),0)</f>
        <v>2</v>
      </c>
      <c r="E461">
        <f>IF('Reels'!D72="heal",'Reels'!D73*'Slots'!D24,0)+IF('Reels'!D96="heal",'Reels'!D97*'Slots'!D24,0)+IF('Reels'!D109="heal",'Reels'!D110*'Slots'!D24,0)</f>
        <v>0</v>
      </c>
      <c r="F461">
        <f>IF('Reels'!D72="block",'Reels'!D73*'Slots'!D25,0)+IF('Reels'!D96="block",'Reels'!D97*'Slots'!D25,0)+IF('Reels'!D109="block",'Reels'!D110*'Slots'!D25,0)</f>
        <v>0</v>
      </c>
      <c r="G461" t="b">
        <f>AND('Reels'!D72&lt;&gt;"blank",'Reels'!D72&lt;&gt;"class",'Reels'!D72='Reels'!D109,'Reels'!D73='Reels'!D110,OR('Reels'!D96="class",AND('Reels'!D96='Reels'!D72,'Reels'!D97='Reels'!D73)))</f>
        <v>0</v>
      </c>
      <c r="H461">
        <f>IF(G461,C461,0)</f>
        <v>0</v>
      </c>
    </row>
    <row r="462" spans="1:8" x14ac:dyDescent="0.25">
      <c r="A462" t="s">
        <v>247</v>
      </c>
      <c r="B462" t="s">
        <v>3801</v>
      </c>
      <c r="C462" s="4">
        <f>('Reels'!D74/('Reels'!D62+'Reels'!D65+'Reels'!D68+'Reels'!D71+'Reels'!D74+'Reels'!D77))*('Reels'!D98/('Reels'!D80+'Reels'!D83+'Reels'!D86+'Reels'!D89+'Reels'!D92+'Reels'!D95+'Reels'!D98))*('Reels'!D114/('Reels'!D102+'Reels'!D105+'Reels'!D108+'Reels'!D111+'Reels'!D114+'Reels'!D117))</f>
        <v>0.00007013934349574487</v>
      </c>
      <c r="D462">
        <f>IF(OR('Reels'!D72="attack",'Reels'!D72="magic"),CHOOSE('Reels'!D73+1,'Slots'!D29,'Slots'!D30,'Slots'!D31,'Slots'!D32,'Slots'!D33),0)+IF(OR('Reels'!D96="attack",'Reels'!D96="magic"),CHOOSE('Reels'!D97+1,'Slots'!D29,'Slots'!D30,'Slots'!D31,'Slots'!D32,'Slots'!D33),0)+IF(OR('Reels'!D112="attack",'Reels'!D112="magic"),CHOOSE('Reels'!D113+1,'Slots'!D29,'Slots'!D30,'Slots'!D31,'Slots'!D32,'Slots'!D33),0)</f>
        <v>4</v>
      </c>
      <c r="E462">
        <f>IF('Reels'!D72="heal",'Reels'!D73*'Slots'!D24,0)+IF('Reels'!D96="heal",'Reels'!D97*'Slots'!D24,0)+IF('Reels'!D112="heal",'Reels'!D113*'Slots'!D24,0)</f>
        <v>0</v>
      </c>
      <c r="F462">
        <f>IF('Reels'!D72="block",'Reels'!D73*'Slots'!D25,0)+IF('Reels'!D96="block",'Reels'!D97*'Slots'!D25,0)+IF('Reels'!D112="block",'Reels'!D113*'Slots'!D25,0)</f>
        <v>0</v>
      </c>
      <c r="G462" t="b">
        <f>AND('Reels'!D72&lt;&gt;"blank",'Reels'!D72&lt;&gt;"class",'Reels'!D72='Reels'!D112,'Reels'!D73='Reels'!D113,OR('Reels'!D96="class",AND('Reels'!D96='Reels'!D72,'Reels'!D97='Reels'!D73)))</f>
        <v>1</v>
      </c>
      <c r="H462">
        <f>IF(G462,C462,0)</f>
        <v>0.00007013934349574487</v>
      </c>
    </row>
    <row r="463" spans="1:8" x14ac:dyDescent="0.25">
      <c r="A463" t="s">
        <v>247</v>
      </c>
      <c r="B463" t="s">
        <v>3802</v>
      </c>
      <c r="C463" s="4">
        <f>('Reels'!D74/('Reels'!D62+'Reels'!D65+'Reels'!D68+'Reels'!D71+'Reels'!D74+'Reels'!D77))*('Reels'!D98/('Reels'!D80+'Reels'!D83+'Reels'!D86+'Reels'!D89+'Reels'!D92+'Reels'!D95+'Reels'!D98))*('Reels'!D117/('Reels'!D102+'Reels'!D105+'Reels'!D108+'Reels'!D111+'Reels'!D114+'Reels'!D117))</f>
        <v>0.0002805573739829795</v>
      </c>
      <c r="D463">
        <f>IF(OR('Reels'!D72="attack",'Reels'!D72="magic"),CHOOSE('Reels'!D73+1,'Slots'!D29,'Slots'!D30,'Slots'!D31,'Slots'!D32,'Slots'!D33),0)+IF(OR('Reels'!D96="attack",'Reels'!D96="magic"),CHOOSE('Reels'!D97+1,'Slots'!D29,'Slots'!D30,'Slots'!D31,'Slots'!D32,'Slots'!D33),0)+IF(OR('Reels'!D115="attack",'Reels'!D115="magic"),CHOOSE('Reels'!D116+1,'Slots'!D29,'Slots'!D30,'Slots'!D31,'Slots'!D32,'Slots'!D33),0)</f>
        <v>2</v>
      </c>
      <c r="E463">
        <f>IF('Reels'!D72="heal",'Reels'!D73*'Slots'!D24,0)+IF('Reels'!D96="heal",'Reels'!D97*'Slots'!D24,0)+IF('Reels'!D115="heal",'Reels'!D116*'Slots'!D24,0)</f>
        <v>0</v>
      </c>
      <c r="F463">
        <f>IF('Reels'!D72="block",'Reels'!D73*'Slots'!D25,0)+IF('Reels'!D96="block",'Reels'!D97*'Slots'!D25,0)+IF('Reels'!D115="block",'Reels'!D116*'Slots'!D25,0)</f>
        <v>0</v>
      </c>
      <c r="G463" t="b">
        <f>AND('Reels'!D72&lt;&gt;"blank",'Reels'!D72&lt;&gt;"class",'Reels'!D72='Reels'!D115,'Reels'!D73='Reels'!D116,OR('Reels'!D96="class",AND('Reels'!D96='Reels'!D72,'Reels'!D97='Reels'!D73)))</f>
        <v>0</v>
      </c>
      <c r="H463">
        <f>IF(G463,C463,0)</f>
        <v>0</v>
      </c>
    </row>
    <row r="464" spans="1:8" x14ac:dyDescent="0.25">
      <c r="A464" t="s">
        <v>247</v>
      </c>
      <c r="B464" t="s">
        <v>3603</v>
      </c>
      <c r="C464" s="4">
        <f>('Reels'!D77/('Reels'!D62+'Reels'!D65+'Reels'!D68+'Reels'!D71+'Reels'!D74+'Reels'!D77))*('Reels'!D80/('Reels'!D80+'Reels'!D83+'Reels'!D86+'Reels'!D89+'Reels'!D92+'Reels'!D95+'Reels'!D98))*('Reels'!D102/('Reels'!D102+'Reels'!D105+'Reels'!D108+'Reels'!D111+'Reels'!D114+'Reels'!D117))</f>
        <v>0.01832974843355466</v>
      </c>
      <c r="D464">
        <f>IF(OR('Reels'!D75="attack",'Reels'!D75="magic"),CHOOSE('Reels'!D76+1,'Slots'!D29,'Slots'!D30,'Slots'!D31,'Slots'!D32,'Slots'!D33),0)+IF(OR('Reels'!D78="attack",'Reels'!D78="magic"),CHOOSE('Reels'!D79+1,'Slots'!D29,'Slots'!D30,'Slots'!D31,'Slots'!D32,'Slots'!D33),0)+IF(OR('Reels'!D100="attack",'Reels'!D100="magic"),CHOOSE('Reels'!D101+1,'Slots'!D29,'Slots'!D30,'Slots'!D31,'Slots'!D32,'Slots'!D33),0)</f>
        <v>0</v>
      </c>
      <c r="E464">
        <f>IF('Reels'!D75="heal",'Reels'!D76*'Slots'!D24,0)+IF('Reels'!D78="heal",'Reels'!D79*'Slots'!D24,0)+IF('Reels'!D100="heal",'Reels'!D101*'Slots'!D24,0)</f>
        <v>4</v>
      </c>
      <c r="F464">
        <f>IF('Reels'!D75="block",'Reels'!D76*'Slots'!D25,0)+IF('Reels'!D78="block",'Reels'!D79*'Slots'!D25,0)+IF('Reels'!D100="block",'Reels'!D101*'Slots'!D25,0)</f>
        <v>0</v>
      </c>
      <c r="G464" t="b">
        <f>AND('Reels'!D75&lt;&gt;"blank",'Reels'!D75&lt;&gt;"class",'Reels'!D75='Reels'!D100,'Reels'!D76='Reels'!D101,OR('Reels'!D78="class",AND('Reels'!D78='Reels'!D75,'Reels'!D79='Reels'!D76)))</f>
        <v>0</v>
      </c>
      <c r="H464">
        <f>IF(G464,C464,0)</f>
        <v>0</v>
      </c>
    </row>
    <row r="465" spans="1:8" x14ac:dyDescent="0.25">
      <c r="A465" t="s">
        <v>247</v>
      </c>
      <c r="B465" t="s">
        <v>3803</v>
      </c>
      <c r="C465" s="4">
        <f>('Reels'!D77/('Reels'!D62+'Reels'!D65+'Reels'!D68+'Reels'!D71+'Reels'!D74+'Reels'!D77))*('Reels'!D80/('Reels'!D80+'Reels'!D83+'Reels'!D86+'Reels'!D89+'Reels'!D92+'Reels'!D95+'Reels'!D98))*('Reels'!D105/('Reels'!D102+'Reels'!D105+'Reels'!D108+'Reels'!D111+'Reels'!D114+'Reels'!D117))</f>
        <v>0.015711212943046855</v>
      </c>
      <c r="D465">
        <f>IF(OR('Reels'!D75="attack",'Reels'!D75="magic"),CHOOSE('Reels'!D76+1,'Slots'!D29,'Slots'!D30,'Slots'!D31,'Slots'!D32,'Slots'!D33),0)+IF(OR('Reels'!D78="attack",'Reels'!D78="magic"),CHOOSE('Reels'!D79+1,'Slots'!D29,'Slots'!D30,'Slots'!D31,'Slots'!D32,'Slots'!D33),0)+IF(OR('Reels'!D103="attack",'Reels'!D103="magic"),CHOOSE('Reels'!D104+1,'Slots'!D29,'Slots'!D30,'Slots'!D31,'Slots'!D32,'Slots'!D33),0)</f>
        <v>0</v>
      </c>
      <c r="E465">
        <f>IF('Reels'!D75="heal",'Reels'!D76*'Slots'!D24,0)+IF('Reels'!D78="heal",'Reels'!D79*'Slots'!D24,0)+IF('Reels'!D103="heal",'Reels'!D104*'Slots'!D24,0)</f>
        <v>6</v>
      </c>
      <c r="F465">
        <f>IF('Reels'!D75="block",'Reels'!D76*'Slots'!D25,0)+IF('Reels'!D78="block",'Reels'!D79*'Slots'!D25,0)+IF('Reels'!D103="block",'Reels'!D104*'Slots'!D25,0)</f>
        <v>0</v>
      </c>
      <c r="G465" t="b">
        <f>AND('Reels'!D75&lt;&gt;"blank",'Reels'!D75&lt;&gt;"class",'Reels'!D75='Reels'!D103,'Reels'!D76='Reels'!D104,OR('Reels'!D78="class",AND('Reels'!D78='Reels'!D75,'Reels'!D79='Reels'!D76)))</f>
        <v>0</v>
      </c>
      <c r="H465">
        <f>IF(G465,C465,0)</f>
        <v>0</v>
      </c>
    </row>
    <row r="466" spans="1:8" x14ac:dyDescent="0.25">
      <c r="A466" t="s">
        <v>247</v>
      </c>
      <c r="B466" t="s">
        <v>3601</v>
      </c>
      <c r="C466" s="4">
        <f>('Reels'!D77/('Reels'!D62+'Reels'!D65+'Reels'!D68+'Reels'!D71+'Reels'!D74+'Reels'!D77))*('Reels'!D80/('Reels'!D80+'Reels'!D83+'Reels'!D86+'Reels'!D89+'Reels'!D92+'Reels'!D95+'Reels'!D98))*('Reels'!D108/('Reels'!D102+'Reels'!D105+'Reels'!D108+'Reels'!D111+'Reels'!D114+'Reels'!D117))</f>
        <v>0.002618535490507809</v>
      </c>
      <c r="D466">
        <f>IF(OR('Reels'!D75="attack",'Reels'!D75="magic"),CHOOSE('Reels'!D76+1,'Slots'!D29,'Slots'!D30,'Slots'!D31,'Slots'!D32,'Slots'!D33),0)+IF(OR('Reels'!D78="attack",'Reels'!D78="magic"),CHOOSE('Reels'!D79+1,'Slots'!D29,'Slots'!D30,'Slots'!D31,'Slots'!D32,'Slots'!D33),0)+IF(OR('Reels'!D106="attack",'Reels'!D106="magic"),CHOOSE('Reels'!D107+1,'Slots'!D29,'Slots'!D30,'Slots'!D31,'Slots'!D32,'Slots'!D33),0)</f>
        <v>0</v>
      </c>
      <c r="E466">
        <f>IF('Reels'!D75="heal",'Reels'!D76*'Slots'!D24,0)+IF('Reels'!D78="heal",'Reels'!D79*'Slots'!D24,0)+IF('Reels'!D106="heal",'Reels'!D107*'Slots'!D24,0)</f>
        <v>2</v>
      </c>
      <c r="F466">
        <f>IF('Reels'!D75="block",'Reels'!D76*'Slots'!D25,0)+IF('Reels'!D78="block",'Reels'!D79*'Slots'!D25,0)+IF('Reels'!D106="block",'Reels'!D107*'Slots'!D25,0)</f>
        <v>1</v>
      </c>
      <c r="G466" t="b">
        <f>AND('Reels'!D75&lt;&gt;"blank",'Reels'!D75&lt;&gt;"class",'Reels'!D75='Reels'!D106,'Reels'!D76='Reels'!D107,OR('Reels'!D78="class",AND('Reels'!D78='Reels'!D75,'Reels'!D79='Reels'!D76)))</f>
        <v>0</v>
      </c>
      <c r="H466">
        <f>IF(G466,C466,0)</f>
        <v>0</v>
      </c>
    </row>
    <row r="467" spans="1:8" x14ac:dyDescent="0.25">
      <c r="A467" t="s">
        <v>247</v>
      </c>
      <c r="B467" t="s">
        <v>3804</v>
      </c>
      <c r="C467" s="4">
        <f>('Reels'!D77/('Reels'!D62+'Reels'!D65+'Reels'!D68+'Reels'!D71+'Reels'!D74+'Reels'!D77))*('Reels'!D80/('Reels'!D80+'Reels'!D83+'Reels'!D86+'Reels'!D89+'Reels'!D92+'Reels'!D95+'Reels'!D98))*('Reels'!D111/('Reels'!D102+'Reels'!D105+'Reels'!D108+'Reels'!D111+'Reels'!D114+'Reels'!D117))</f>
        <v>0.0013092677452539044</v>
      </c>
      <c r="D467">
        <f>IF(OR('Reels'!D75="attack",'Reels'!D75="magic"),CHOOSE('Reels'!D76+1,'Slots'!D29,'Slots'!D30,'Slots'!D31,'Slots'!D32,'Slots'!D33),0)+IF(OR('Reels'!D78="attack",'Reels'!D78="magic"),CHOOSE('Reels'!D79+1,'Slots'!D29,'Slots'!D30,'Slots'!D31,'Slots'!D32,'Slots'!D33),0)+IF(OR('Reels'!D109="attack",'Reels'!D109="magic"),CHOOSE('Reels'!D110+1,'Slots'!D29,'Slots'!D30,'Slots'!D31,'Slots'!D32,'Slots'!D33),0)</f>
        <v>0</v>
      </c>
      <c r="E467">
        <f>IF('Reels'!D75="heal",'Reels'!D76*'Slots'!D24,0)+IF('Reels'!D78="heal",'Reels'!D79*'Slots'!D24,0)+IF('Reels'!D109="heal",'Reels'!D110*'Slots'!D24,0)</f>
        <v>2</v>
      </c>
      <c r="F467">
        <f>IF('Reels'!D75="block",'Reels'!D76*'Slots'!D25,0)+IF('Reels'!D78="block",'Reels'!D79*'Slots'!D25,0)+IF('Reels'!D109="block",'Reels'!D110*'Slots'!D25,0)</f>
        <v>0</v>
      </c>
      <c r="G467" t="b">
        <f>AND('Reels'!D75&lt;&gt;"blank",'Reels'!D75&lt;&gt;"class",'Reels'!D75='Reels'!D109,'Reels'!D76='Reels'!D110,OR('Reels'!D78="class",AND('Reels'!D78='Reels'!D75,'Reels'!D79='Reels'!D76)))</f>
        <v>0</v>
      </c>
      <c r="H467">
        <f>IF(G467,C467,0)</f>
        <v>0</v>
      </c>
    </row>
    <row r="468" spans="1:8" x14ac:dyDescent="0.25">
      <c r="A468" t="s">
        <v>247</v>
      </c>
      <c r="B468" t="s">
        <v>3805</v>
      </c>
      <c r="C468" s="4">
        <f>('Reels'!D77/('Reels'!D62+'Reels'!D65+'Reels'!D68+'Reels'!D71+'Reels'!D74+'Reels'!D77))*('Reels'!D80/('Reels'!D80+'Reels'!D83+'Reels'!D86+'Reels'!D89+'Reels'!D92+'Reels'!D95+'Reels'!D98))*('Reels'!D114/('Reels'!D102+'Reels'!D105+'Reels'!D108+'Reels'!D111+'Reels'!D114+'Reels'!D117))</f>
        <v>0.0013092677452539044</v>
      </c>
      <c r="D468">
        <f>IF(OR('Reels'!D75="attack",'Reels'!D75="magic"),CHOOSE('Reels'!D76+1,'Slots'!D29,'Slots'!D30,'Slots'!D31,'Slots'!D32,'Slots'!D33),0)+IF(OR('Reels'!D78="attack",'Reels'!D78="magic"),CHOOSE('Reels'!D79+1,'Slots'!D29,'Slots'!D30,'Slots'!D31,'Slots'!D32,'Slots'!D33),0)+IF(OR('Reels'!D112="attack",'Reels'!D112="magic"),CHOOSE('Reels'!D113+1,'Slots'!D29,'Slots'!D30,'Slots'!D31,'Slots'!D32,'Slots'!D33),0)</f>
        <v>2</v>
      </c>
      <c r="E468">
        <f>IF('Reels'!D75="heal",'Reels'!D76*'Slots'!D24,0)+IF('Reels'!D78="heal",'Reels'!D79*'Slots'!D24,0)+IF('Reels'!D112="heal",'Reels'!D113*'Slots'!D24,0)</f>
        <v>2</v>
      </c>
      <c r="F468">
        <f>IF('Reels'!D75="block",'Reels'!D76*'Slots'!D25,0)+IF('Reels'!D78="block",'Reels'!D79*'Slots'!D25,0)+IF('Reels'!D112="block",'Reels'!D113*'Slots'!D25,0)</f>
        <v>0</v>
      </c>
      <c r="G468" t="b">
        <f>AND('Reels'!D75&lt;&gt;"blank",'Reels'!D75&lt;&gt;"class",'Reels'!D75='Reels'!D112,'Reels'!D76='Reels'!D113,OR('Reels'!D78="class",AND('Reels'!D78='Reels'!D75,'Reels'!D79='Reels'!D76)))</f>
        <v>0</v>
      </c>
      <c r="H468">
        <f>IF(G468,C468,0)</f>
        <v>0</v>
      </c>
    </row>
    <row r="469" spans="1:8" x14ac:dyDescent="0.25">
      <c r="A469" t="s">
        <v>247</v>
      </c>
      <c r="B469" t="s">
        <v>3604</v>
      </c>
      <c r="C469" s="4">
        <f>('Reels'!D77/('Reels'!D62+'Reels'!D65+'Reels'!D68+'Reels'!D71+'Reels'!D74+'Reels'!D77))*('Reels'!D80/('Reels'!D80+'Reels'!D83+'Reels'!D86+'Reels'!D89+'Reels'!D92+'Reels'!D95+'Reels'!D98))*('Reels'!D117/('Reels'!D102+'Reels'!D105+'Reels'!D108+'Reels'!D111+'Reels'!D114+'Reels'!D117))</f>
        <v>0.005237070981015618</v>
      </c>
      <c r="D469">
        <f>IF(OR('Reels'!D75="attack",'Reels'!D75="magic"),CHOOSE('Reels'!D76+1,'Slots'!D29,'Slots'!D30,'Slots'!D31,'Slots'!D32,'Slots'!D33),0)+IF(OR('Reels'!D78="attack",'Reels'!D78="magic"),CHOOSE('Reels'!D79+1,'Slots'!D29,'Slots'!D30,'Slots'!D31,'Slots'!D32,'Slots'!D33),0)+IF(OR('Reels'!D115="attack",'Reels'!D115="magic"),CHOOSE('Reels'!D116+1,'Slots'!D29,'Slots'!D30,'Slots'!D31,'Slots'!D32,'Slots'!D33),0)</f>
        <v>0</v>
      </c>
      <c r="E469">
        <f>IF('Reels'!D75="heal",'Reels'!D76*'Slots'!D24,0)+IF('Reels'!D78="heal",'Reels'!D79*'Slots'!D24,0)+IF('Reels'!D115="heal",'Reels'!D116*'Slots'!D24,0)</f>
        <v>2</v>
      </c>
      <c r="F469">
        <f>IF('Reels'!D75="block",'Reels'!D76*'Slots'!D25,0)+IF('Reels'!D78="block",'Reels'!D79*'Slots'!D25,0)+IF('Reels'!D115="block",'Reels'!D116*'Slots'!D25,0)</f>
        <v>0</v>
      </c>
      <c r="G469" t="b">
        <f>AND('Reels'!D75&lt;&gt;"blank",'Reels'!D75&lt;&gt;"class",'Reels'!D75='Reels'!D115,'Reels'!D76='Reels'!D116,OR('Reels'!D78="class",AND('Reels'!D78='Reels'!D75,'Reels'!D79='Reels'!D76)))</f>
        <v>0</v>
      </c>
      <c r="H469">
        <f>IF(G469,C469,0)</f>
        <v>0</v>
      </c>
    </row>
    <row r="470" spans="1:8" x14ac:dyDescent="0.25">
      <c r="A470" t="s">
        <v>247</v>
      </c>
      <c r="B470" t="s">
        <v>3806</v>
      </c>
      <c r="C470" s="4">
        <f>('Reels'!D77/('Reels'!D62+'Reels'!D65+'Reels'!D68+'Reels'!D71+'Reels'!D74+'Reels'!D77))*('Reels'!D83/('Reels'!D80+'Reels'!D83+'Reels'!D86+'Reels'!D89+'Reels'!D92+'Reels'!D95+'Reels'!D98))*('Reels'!D102/('Reels'!D102+'Reels'!D105+'Reels'!D108+'Reels'!D111+'Reels'!D114+'Reels'!D117))</f>
        <v>0.015711212943046855</v>
      </c>
      <c r="D470">
        <f>IF(OR('Reels'!D75="attack",'Reels'!D75="magic"),CHOOSE('Reels'!D76+1,'Slots'!D29,'Slots'!D30,'Slots'!D31,'Slots'!D32,'Slots'!D33),0)+IF(OR('Reels'!D81="attack",'Reels'!D81="magic"),CHOOSE('Reels'!D82+1,'Slots'!D29,'Slots'!D30,'Slots'!D31,'Slots'!D32,'Slots'!D33),0)+IF(OR('Reels'!D100="attack",'Reels'!D100="magic"),CHOOSE('Reels'!D101+1,'Slots'!D29,'Slots'!D30,'Slots'!D31,'Slots'!D32,'Slots'!D33),0)</f>
        <v>0</v>
      </c>
      <c r="E470">
        <f>IF('Reels'!D75="heal",'Reels'!D76*'Slots'!D24,0)+IF('Reels'!D81="heal",'Reels'!D82*'Slots'!D24,0)+IF('Reels'!D100="heal",'Reels'!D101*'Slots'!D24,0)</f>
        <v>6</v>
      </c>
      <c r="F470">
        <f>IF('Reels'!D75="block",'Reels'!D76*'Slots'!D25,0)+IF('Reels'!D81="block",'Reels'!D82*'Slots'!D25,0)+IF('Reels'!D100="block",'Reels'!D101*'Slots'!D25,0)</f>
        <v>0</v>
      </c>
      <c r="G470" t="b">
        <f>AND('Reels'!D75&lt;&gt;"blank",'Reels'!D75&lt;&gt;"class",'Reels'!D75='Reels'!D100,'Reels'!D76='Reels'!D101,OR('Reels'!D81="class",AND('Reels'!D81='Reels'!D75,'Reels'!D82='Reels'!D76)))</f>
        <v>0</v>
      </c>
      <c r="H470">
        <f>IF(G470,C470,0)</f>
        <v>0</v>
      </c>
    </row>
    <row r="471" spans="1:8" x14ac:dyDescent="0.25">
      <c r="A471" t="s">
        <v>247</v>
      </c>
      <c r="B471" t="s">
        <v>3807</v>
      </c>
      <c r="C471" s="4">
        <f>('Reels'!D77/('Reels'!D62+'Reels'!D65+'Reels'!D68+'Reels'!D71+'Reels'!D74+'Reels'!D77))*('Reels'!D83/('Reels'!D80+'Reels'!D83+'Reels'!D86+'Reels'!D89+'Reels'!D92+'Reels'!D95+'Reels'!D98))*('Reels'!D105/('Reels'!D102+'Reels'!D105+'Reels'!D108+'Reels'!D111+'Reels'!D114+'Reels'!D117))</f>
        <v>0.013466753951183016</v>
      </c>
      <c r="D471">
        <f>IF(OR('Reels'!D75="attack",'Reels'!D75="magic"),CHOOSE('Reels'!D76+1,'Slots'!D29,'Slots'!D30,'Slots'!D31,'Slots'!D32,'Slots'!D33),0)+IF(OR('Reels'!D81="attack",'Reels'!D81="magic"),CHOOSE('Reels'!D82+1,'Slots'!D29,'Slots'!D30,'Slots'!D31,'Slots'!D32,'Slots'!D33),0)+IF(OR('Reels'!D103="attack",'Reels'!D103="magic"),CHOOSE('Reels'!D104+1,'Slots'!D29,'Slots'!D30,'Slots'!D31,'Slots'!D32,'Slots'!D33),0)</f>
        <v>0</v>
      </c>
      <c r="E471">
        <f>IF('Reels'!D75="heal",'Reels'!D76*'Slots'!D24,0)+IF('Reels'!D81="heal",'Reels'!D82*'Slots'!D24,0)+IF('Reels'!D103="heal",'Reels'!D104*'Slots'!D24,0)</f>
        <v>8</v>
      </c>
      <c r="F471">
        <f>IF('Reels'!D75="block",'Reels'!D76*'Slots'!D25,0)+IF('Reels'!D81="block",'Reels'!D82*'Slots'!D25,0)+IF('Reels'!D103="block",'Reels'!D104*'Slots'!D25,0)</f>
        <v>0</v>
      </c>
      <c r="G471" t="b">
        <f>AND('Reels'!D75&lt;&gt;"blank",'Reels'!D75&lt;&gt;"class",'Reels'!D75='Reels'!D103,'Reels'!D76='Reels'!D104,OR('Reels'!D81="class",AND('Reels'!D81='Reels'!D75,'Reels'!D82='Reels'!D76)))</f>
        <v>0</v>
      </c>
      <c r="H471">
        <f>IF(G471,C471,0)</f>
        <v>0</v>
      </c>
    </row>
    <row r="472" spans="1:8" x14ac:dyDescent="0.25">
      <c r="A472" t="s">
        <v>247</v>
      </c>
      <c r="B472" t="s">
        <v>3808</v>
      </c>
      <c r="C472" s="4">
        <f>('Reels'!D77/('Reels'!D62+'Reels'!D65+'Reels'!D68+'Reels'!D71+'Reels'!D74+'Reels'!D77))*('Reels'!D83/('Reels'!D80+'Reels'!D83+'Reels'!D86+'Reels'!D89+'Reels'!D92+'Reels'!D95+'Reels'!D98))*('Reels'!D108/('Reels'!D102+'Reels'!D105+'Reels'!D108+'Reels'!D111+'Reels'!D114+'Reels'!D117))</f>
        <v>0.002244458991863836</v>
      </c>
      <c r="D472">
        <f>IF(OR('Reels'!D75="attack",'Reels'!D75="magic"),CHOOSE('Reels'!D76+1,'Slots'!D29,'Slots'!D30,'Slots'!D31,'Slots'!D32,'Slots'!D33),0)+IF(OR('Reels'!D81="attack",'Reels'!D81="magic"),CHOOSE('Reels'!D82+1,'Slots'!D29,'Slots'!D30,'Slots'!D31,'Slots'!D32,'Slots'!D33),0)+IF(OR('Reels'!D106="attack",'Reels'!D106="magic"),CHOOSE('Reels'!D107+1,'Slots'!D29,'Slots'!D30,'Slots'!D31,'Slots'!D32,'Slots'!D33),0)</f>
        <v>0</v>
      </c>
      <c r="E472">
        <f>IF('Reels'!D75="heal",'Reels'!D76*'Slots'!D24,0)+IF('Reels'!D81="heal",'Reels'!D82*'Slots'!D24,0)+IF('Reels'!D106="heal",'Reels'!D107*'Slots'!D24,0)</f>
        <v>4</v>
      </c>
      <c r="F472">
        <f>IF('Reels'!D75="block",'Reels'!D76*'Slots'!D25,0)+IF('Reels'!D81="block",'Reels'!D82*'Slots'!D25,0)+IF('Reels'!D106="block",'Reels'!D107*'Slots'!D25,0)</f>
        <v>1</v>
      </c>
      <c r="G472" t="b">
        <f>AND('Reels'!D75&lt;&gt;"blank",'Reels'!D75&lt;&gt;"class",'Reels'!D75='Reels'!D106,'Reels'!D76='Reels'!D107,OR('Reels'!D81="class",AND('Reels'!D81='Reels'!D75,'Reels'!D82='Reels'!D76)))</f>
        <v>0</v>
      </c>
      <c r="H472">
        <f>IF(G472,C472,0)</f>
        <v>0</v>
      </c>
    </row>
    <row r="473" spans="1:8" x14ac:dyDescent="0.25">
      <c r="A473" t="s">
        <v>247</v>
      </c>
      <c r="B473" t="s">
        <v>3809</v>
      </c>
      <c r="C473" s="4">
        <f>('Reels'!D77/('Reels'!D62+'Reels'!D65+'Reels'!D68+'Reels'!D71+'Reels'!D74+'Reels'!D77))*('Reels'!D83/('Reels'!D80+'Reels'!D83+'Reels'!D86+'Reels'!D89+'Reels'!D92+'Reels'!D95+'Reels'!D98))*('Reels'!D111/('Reels'!D102+'Reels'!D105+'Reels'!D108+'Reels'!D111+'Reels'!D114+'Reels'!D117))</f>
        <v>0.001122229495931918</v>
      </c>
      <c r="D473">
        <f>IF(OR('Reels'!D75="attack",'Reels'!D75="magic"),CHOOSE('Reels'!D76+1,'Slots'!D29,'Slots'!D30,'Slots'!D31,'Slots'!D32,'Slots'!D33),0)+IF(OR('Reels'!D81="attack",'Reels'!D81="magic"),CHOOSE('Reels'!D82+1,'Slots'!D29,'Slots'!D30,'Slots'!D31,'Slots'!D32,'Slots'!D33),0)+IF(OR('Reels'!D109="attack",'Reels'!D109="magic"),CHOOSE('Reels'!D110+1,'Slots'!D29,'Slots'!D30,'Slots'!D31,'Slots'!D32,'Slots'!D33),0)</f>
        <v>0</v>
      </c>
      <c r="E473">
        <f>IF('Reels'!D75="heal",'Reels'!D76*'Slots'!D24,0)+IF('Reels'!D81="heal",'Reels'!D82*'Slots'!D24,0)+IF('Reels'!D109="heal",'Reels'!D110*'Slots'!D24,0)</f>
        <v>4</v>
      </c>
      <c r="F473">
        <f>IF('Reels'!D75="block",'Reels'!D76*'Slots'!D25,0)+IF('Reels'!D81="block",'Reels'!D82*'Slots'!D25,0)+IF('Reels'!D109="block",'Reels'!D110*'Slots'!D25,0)</f>
        <v>0</v>
      </c>
      <c r="G473" t="b">
        <f>AND('Reels'!D75&lt;&gt;"blank",'Reels'!D75&lt;&gt;"class",'Reels'!D75='Reels'!D109,'Reels'!D76='Reels'!D110,OR('Reels'!D81="class",AND('Reels'!D81='Reels'!D75,'Reels'!D82='Reels'!D76)))</f>
        <v>0</v>
      </c>
      <c r="H473">
        <f>IF(G473,C473,0)</f>
        <v>0</v>
      </c>
    </row>
    <row r="474" spans="1:8" x14ac:dyDescent="0.25">
      <c r="A474" t="s">
        <v>247</v>
      </c>
      <c r="B474" t="s">
        <v>3810</v>
      </c>
      <c r="C474" s="4">
        <f>('Reels'!D77/('Reels'!D62+'Reels'!D65+'Reels'!D68+'Reels'!D71+'Reels'!D74+'Reels'!D77))*('Reels'!D83/('Reels'!D80+'Reels'!D83+'Reels'!D86+'Reels'!D89+'Reels'!D92+'Reels'!D95+'Reels'!D98))*('Reels'!D114/('Reels'!D102+'Reels'!D105+'Reels'!D108+'Reels'!D111+'Reels'!D114+'Reels'!D117))</f>
        <v>0.001122229495931918</v>
      </c>
      <c r="D474">
        <f>IF(OR('Reels'!D75="attack",'Reels'!D75="magic"),CHOOSE('Reels'!D76+1,'Slots'!D29,'Slots'!D30,'Slots'!D31,'Slots'!D32,'Slots'!D33),0)+IF(OR('Reels'!D81="attack",'Reels'!D81="magic"),CHOOSE('Reels'!D82+1,'Slots'!D29,'Slots'!D30,'Slots'!D31,'Slots'!D32,'Slots'!D33),0)+IF(OR('Reels'!D112="attack",'Reels'!D112="magic"),CHOOSE('Reels'!D113+1,'Slots'!D29,'Slots'!D30,'Slots'!D31,'Slots'!D32,'Slots'!D33),0)</f>
        <v>2</v>
      </c>
      <c r="E474">
        <f>IF('Reels'!D75="heal",'Reels'!D76*'Slots'!D24,0)+IF('Reels'!D81="heal",'Reels'!D82*'Slots'!D24,0)+IF('Reels'!D112="heal",'Reels'!D113*'Slots'!D24,0)</f>
        <v>4</v>
      </c>
      <c r="F474">
        <f>IF('Reels'!D75="block",'Reels'!D76*'Slots'!D25,0)+IF('Reels'!D81="block",'Reels'!D82*'Slots'!D25,0)+IF('Reels'!D112="block",'Reels'!D113*'Slots'!D25,0)</f>
        <v>0</v>
      </c>
      <c r="G474" t="b">
        <f>AND('Reels'!D75&lt;&gt;"blank",'Reels'!D75&lt;&gt;"class",'Reels'!D75='Reels'!D112,'Reels'!D76='Reels'!D113,OR('Reels'!D81="class",AND('Reels'!D81='Reels'!D75,'Reels'!D82='Reels'!D76)))</f>
        <v>0</v>
      </c>
      <c r="H474">
        <f>IF(G474,C474,0)</f>
        <v>0</v>
      </c>
    </row>
    <row r="475" spans="1:8" x14ac:dyDescent="0.25">
      <c r="A475" t="s">
        <v>247</v>
      </c>
      <c r="B475" t="s">
        <v>3811</v>
      </c>
      <c r="C475" s="4">
        <f>('Reels'!D77/('Reels'!D62+'Reels'!D65+'Reels'!D68+'Reels'!D71+'Reels'!D74+'Reels'!D77))*('Reels'!D83/('Reels'!D80+'Reels'!D83+'Reels'!D86+'Reels'!D89+'Reels'!D92+'Reels'!D95+'Reels'!D98))*('Reels'!D117/('Reels'!D102+'Reels'!D105+'Reels'!D108+'Reels'!D111+'Reels'!D114+'Reels'!D117))</f>
        <v>0.004488917983727672</v>
      </c>
      <c r="D475">
        <f>IF(OR('Reels'!D75="attack",'Reels'!D75="magic"),CHOOSE('Reels'!D76+1,'Slots'!D29,'Slots'!D30,'Slots'!D31,'Slots'!D32,'Slots'!D33),0)+IF(OR('Reels'!D81="attack",'Reels'!D81="magic"),CHOOSE('Reels'!D82+1,'Slots'!D29,'Slots'!D30,'Slots'!D31,'Slots'!D32,'Slots'!D33),0)+IF(OR('Reels'!D115="attack",'Reels'!D115="magic"),CHOOSE('Reels'!D116+1,'Slots'!D29,'Slots'!D30,'Slots'!D31,'Slots'!D32,'Slots'!D33),0)</f>
        <v>0</v>
      </c>
      <c r="E475">
        <f>IF('Reels'!D75="heal",'Reels'!D76*'Slots'!D24,0)+IF('Reels'!D81="heal",'Reels'!D82*'Slots'!D24,0)+IF('Reels'!D115="heal",'Reels'!D116*'Slots'!D24,0)</f>
        <v>4</v>
      </c>
      <c r="F475">
        <f>IF('Reels'!D75="block",'Reels'!D76*'Slots'!D25,0)+IF('Reels'!D81="block",'Reels'!D82*'Slots'!D25,0)+IF('Reels'!D115="block",'Reels'!D116*'Slots'!D25,0)</f>
        <v>0</v>
      </c>
      <c r="G475" t="b">
        <f>AND('Reels'!D75&lt;&gt;"blank",'Reels'!D75&lt;&gt;"class",'Reels'!D75='Reels'!D115,'Reels'!D76='Reels'!D116,OR('Reels'!D81="class",AND('Reels'!D81='Reels'!D75,'Reels'!D82='Reels'!D76)))</f>
        <v>0</v>
      </c>
      <c r="H475">
        <f>IF(G475,C475,0)</f>
        <v>0</v>
      </c>
    </row>
    <row r="476" spans="1:8" x14ac:dyDescent="0.25">
      <c r="A476" t="s">
        <v>247</v>
      </c>
      <c r="B476" t="s">
        <v>3591</v>
      </c>
      <c r="C476" s="4">
        <f>('Reels'!D77/('Reels'!D62+'Reels'!D65+'Reels'!D68+'Reels'!D71+'Reels'!D74+'Reels'!D77))*('Reels'!D86/('Reels'!D80+'Reels'!D83+'Reels'!D86+'Reels'!D89+'Reels'!D92+'Reels'!D95+'Reels'!D98))*('Reels'!D102/('Reels'!D102+'Reels'!D105+'Reels'!D108+'Reels'!D111+'Reels'!D114+'Reels'!D117))</f>
        <v>0.002618535490507809</v>
      </c>
      <c r="D476">
        <f>IF(OR('Reels'!D75="attack",'Reels'!D75="magic"),CHOOSE('Reels'!D76+1,'Slots'!D29,'Slots'!D30,'Slots'!D31,'Slots'!D32,'Slots'!D33),0)+IF(OR('Reels'!D84="attack",'Reels'!D84="magic"),CHOOSE('Reels'!D85+1,'Slots'!D29,'Slots'!D30,'Slots'!D31,'Slots'!D32,'Slots'!D33),0)+IF(OR('Reels'!D100="attack",'Reels'!D100="magic"),CHOOSE('Reels'!D101+1,'Slots'!D29,'Slots'!D30,'Slots'!D31,'Slots'!D32,'Slots'!D33),0)</f>
        <v>0</v>
      </c>
      <c r="E476">
        <f>IF('Reels'!D75="heal",'Reels'!D76*'Slots'!D24,0)+IF('Reels'!D84="heal",'Reels'!D85*'Slots'!D24,0)+IF('Reels'!D100="heal",'Reels'!D101*'Slots'!D24,0)</f>
        <v>2</v>
      </c>
      <c r="F476">
        <f>IF('Reels'!D75="block",'Reels'!D76*'Slots'!D25,0)+IF('Reels'!D84="block",'Reels'!D85*'Slots'!D25,0)+IF('Reels'!D100="block",'Reels'!D101*'Slots'!D25,0)</f>
        <v>1</v>
      </c>
      <c r="G476" t="b">
        <f>AND('Reels'!D75&lt;&gt;"blank",'Reels'!D75&lt;&gt;"class",'Reels'!D75='Reels'!D100,'Reels'!D76='Reels'!D101,OR('Reels'!D84="class",AND('Reels'!D84='Reels'!D75,'Reels'!D85='Reels'!D76)))</f>
        <v>0</v>
      </c>
      <c r="H476">
        <f>IF(G476,C476,0)</f>
        <v>0</v>
      </c>
    </row>
    <row r="477" spans="1:8" x14ac:dyDescent="0.25">
      <c r="A477" t="s">
        <v>247</v>
      </c>
      <c r="B477" t="s">
        <v>3812</v>
      </c>
      <c r="C477" s="4">
        <f>('Reels'!D77/('Reels'!D62+'Reels'!D65+'Reels'!D68+'Reels'!D71+'Reels'!D74+'Reels'!D77))*('Reels'!D86/('Reels'!D80+'Reels'!D83+'Reels'!D86+'Reels'!D89+'Reels'!D92+'Reels'!D95+'Reels'!D98))*('Reels'!D105/('Reels'!D102+'Reels'!D105+'Reels'!D108+'Reels'!D111+'Reels'!D114+'Reels'!D117))</f>
        <v>0.002244458991863836</v>
      </c>
      <c r="D477">
        <f>IF(OR('Reels'!D75="attack",'Reels'!D75="magic"),CHOOSE('Reels'!D76+1,'Slots'!D29,'Slots'!D30,'Slots'!D31,'Slots'!D32,'Slots'!D33),0)+IF(OR('Reels'!D84="attack",'Reels'!D84="magic"),CHOOSE('Reels'!D85+1,'Slots'!D29,'Slots'!D30,'Slots'!D31,'Slots'!D32,'Slots'!D33),0)+IF(OR('Reels'!D103="attack",'Reels'!D103="magic"),CHOOSE('Reels'!D104+1,'Slots'!D29,'Slots'!D30,'Slots'!D31,'Slots'!D32,'Slots'!D33),0)</f>
        <v>0</v>
      </c>
      <c r="E477">
        <f>IF('Reels'!D75="heal",'Reels'!D76*'Slots'!D24,0)+IF('Reels'!D84="heal",'Reels'!D85*'Slots'!D24,0)+IF('Reels'!D103="heal",'Reels'!D104*'Slots'!D24,0)</f>
        <v>4</v>
      </c>
      <c r="F477">
        <f>IF('Reels'!D75="block",'Reels'!D76*'Slots'!D25,0)+IF('Reels'!D84="block",'Reels'!D85*'Slots'!D25,0)+IF('Reels'!D103="block",'Reels'!D104*'Slots'!D25,0)</f>
        <v>1</v>
      </c>
      <c r="G477" t="b">
        <f>AND('Reels'!D75&lt;&gt;"blank",'Reels'!D75&lt;&gt;"class",'Reels'!D75='Reels'!D103,'Reels'!D76='Reels'!D104,OR('Reels'!D84="class",AND('Reels'!D84='Reels'!D75,'Reels'!D85='Reels'!D76)))</f>
        <v>0</v>
      </c>
      <c r="H477">
        <f>IF(G477,C477,0)</f>
        <v>0</v>
      </c>
    </row>
    <row r="478" spans="1:8" x14ac:dyDescent="0.25">
      <c r="A478" t="s">
        <v>247</v>
      </c>
      <c r="B478" t="s">
        <v>3589</v>
      </c>
      <c r="C478" s="4">
        <f>('Reels'!D77/('Reels'!D62+'Reels'!D65+'Reels'!D68+'Reels'!D71+'Reels'!D74+'Reels'!D77))*('Reels'!D86/('Reels'!D80+'Reels'!D83+'Reels'!D86+'Reels'!D89+'Reels'!D92+'Reels'!D95+'Reels'!D98))*('Reels'!D108/('Reels'!D102+'Reels'!D105+'Reels'!D108+'Reels'!D111+'Reels'!D114+'Reels'!D117))</f>
        <v>0.00037407649864397267</v>
      </c>
      <c r="D478">
        <f>IF(OR('Reels'!D75="attack",'Reels'!D75="magic"),CHOOSE('Reels'!D76+1,'Slots'!D29,'Slots'!D30,'Slots'!D31,'Slots'!D32,'Slots'!D33),0)+IF(OR('Reels'!D84="attack",'Reels'!D84="magic"),CHOOSE('Reels'!D85+1,'Slots'!D29,'Slots'!D30,'Slots'!D31,'Slots'!D32,'Slots'!D33),0)+IF(OR('Reels'!D106="attack",'Reels'!D106="magic"),CHOOSE('Reels'!D107+1,'Slots'!D29,'Slots'!D30,'Slots'!D31,'Slots'!D32,'Slots'!D33),0)</f>
        <v>0</v>
      </c>
      <c r="E478">
        <f>IF('Reels'!D75="heal",'Reels'!D76*'Slots'!D24,0)+IF('Reels'!D84="heal",'Reels'!D85*'Slots'!D24,0)+IF('Reels'!D106="heal",'Reels'!D107*'Slots'!D24,0)</f>
        <v>0</v>
      </c>
      <c r="F478">
        <f>IF('Reels'!D75="block",'Reels'!D76*'Slots'!D25,0)+IF('Reels'!D84="block",'Reels'!D85*'Slots'!D25,0)+IF('Reels'!D106="block",'Reels'!D107*'Slots'!D25,0)</f>
        <v>2</v>
      </c>
      <c r="G478" t="b">
        <f>AND('Reels'!D75&lt;&gt;"blank",'Reels'!D75&lt;&gt;"class",'Reels'!D75='Reels'!D106,'Reels'!D76='Reels'!D107,OR('Reels'!D84="class",AND('Reels'!D84='Reels'!D75,'Reels'!D85='Reels'!D76)))</f>
        <v>0</v>
      </c>
      <c r="H478">
        <f>IF(G478,C478,0)</f>
        <v>0</v>
      </c>
    </row>
    <row r="479" spans="1:8" x14ac:dyDescent="0.25">
      <c r="A479" t="s">
        <v>247</v>
      </c>
      <c r="B479" t="s">
        <v>3813</v>
      </c>
      <c r="C479" s="4">
        <f>('Reels'!D77/('Reels'!D62+'Reels'!D65+'Reels'!D68+'Reels'!D71+'Reels'!D74+'Reels'!D77))*('Reels'!D86/('Reels'!D80+'Reels'!D83+'Reels'!D86+'Reels'!D89+'Reels'!D92+'Reels'!D95+'Reels'!D98))*('Reels'!D111/('Reels'!D102+'Reels'!D105+'Reels'!D108+'Reels'!D111+'Reels'!D114+'Reels'!D117))</f>
        <v>0.00018703824932198634</v>
      </c>
      <c r="D479">
        <f>IF(OR('Reels'!D75="attack",'Reels'!D75="magic"),CHOOSE('Reels'!D76+1,'Slots'!D29,'Slots'!D30,'Slots'!D31,'Slots'!D32,'Slots'!D33),0)+IF(OR('Reels'!D84="attack",'Reels'!D84="magic"),CHOOSE('Reels'!D85+1,'Slots'!D29,'Slots'!D30,'Slots'!D31,'Slots'!D32,'Slots'!D33),0)+IF(OR('Reels'!D109="attack",'Reels'!D109="magic"),CHOOSE('Reels'!D110+1,'Slots'!D29,'Slots'!D30,'Slots'!D31,'Slots'!D32,'Slots'!D33),0)</f>
        <v>0</v>
      </c>
      <c r="E479">
        <f>IF('Reels'!D75="heal",'Reels'!D76*'Slots'!D24,0)+IF('Reels'!D84="heal",'Reels'!D85*'Slots'!D24,0)+IF('Reels'!D109="heal",'Reels'!D110*'Slots'!D24,0)</f>
        <v>0</v>
      </c>
      <c r="F479">
        <f>IF('Reels'!D75="block",'Reels'!D76*'Slots'!D25,0)+IF('Reels'!D84="block",'Reels'!D85*'Slots'!D25,0)+IF('Reels'!D109="block",'Reels'!D110*'Slots'!D25,0)</f>
        <v>1</v>
      </c>
      <c r="G479" t="b">
        <f>AND('Reels'!D75&lt;&gt;"blank",'Reels'!D75&lt;&gt;"class",'Reels'!D75='Reels'!D109,'Reels'!D76='Reels'!D110,OR('Reels'!D84="class",AND('Reels'!D84='Reels'!D75,'Reels'!D85='Reels'!D76)))</f>
        <v>0</v>
      </c>
      <c r="H479">
        <f>IF(G479,C479,0)</f>
        <v>0</v>
      </c>
    </row>
    <row r="480" spans="1:8" x14ac:dyDescent="0.25">
      <c r="A480" t="s">
        <v>247</v>
      </c>
      <c r="B480" t="s">
        <v>3814</v>
      </c>
      <c r="C480" s="4">
        <f>('Reels'!D77/('Reels'!D62+'Reels'!D65+'Reels'!D68+'Reels'!D71+'Reels'!D74+'Reels'!D77))*('Reels'!D86/('Reels'!D80+'Reels'!D83+'Reels'!D86+'Reels'!D89+'Reels'!D92+'Reels'!D95+'Reels'!D98))*('Reels'!D114/('Reels'!D102+'Reels'!D105+'Reels'!D108+'Reels'!D111+'Reels'!D114+'Reels'!D117))</f>
        <v>0.00018703824932198634</v>
      </c>
      <c r="D480">
        <f>IF(OR('Reels'!D75="attack",'Reels'!D75="magic"),CHOOSE('Reels'!D76+1,'Slots'!D29,'Slots'!D30,'Slots'!D31,'Slots'!D32,'Slots'!D33),0)+IF(OR('Reels'!D84="attack",'Reels'!D84="magic"),CHOOSE('Reels'!D85+1,'Slots'!D29,'Slots'!D30,'Slots'!D31,'Slots'!D32,'Slots'!D33),0)+IF(OR('Reels'!D112="attack",'Reels'!D112="magic"),CHOOSE('Reels'!D113+1,'Slots'!D29,'Slots'!D30,'Slots'!D31,'Slots'!D32,'Slots'!D33),0)</f>
        <v>2</v>
      </c>
      <c r="E480">
        <f>IF('Reels'!D75="heal",'Reels'!D76*'Slots'!D24,0)+IF('Reels'!D84="heal",'Reels'!D85*'Slots'!D24,0)+IF('Reels'!D112="heal",'Reels'!D113*'Slots'!D24,0)</f>
        <v>0</v>
      </c>
      <c r="F480">
        <f>IF('Reels'!D75="block",'Reels'!D76*'Slots'!D25,0)+IF('Reels'!D84="block",'Reels'!D85*'Slots'!D25,0)+IF('Reels'!D112="block",'Reels'!D113*'Slots'!D25,0)</f>
        <v>1</v>
      </c>
      <c r="G480" t="b">
        <f>AND('Reels'!D75&lt;&gt;"blank",'Reels'!D75&lt;&gt;"class",'Reels'!D75='Reels'!D112,'Reels'!D76='Reels'!D113,OR('Reels'!D84="class",AND('Reels'!D84='Reels'!D75,'Reels'!D85='Reels'!D76)))</f>
        <v>0</v>
      </c>
      <c r="H480">
        <f>IF(G480,C480,0)</f>
        <v>0</v>
      </c>
    </row>
    <row r="481" spans="1:8" x14ac:dyDescent="0.25">
      <c r="A481" t="s">
        <v>247</v>
      </c>
      <c r="B481" t="s">
        <v>3592</v>
      </c>
      <c r="C481" s="4">
        <f>('Reels'!D77/('Reels'!D62+'Reels'!D65+'Reels'!D68+'Reels'!D71+'Reels'!D74+'Reels'!D77))*('Reels'!D86/('Reels'!D80+'Reels'!D83+'Reels'!D86+'Reels'!D89+'Reels'!D92+'Reels'!D95+'Reels'!D98))*('Reels'!D117/('Reels'!D102+'Reels'!D105+'Reels'!D108+'Reels'!D111+'Reels'!D114+'Reels'!D117))</f>
        <v>0.0007481529972879453</v>
      </c>
      <c r="D481">
        <f>IF(OR('Reels'!D75="attack",'Reels'!D75="magic"),CHOOSE('Reels'!D76+1,'Slots'!D29,'Slots'!D30,'Slots'!D31,'Slots'!D32,'Slots'!D33),0)+IF(OR('Reels'!D84="attack",'Reels'!D84="magic"),CHOOSE('Reels'!D85+1,'Slots'!D29,'Slots'!D30,'Slots'!D31,'Slots'!D32,'Slots'!D33),0)+IF(OR('Reels'!D115="attack",'Reels'!D115="magic"),CHOOSE('Reels'!D116+1,'Slots'!D29,'Slots'!D30,'Slots'!D31,'Slots'!D32,'Slots'!D33),0)</f>
        <v>0</v>
      </c>
      <c r="E481">
        <f>IF('Reels'!D75="heal",'Reels'!D76*'Slots'!D24,0)+IF('Reels'!D84="heal",'Reels'!D85*'Slots'!D24,0)+IF('Reels'!D115="heal",'Reels'!D116*'Slots'!D24,0)</f>
        <v>0</v>
      </c>
      <c r="F481">
        <f>IF('Reels'!D75="block",'Reels'!D76*'Slots'!D25,0)+IF('Reels'!D84="block",'Reels'!D85*'Slots'!D25,0)+IF('Reels'!D115="block",'Reels'!D116*'Slots'!D25,0)</f>
        <v>1</v>
      </c>
      <c r="G481" t="b">
        <f>AND('Reels'!D75&lt;&gt;"blank",'Reels'!D75&lt;&gt;"class",'Reels'!D75='Reels'!D115,'Reels'!D76='Reels'!D116,OR('Reels'!D84="class",AND('Reels'!D84='Reels'!D75,'Reels'!D85='Reels'!D76)))</f>
        <v>0</v>
      </c>
      <c r="H481">
        <f>IF(G481,C481,0)</f>
        <v>0</v>
      </c>
    </row>
    <row r="482" spans="1:8" x14ac:dyDescent="0.25">
      <c r="A482" t="s">
        <v>247</v>
      </c>
      <c r="B482" t="s">
        <v>3815</v>
      </c>
      <c r="C482" s="4">
        <f>('Reels'!D77/('Reels'!D62+'Reels'!D65+'Reels'!D68+'Reels'!D71+'Reels'!D74+'Reels'!D77))*('Reels'!D89/('Reels'!D80+'Reels'!D83+'Reels'!D86+'Reels'!D89+'Reels'!D92+'Reels'!D95+'Reels'!D98))*('Reels'!D102/('Reels'!D102+'Reels'!D105+'Reels'!D108+'Reels'!D111+'Reels'!D114+'Reels'!D117))</f>
        <v>0.0013092677452539044</v>
      </c>
      <c r="D482">
        <f>IF(OR('Reels'!D75="attack",'Reels'!D75="magic"),CHOOSE('Reels'!D76+1,'Slots'!D29,'Slots'!D30,'Slots'!D31,'Slots'!D32,'Slots'!D33),0)+IF(OR('Reels'!D87="attack",'Reels'!D87="magic"),CHOOSE('Reels'!D88+1,'Slots'!D29,'Slots'!D30,'Slots'!D31,'Slots'!D32,'Slots'!D33),0)+IF(OR('Reels'!D100="attack",'Reels'!D100="magic"),CHOOSE('Reels'!D101+1,'Slots'!D29,'Slots'!D30,'Slots'!D31,'Slots'!D32,'Slots'!D33),0)</f>
        <v>0</v>
      </c>
      <c r="E482">
        <f>IF('Reels'!D75="heal",'Reels'!D76*'Slots'!D24,0)+IF('Reels'!D87="heal",'Reels'!D88*'Slots'!D24,0)+IF('Reels'!D100="heal",'Reels'!D101*'Slots'!D24,0)</f>
        <v>2</v>
      </c>
      <c r="F482">
        <f>IF('Reels'!D75="block",'Reels'!D76*'Slots'!D25,0)+IF('Reels'!D87="block",'Reels'!D88*'Slots'!D25,0)+IF('Reels'!D100="block",'Reels'!D101*'Slots'!D25,0)</f>
        <v>0</v>
      </c>
      <c r="G482" t="b">
        <f>AND('Reels'!D75&lt;&gt;"blank",'Reels'!D75&lt;&gt;"class",'Reels'!D75='Reels'!D100,'Reels'!D76='Reels'!D101,OR('Reels'!D87="class",AND('Reels'!D87='Reels'!D75,'Reels'!D88='Reels'!D76)))</f>
        <v>0</v>
      </c>
      <c r="H482">
        <f>IF(G482,C482,0)</f>
        <v>0</v>
      </c>
    </row>
    <row r="483" spans="1:8" x14ac:dyDescent="0.25">
      <c r="A483" t="s">
        <v>247</v>
      </c>
      <c r="B483" t="s">
        <v>3816</v>
      </c>
      <c r="C483" s="4">
        <f>('Reels'!D77/('Reels'!D62+'Reels'!D65+'Reels'!D68+'Reels'!D71+'Reels'!D74+'Reels'!D77))*('Reels'!D89/('Reels'!D80+'Reels'!D83+'Reels'!D86+'Reels'!D89+'Reels'!D92+'Reels'!D95+'Reels'!D98))*('Reels'!D105/('Reels'!D102+'Reels'!D105+'Reels'!D108+'Reels'!D111+'Reels'!D114+'Reels'!D117))</f>
        <v>0.001122229495931918</v>
      </c>
      <c r="D483">
        <f>IF(OR('Reels'!D75="attack",'Reels'!D75="magic"),CHOOSE('Reels'!D76+1,'Slots'!D29,'Slots'!D30,'Slots'!D31,'Slots'!D32,'Slots'!D33),0)+IF(OR('Reels'!D87="attack",'Reels'!D87="magic"),CHOOSE('Reels'!D88+1,'Slots'!D29,'Slots'!D30,'Slots'!D31,'Slots'!D32,'Slots'!D33),0)+IF(OR('Reels'!D103="attack",'Reels'!D103="magic"),CHOOSE('Reels'!D104+1,'Slots'!D29,'Slots'!D30,'Slots'!D31,'Slots'!D32,'Slots'!D33),0)</f>
        <v>0</v>
      </c>
      <c r="E483">
        <f>IF('Reels'!D75="heal",'Reels'!D76*'Slots'!D24,0)+IF('Reels'!D87="heal",'Reels'!D88*'Slots'!D24,0)+IF('Reels'!D103="heal",'Reels'!D104*'Slots'!D24,0)</f>
        <v>4</v>
      </c>
      <c r="F483">
        <f>IF('Reels'!D75="block",'Reels'!D76*'Slots'!D25,0)+IF('Reels'!D87="block",'Reels'!D88*'Slots'!D25,0)+IF('Reels'!D103="block",'Reels'!D104*'Slots'!D25,0)</f>
        <v>0</v>
      </c>
      <c r="G483" t="b">
        <f>AND('Reels'!D75&lt;&gt;"blank",'Reels'!D75&lt;&gt;"class",'Reels'!D75='Reels'!D103,'Reels'!D76='Reels'!D104,OR('Reels'!D87="class",AND('Reels'!D87='Reels'!D75,'Reels'!D88='Reels'!D76)))</f>
        <v>0</v>
      </c>
      <c r="H483">
        <f>IF(G483,C483,0)</f>
        <v>0</v>
      </c>
    </row>
    <row r="484" spans="1:8" x14ac:dyDescent="0.25">
      <c r="A484" t="s">
        <v>247</v>
      </c>
      <c r="B484" t="s">
        <v>3817</v>
      </c>
      <c r="C484" s="4">
        <f>('Reels'!D77/('Reels'!D62+'Reels'!D65+'Reels'!D68+'Reels'!D71+'Reels'!D74+'Reels'!D77))*('Reels'!D89/('Reels'!D80+'Reels'!D83+'Reels'!D86+'Reels'!D89+'Reels'!D92+'Reels'!D95+'Reels'!D98))*('Reels'!D108/('Reels'!D102+'Reels'!D105+'Reels'!D108+'Reels'!D111+'Reels'!D114+'Reels'!D117))</f>
        <v>0.00018703824932198634</v>
      </c>
      <c r="D484">
        <f>IF(OR('Reels'!D75="attack",'Reels'!D75="magic"),CHOOSE('Reels'!D76+1,'Slots'!D29,'Slots'!D30,'Slots'!D31,'Slots'!D32,'Slots'!D33),0)+IF(OR('Reels'!D87="attack",'Reels'!D87="magic"),CHOOSE('Reels'!D88+1,'Slots'!D29,'Slots'!D30,'Slots'!D31,'Slots'!D32,'Slots'!D33),0)+IF(OR('Reels'!D106="attack",'Reels'!D106="magic"),CHOOSE('Reels'!D107+1,'Slots'!D29,'Slots'!D30,'Slots'!D31,'Slots'!D32,'Slots'!D33),0)</f>
        <v>0</v>
      </c>
      <c r="E484">
        <f>IF('Reels'!D75="heal",'Reels'!D76*'Slots'!D24,0)+IF('Reels'!D87="heal",'Reels'!D88*'Slots'!D24,0)+IF('Reels'!D106="heal",'Reels'!D107*'Slots'!D24,0)</f>
        <v>0</v>
      </c>
      <c r="F484">
        <f>IF('Reels'!D75="block",'Reels'!D76*'Slots'!D25,0)+IF('Reels'!D87="block",'Reels'!D88*'Slots'!D25,0)+IF('Reels'!D106="block",'Reels'!D107*'Slots'!D25,0)</f>
        <v>1</v>
      </c>
      <c r="G484" t="b">
        <f>AND('Reels'!D75&lt;&gt;"blank",'Reels'!D75&lt;&gt;"class",'Reels'!D75='Reels'!D106,'Reels'!D76='Reels'!D107,OR('Reels'!D87="class",AND('Reels'!D87='Reels'!D75,'Reels'!D88='Reels'!D76)))</f>
        <v>0</v>
      </c>
      <c r="H484">
        <f>IF(G484,C484,0)</f>
        <v>0</v>
      </c>
    </row>
    <row r="485" spans="1:8" x14ac:dyDescent="0.25">
      <c r="A485" t="s">
        <v>247</v>
      </c>
      <c r="B485" t="s">
        <v>3818</v>
      </c>
      <c r="C485" s="4">
        <f>('Reels'!D77/('Reels'!D62+'Reels'!D65+'Reels'!D68+'Reels'!D71+'Reels'!D74+'Reels'!D77))*('Reels'!D89/('Reels'!D80+'Reels'!D83+'Reels'!D86+'Reels'!D89+'Reels'!D92+'Reels'!D95+'Reels'!D98))*('Reels'!D111/('Reels'!D102+'Reels'!D105+'Reels'!D108+'Reels'!D111+'Reels'!D114+'Reels'!D117))</f>
        <v>0.00009351912466099317</v>
      </c>
      <c r="D485">
        <f>IF(OR('Reels'!D75="attack",'Reels'!D75="magic"),CHOOSE('Reels'!D76+1,'Slots'!D29,'Slots'!D30,'Slots'!D31,'Slots'!D32,'Slots'!D33),0)+IF(OR('Reels'!D87="attack",'Reels'!D87="magic"),CHOOSE('Reels'!D88+1,'Slots'!D29,'Slots'!D30,'Slots'!D31,'Slots'!D32,'Slots'!D33),0)+IF(OR('Reels'!D109="attack",'Reels'!D109="magic"),CHOOSE('Reels'!D110+1,'Slots'!D29,'Slots'!D30,'Slots'!D31,'Slots'!D32,'Slots'!D33),0)</f>
        <v>0</v>
      </c>
      <c r="E485">
        <f>IF('Reels'!D75="heal",'Reels'!D76*'Slots'!D24,0)+IF('Reels'!D87="heal",'Reels'!D88*'Slots'!D24,0)+IF('Reels'!D109="heal",'Reels'!D110*'Slots'!D24,0)</f>
        <v>0</v>
      </c>
      <c r="F485">
        <f>IF('Reels'!D75="block",'Reels'!D76*'Slots'!D25,0)+IF('Reels'!D87="block",'Reels'!D88*'Slots'!D25,0)+IF('Reels'!D109="block",'Reels'!D110*'Slots'!D25,0)</f>
        <v>0</v>
      </c>
      <c r="G485" t="b">
        <f>AND('Reels'!D75&lt;&gt;"blank",'Reels'!D75&lt;&gt;"class",'Reels'!D75='Reels'!D109,'Reels'!D76='Reels'!D110,OR('Reels'!D87="class",AND('Reels'!D87='Reels'!D75,'Reels'!D88='Reels'!D76)))</f>
        <v>0</v>
      </c>
      <c r="H485">
        <f>IF(G485,C485,0)</f>
        <v>0</v>
      </c>
    </row>
    <row r="486" spans="1:8" x14ac:dyDescent="0.25">
      <c r="A486" t="s">
        <v>247</v>
      </c>
      <c r="B486" t="s">
        <v>3819</v>
      </c>
      <c r="C486" s="4">
        <f>('Reels'!D77/('Reels'!D62+'Reels'!D65+'Reels'!D68+'Reels'!D71+'Reels'!D74+'Reels'!D77))*('Reels'!D89/('Reels'!D80+'Reels'!D83+'Reels'!D86+'Reels'!D89+'Reels'!D92+'Reels'!D95+'Reels'!D98))*('Reels'!D114/('Reels'!D102+'Reels'!D105+'Reels'!D108+'Reels'!D111+'Reels'!D114+'Reels'!D117))</f>
        <v>0.00009351912466099317</v>
      </c>
      <c r="D486">
        <f>IF(OR('Reels'!D75="attack",'Reels'!D75="magic"),CHOOSE('Reels'!D76+1,'Slots'!D29,'Slots'!D30,'Slots'!D31,'Slots'!D32,'Slots'!D33),0)+IF(OR('Reels'!D87="attack",'Reels'!D87="magic"),CHOOSE('Reels'!D88+1,'Slots'!D29,'Slots'!D30,'Slots'!D31,'Slots'!D32,'Slots'!D33),0)+IF(OR('Reels'!D112="attack",'Reels'!D112="magic"),CHOOSE('Reels'!D113+1,'Slots'!D29,'Slots'!D30,'Slots'!D31,'Slots'!D32,'Slots'!D33),0)</f>
        <v>2</v>
      </c>
      <c r="E486">
        <f>IF('Reels'!D75="heal",'Reels'!D76*'Slots'!D24,0)+IF('Reels'!D87="heal",'Reels'!D88*'Slots'!D24,0)+IF('Reels'!D112="heal",'Reels'!D113*'Slots'!D24,0)</f>
        <v>0</v>
      </c>
      <c r="F486">
        <f>IF('Reels'!D75="block",'Reels'!D76*'Slots'!D25,0)+IF('Reels'!D87="block",'Reels'!D88*'Slots'!D25,0)+IF('Reels'!D112="block",'Reels'!D113*'Slots'!D25,0)</f>
        <v>0</v>
      </c>
      <c r="G486" t="b">
        <f>AND('Reels'!D75&lt;&gt;"blank",'Reels'!D75&lt;&gt;"class",'Reels'!D75='Reels'!D112,'Reels'!D76='Reels'!D113,OR('Reels'!D87="class",AND('Reels'!D87='Reels'!D75,'Reels'!D88='Reels'!D76)))</f>
        <v>0</v>
      </c>
      <c r="H486">
        <f>IF(G486,C486,0)</f>
        <v>0</v>
      </c>
    </row>
    <row r="487" spans="1:8" x14ac:dyDescent="0.25">
      <c r="A487" t="s">
        <v>247</v>
      </c>
      <c r="B487" t="s">
        <v>3820</v>
      </c>
      <c r="C487" s="4">
        <f>('Reels'!D77/('Reels'!D62+'Reels'!D65+'Reels'!D68+'Reels'!D71+'Reels'!D74+'Reels'!D77))*('Reels'!D89/('Reels'!D80+'Reels'!D83+'Reels'!D86+'Reels'!D89+'Reels'!D92+'Reels'!D95+'Reels'!D98))*('Reels'!D117/('Reels'!D102+'Reels'!D105+'Reels'!D108+'Reels'!D111+'Reels'!D114+'Reels'!D117))</f>
        <v>0.00037407649864397267</v>
      </c>
      <c r="D487">
        <f>IF(OR('Reels'!D75="attack",'Reels'!D75="magic"),CHOOSE('Reels'!D76+1,'Slots'!D29,'Slots'!D30,'Slots'!D31,'Slots'!D32,'Slots'!D33),0)+IF(OR('Reels'!D87="attack",'Reels'!D87="magic"),CHOOSE('Reels'!D88+1,'Slots'!D29,'Slots'!D30,'Slots'!D31,'Slots'!D32,'Slots'!D33),0)+IF(OR('Reels'!D115="attack",'Reels'!D115="magic"),CHOOSE('Reels'!D116+1,'Slots'!D29,'Slots'!D30,'Slots'!D31,'Slots'!D32,'Slots'!D33),0)</f>
        <v>0</v>
      </c>
      <c r="E487">
        <f>IF('Reels'!D75="heal",'Reels'!D76*'Slots'!D24,0)+IF('Reels'!D87="heal",'Reels'!D88*'Slots'!D24,0)+IF('Reels'!D115="heal",'Reels'!D116*'Slots'!D24,0)</f>
        <v>0</v>
      </c>
      <c r="F487">
        <f>IF('Reels'!D75="block",'Reels'!D76*'Slots'!D25,0)+IF('Reels'!D87="block",'Reels'!D88*'Slots'!D25,0)+IF('Reels'!D115="block",'Reels'!D116*'Slots'!D25,0)</f>
        <v>0</v>
      </c>
      <c r="G487" t="b">
        <f>AND('Reels'!D75&lt;&gt;"blank",'Reels'!D75&lt;&gt;"class",'Reels'!D75='Reels'!D115,'Reels'!D76='Reels'!D116,OR('Reels'!D87="class",AND('Reels'!D87='Reels'!D75,'Reels'!D88='Reels'!D76)))</f>
        <v>0</v>
      </c>
      <c r="H487">
        <f>IF(G487,C487,0)</f>
        <v>0</v>
      </c>
    </row>
    <row r="488" spans="1:8" x14ac:dyDescent="0.25">
      <c r="A488" t="s">
        <v>247</v>
      </c>
      <c r="B488" t="s">
        <v>3821</v>
      </c>
      <c r="C488" s="4">
        <f>('Reels'!D77/('Reels'!D62+'Reels'!D65+'Reels'!D68+'Reels'!D71+'Reels'!D74+'Reels'!D77))*('Reels'!D92/('Reels'!D80+'Reels'!D83+'Reels'!D86+'Reels'!D89+'Reels'!D92+'Reels'!D95+'Reels'!D98))*('Reels'!D102/('Reels'!D102+'Reels'!D105+'Reels'!D108+'Reels'!D111+'Reels'!D114+'Reels'!D117))</f>
        <v>0.0013092677452539044</v>
      </c>
      <c r="D488">
        <f>IF(OR('Reels'!D75="attack",'Reels'!D75="magic"),CHOOSE('Reels'!D76+1,'Slots'!D29,'Slots'!D30,'Slots'!D31,'Slots'!D32,'Slots'!D33),0)+IF(OR('Reels'!D90="attack",'Reels'!D90="magic"),CHOOSE('Reels'!D91+1,'Slots'!D29,'Slots'!D30,'Slots'!D31,'Slots'!D32,'Slots'!D33),0)+IF(OR('Reels'!D100="attack",'Reels'!D100="magic"),CHOOSE('Reels'!D101+1,'Slots'!D29,'Slots'!D30,'Slots'!D31,'Slots'!D32,'Slots'!D33),0)</f>
        <v>2</v>
      </c>
      <c r="E488">
        <f>IF('Reels'!D75="heal",'Reels'!D76*'Slots'!D24,0)+IF('Reels'!D90="heal",'Reels'!D91*'Slots'!D24,0)+IF('Reels'!D100="heal",'Reels'!D101*'Slots'!D24,0)</f>
        <v>2</v>
      </c>
      <c r="F488">
        <f>IF('Reels'!D75="block",'Reels'!D76*'Slots'!D25,0)+IF('Reels'!D90="block",'Reels'!D91*'Slots'!D25,0)+IF('Reels'!D100="block",'Reels'!D101*'Slots'!D25,0)</f>
        <v>0</v>
      </c>
      <c r="G488" t="b">
        <f>AND('Reels'!D75&lt;&gt;"blank",'Reels'!D75&lt;&gt;"class",'Reels'!D75='Reels'!D100,'Reels'!D76='Reels'!D101,OR('Reels'!D90="class",AND('Reels'!D90='Reels'!D75,'Reels'!D91='Reels'!D76)))</f>
        <v>0</v>
      </c>
      <c r="H488">
        <f>IF(G488,C488,0)</f>
        <v>0</v>
      </c>
    </row>
    <row r="489" spans="1:8" x14ac:dyDescent="0.25">
      <c r="A489" t="s">
        <v>247</v>
      </c>
      <c r="B489" t="s">
        <v>3822</v>
      </c>
      <c r="C489" s="4">
        <f>('Reels'!D77/('Reels'!D62+'Reels'!D65+'Reels'!D68+'Reels'!D71+'Reels'!D74+'Reels'!D77))*('Reels'!D92/('Reels'!D80+'Reels'!D83+'Reels'!D86+'Reels'!D89+'Reels'!D92+'Reels'!D95+'Reels'!D98))*('Reels'!D105/('Reels'!D102+'Reels'!D105+'Reels'!D108+'Reels'!D111+'Reels'!D114+'Reels'!D117))</f>
        <v>0.001122229495931918</v>
      </c>
      <c r="D489">
        <f>IF(OR('Reels'!D75="attack",'Reels'!D75="magic"),CHOOSE('Reels'!D76+1,'Slots'!D29,'Slots'!D30,'Slots'!D31,'Slots'!D32,'Slots'!D33),0)+IF(OR('Reels'!D90="attack",'Reels'!D90="magic"),CHOOSE('Reels'!D91+1,'Slots'!D29,'Slots'!D30,'Slots'!D31,'Slots'!D32,'Slots'!D33),0)+IF(OR('Reels'!D103="attack",'Reels'!D103="magic"),CHOOSE('Reels'!D104+1,'Slots'!D29,'Slots'!D30,'Slots'!D31,'Slots'!D32,'Slots'!D33),0)</f>
        <v>2</v>
      </c>
      <c r="E489">
        <f>IF('Reels'!D75="heal",'Reels'!D76*'Slots'!D24,0)+IF('Reels'!D90="heal",'Reels'!D91*'Slots'!D24,0)+IF('Reels'!D103="heal",'Reels'!D104*'Slots'!D24,0)</f>
        <v>4</v>
      </c>
      <c r="F489">
        <f>IF('Reels'!D75="block",'Reels'!D76*'Slots'!D25,0)+IF('Reels'!D90="block",'Reels'!D91*'Slots'!D25,0)+IF('Reels'!D103="block",'Reels'!D104*'Slots'!D25,0)</f>
        <v>0</v>
      </c>
      <c r="G489" t="b">
        <f>AND('Reels'!D75&lt;&gt;"blank",'Reels'!D75&lt;&gt;"class",'Reels'!D75='Reels'!D103,'Reels'!D76='Reels'!D104,OR('Reels'!D90="class",AND('Reels'!D90='Reels'!D75,'Reels'!D91='Reels'!D76)))</f>
        <v>0</v>
      </c>
      <c r="H489">
        <f>IF(G489,C489,0)</f>
        <v>0</v>
      </c>
    </row>
    <row r="490" spans="1:8" x14ac:dyDescent="0.25">
      <c r="A490" t="s">
        <v>247</v>
      </c>
      <c r="B490" t="s">
        <v>3823</v>
      </c>
      <c r="C490" s="4">
        <f>('Reels'!D77/('Reels'!D62+'Reels'!D65+'Reels'!D68+'Reels'!D71+'Reels'!D74+'Reels'!D77))*('Reels'!D92/('Reels'!D80+'Reels'!D83+'Reels'!D86+'Reels'!D89+'Reels'!D92+'Reels'!D95+'Reels'!D98))*('Reels'!D108/('Reels'!D102+'Reels'!D105+'Reels'!D108+'Reels'!D111+'Reels'!D114+'Reels'!D117))</f>
        <v>0.00018703824932198634</v>
      </c>
      <c r="D490">
        <f>IF(OR('Reels'!D75="attack",'Reels'!D75="magic"),CHOOSE('Reels'!D76+1,'Slots'!D29,'Slots'!D30,'Slots'!D31,'Slots'!D32,'Slots'!D33),0)+IF(OR('Reels'!D90="attack",'Reels'!D90="magic"),CHOOSE('Reels'!D91+1,'Slots'!D29,'Slots'!D30,'Slots'!D31,'Slots'!D32,'Slots'!D33),0)+IF(OR('Reels'!D106="attack",'Reels'!D106="magic"),CHOOSE('Reels'!D107+1,'Slots'!D29,'Slots'!D30,'Slots'!D31,'Slots'!D32,'Slots'!D33),0)</f>
        <v>2</v>
      </c>
      <c r="E490">
        <f>IF('Reels'!D75="heal",'Reels'!D76*'Slots'!D24,0)+IF('Reels'!D90="heal",'Reels'!D91*'Slots'!D24,0)+IF('Reels'!D106="heal",'Reels'!D107*'Slots'!D24,0)</f>
        <v>0</v>
      </c>
      <c r="F490">
        <f>IF('Reels'!D75="block",'Reels'!D76*'Slots'!D25,0)+IF('Reels'!D90="block",'Reels'!D91*'Slots'!D25,0)+IF('Reels'!D106="block",'Reels'!D107*'Slots'!D25,0)</f>
        <v>1</v>
      </c>
      <c r="G490" t="b">
        <f>AND('Reels'!D75&lt;&gt;"blank",'Reels'!D75&lt;&gt;"class",'Reels'!D75='Reels'!D106,'Reels'!D76='Reels'!D107,OR('Reels'!D90="class",AND('Reels'!D90='Reels'!D75,'Reels'!D91='Reels'!D76)))</f>
        <v>0</v>
      </c>
      <c r="H490">
        <f>IF(G490,C490,0)</f>
        <v>0</v>
      </c>
    </row>
    <row r="491" spans="1:8" x14ac:dyDescent="0.25">
      <c r="A491" t="s">
        <v>247</v>
      </c>
      <c r="B491" t="s">
        <v>3824</v>
      </c>
      <c r="C491" s="4">
        <f>('Reels'!D77/('Reels'!D62+'Reels'!D65+'Reels'!D68+'Reels'!D71+'Reels'!D74+'Reels'!D77))*('Reels'!D92/('Reels'!D80+'Reels'!D83+'Reels'!D86+'Reels'!D89+'Reels'!D92+'Reels'!D95+'Reels'!D98))*('Reels'!D111/('Reels'!D102+'Reels'!D105+'Reels'!D108+'Reels'!D111+'Reels'!D114+'Reels'!D117))</f>
        <v>0.00009351912466099317</v>
      </c>
      <c r="D491">
        <f>IF(OR('Reels'!D75="attack",'Reels'!D75="magic"),CHOOSE('Reels'!D76+1,'Slots'!D29,'Slots'!D30,'Slots'!D31,'Slots'!D32,'Slots'!D33),0)+IF(OR('Reels'!D90="attack",'Reels'!D90="magic"),CHOOSE('Reels'!D91+1,'Slots'!D29,'Slots'!D30,'Slots'!D31,'Slots'!D32,'Slots'!D33),0)+IF(OR('Reels'!D109="attack",'Reels'!D109="magic"),CHOOSE('Reels'!D110+1,'Slots'!D29,'Slots'!D30,'Slots'!D31,'Slots'!D32,'Slots'!D33),0)</f>
        <v>2</v>
      </c>
      <c r="E491">
        <f>IF('Reels'!D75="heal",'Reels'!D76*'Slots'!D24,0)+IF('Reels'!D90="heal",'Reels'!D91*'Slots'!D24,0)+IF('Reels'!D109="heal",'Reels'!D110*'Slots'!D24,0)</f>
        <v>0</v>
      </c>
      <c r="F491">
        <f>IF('Reels'!D75="block",'Reels'!D76*'Slots'!D25,0)+IF('Reels'!D90="block",'Reels'!D91*'Slots'!D25,0)+IF('Reels'!D109="block",'Reels'!D110*'Slots'!D25,0)</f>
        <v>0</v>
      </c>
      <c r="G491" t="b">
        <f>AND('Reels'!D75&lt;&gt;"blank",'Reels'!D75&lt;&gt;"class",'Reels'!D75='Reels'!D109,'Reels'!D76='Reels'!D110,OR('Reels'!D90="class",AND('Reels'!D90='Reels'!D75,'Reels'!D91='Reels'!D76)))</f>
        <v>0</v>
      </c>
      <c r="H491">
        <f>IF(G491,C491,0)</f>
        <v>0</v>
      </c>
    </row>
    <row r="492" spans="1:8" x14ac:dyDescent="0.25">
      <c r="A492" t="s">
        <v>247</v>
      </c>
      <c r="B492" t="s">
        <v>3825</v>
      </c>
      <c r="C492" s="4">
        <f>('Reels'!D77/('Reels'!D62+'Reels'!D65+'Reels'!D68+'Reels'!D71+'Reels'!D74+'Reels'!D77))*('Reels'!D92/('Reels'!D80+'Reels'!D83+'Reels'!D86+'Reels'!D89+'Reels'!D92+'Reels'!D95+'Reels'!D98))*('Reels'!D114/('Reels'!D102+'Reels'!D105+'Reels'!D108+'Reels'!D111+'Reels'!D114+'Reels'!D117))</f>
        <v>0.00009351912466099317</v>
      </c>
      <c r="D492">
        <f>IF(OR('Reels'!D75="attack",'Reels'!D75="magic"),CHOOSE('Reels'!D76+1,'Slots'!D29,'Slots'!D30,'Slots'!D31,'Slots'!D32,'Slots'!D33),0)+IF(OR('Reels'!D90="attack",'Reels'!D90="magic"),CHOOSE('Reels'!D91+1,'Slots'!D29,'Slots'!D30,'Slots'!D31,'Slots'!D32,'Slots'!D33),0)+IF(OR('Reels'!D112="attack",'Reels'!D112="magic"),CHOOSE('Reels'!D113+1,'Slots'!D29,'Slots'!D30,'Slots'!D31,'Slots'!D32,'Slots'!D33),0)</f>
        <v>4</v>
      </c>
      <c r="E492">
        <f>IF('Reels'!D75="heal",'Reels'!D76*'Slots'!D24,0)+IF('Reels'!D90="heal",'Reels'!D91*'Slots'!D24,0)+IF('Reels'!D112="heal",'Reels'!D113*'Slots'!D24,0)</f>
        <v>0</v>
      </c>
      <c r="F492">
        <f>IF('Reels'!D75="block",'Reels'!D76*'Slots'!D25,0)+IF('Reels'!D90="block",'Reels'!D91*'Slots'!D25,0)+IF('Reels'!D112="block",'Reels'!D113*'Slots'!D25,0)</f>
        <v>0</v>
      </c>
      <c r="G492" t="b">
        <f>AND('Reels'!D75&lt;&gt;"blank",'Reels'!D75&lt;&gt;"class",'Reels'!D75='Reels'!D112,'Reels'!D76='Reels'!D113,OR('Reels'!D90="class",AND('Reels'!D90='Reels'!D75,'Reels'!D91='Reels'!D76)))</f>
        <v>0</v>
      </c>
      <c r="H492">
        <f>IF(G492,C492,0)</f>
        <v>0</v>
      </c>
    </row>
    <row r="493" spans="1:8" x14ac:dyDescent="0.25">
      <c r="A493" t="s">
        <v>247</v>
      </c>
      <c r="B493" t="s">
        <v>3826</v>
      </c>
      <c r="C493" s="4">
        <f>('Reels'!D77/('Reels'!D62+'Reels'!D65+'Reels'!D68+'Reels'!D71+'Reels'!D74+'Reels'!D77))*('Reels'!D92/('Reels'!D80+'Reels'!D83+'Reels'!D86+'Reels'!D89+'Reels'!D92+'Reels'!D95+'Reels'!D98))*('Reels'!D117/('Reels'!D102+'Reels'!D105+'Reels'!D108+'Reels'!D111+'Reels'!D114+'Reels'!D117))</f>
        <v>0.00037407649864397267</v>
      </c>
      <c r="D493">
        <f>IF(OR('Reels'!D75="attack",'Reels'!D75="magic"),CHOOSE('Reels'!D76+1,'Slots'!D29,'Slots'!D30,'Slots'!D31,'Slots'!D32,'Slots'!D33),0)+IF(OR('Reels'!D90="attack",'Reels'!D90="magic"),CHOOSE('Reels'!D91+1,'Slots'!D29,'Slots'!D30,'Slots'!D31,'Slots'!D32,'Slots'!D33),0)+IF(OR('Reels'!D115="attack",'Reels'!D115="magic"),CHOOSE('Reels'!D116+1,'Slots'!D29,'Slots'!D30,'Slots'!D31,'Slots'!D32,'Slots'!D33),0)</f>
        <v>2</v>
      </c>
      <c r="E493">
        <f>IF('Reels'!D75="heal",'Reels'!D76*'Slots'!D24,0)+IF('Reels'!D90="heal",'Reels'!D91*'Slots'!D24,0)+IF('Reels'!D115="heal",'Reels'!D116*'Slots'!D24,0)</f>
        <v>0</v>
      </c>
      <c r="F493">
        <f>IF('Reels'!D75="block",'Reels'!D76*'Slots'!D25,0)+IF('Reels'!D90="block",'Reels'!D91*'Slots'!D25,0)+IF('Reels'!D115="block",'Reels'!D116*'Slots'!D25,0)</f>
        <v>0</v>
      </c>
      <c r="G493" t="b">
        <f>AND('Reels'!D75&lt;&gt;"blank",'Reels'!D75&lt;&gt;"class",'Reels'!D75='Reels'!D115,'Reels'!D76='Reels'!D116,OR('Reels'!D90="class",AND('Reels'!D90='Reels'!D75,'Reels'!D91='Reels'!D76)))</f>
        <v>0</v>
      </c>
      <c r="H493">
        <f>IF(G493,C493,0)</f>
        <v>0</v>
      </c>
    </row>
    <row r="494" spans="1:8" x14ac:dyDescent="0.25">
      <c r="A494" t="s">
        <v>247</v>
      </c>
      <c r="B494" t="s">
        <v>3609</v>
      </c>
      <c r="C494" s="4">
        <f>('Reels'!D77/('Reels'!D62+'Reels'!D65+'Reels'!D68+'Reels'!D71+'Reels'!D74+'Reels'!D77))*('Reels'!D95/('Reels'!D80+'Reels'!D83+'Reels'!D86+'Reels'!D89+'Reels'!D92+'Reels'!D95+'Reels'!D98))*('Reels'!D102/('Reels'!D102+'Reels'!D105+'Reels'!D108+'Reels'!D111+'Reels'!D114+'Reels'!D117))</f>
        <v>0.005237070981015618</v>
      </c>
      <c r="D494">
        <f>IF(OR('Reels'!D75="attack",'Reels'!D75="magic"),CHOOSE('Reels'!D76+1,'Slots'!D29,'Slots'!D30,'Slots'!D31,'Slots'!D32,'Slots'!D33),0)+IF(OR('Reels'!D93="attack",'Reels'!D93="magic"),CHOOSE('Reels'!D94+1,'Slots'!D29,'Slots'!D30,'Slots'!D31,'Slots'!D32,'Slots'!D33),0)+IF(OR('Reels'!D100="attack",'Reels'!D100="magic"),CHOOSE('Reels'!D101+1,'Slots'!D29,'Slots'!D30,'Slots'!D31,'Slots'!D32,'Slots'!D33),0)</f>
        <v>0</v>
      </c>
      <c r="E494">
        <f>IF('Reels'!D75="heal",'Reels'!D76*'Slots'!D24,0)+IF('Reels'!D93="heal",'Reels'!D94*'Slots'!D24,0)+IF('Reels'!D100="heal",'Reels'!D101*'Slots'!D24,0)</f>
        <v>2</v>
      </c>
      <c r="F494">
        <f>IF('Reels'!D75="block",'Reels'!D76*'Slots'!D25,0)+IF('Reels'!D93="block",'Reels'!D94*'Slots'!D25,0)+IF('Reels'!D100="block",'Reels'!D101*'Slots'!D25,0)</f>
        <v>0</v>
      </c>
      <c r="G494" t="b">
        <f>AND('Reels'!D75&lt;&gt;"blank",'Reels'!D75&lt;&gt;"class",'Reels'!D75='Reels'!D100,'Reels'!D76='Reels'!D101,OR('Reels'!D93="class",AND('Reels'!D93='Reels'!D75,'Reels'!D94='Reels'!D76)))</f>
        <v>0</v>
      </c>
      <c r="H494">
        <f>IF(G494,C494,0)</f>
        <v>0</v>
      </c>
    </row>
    <row r="495" spans="1:8" x14ac:dyDescent="0.25">
      <c r="A495" t="s">
        <v>247</v>
      </c>
      <c r="B495" t="s">
        <v>3827</v>
      </c>
      <c r="C495" s="4">
        <f>('Reels'!D77/('Reels'!D62+'Reels'!D65+'Reels'!D68+'Reels'!D71+'Reels'!D74+'Reels'!D77))*('Reels'!D95/('Reels'!D80+'Reels'!D83+'Reels'!D86+'Reels'!D89+'Reels'!D92+'Reels'!D95+'Reels'!D98))*('Reels'!D105/('Reels'!D102+'Reels'!D105+'Reels'!D108+'Reels'!D111+'Reels'!D114+'Reels'!D117))</f>
        <v>0.004488917983727672</v>
      </c>
      <c r="D495">
        <f>IF(OR('Reels'!D75="attack",'Reels'!D75="magic"),CHOOSE('Reels'!D76+1,'Slots'!D29,'Slots'!D30,'Slots'!D31,'Slots'!D32,'Slots'!D33),0)+IF(OR('Reels'!D93="attack",'Reels'!D93="magic"),CHOOSE('Reels'!D94+1,'Slots'!D29,'Slots'!D30,'Slots'!D31,'Slots'!D32,'Slots'!D33),0)+IF(OR('Reels'!D103="attack",'Reels'!D103="magic"),CHOOSE('Reels'!D104+1,'Slots'!D29,'Slots'!D30,'Slots'!D31,'Slots'!D32,'Slots'!D33),0)</f>
        <v>0</v>
      </c>
      <c r="E495">
        <f>IF('Reels'!D75="heal",'Reels'!D76*'Slots'!D24,0)+IF('Reels'!D93="heal",'Reels'!D94*'Slots'!D24,0)+IF('Reels'!D103="heal",'Reels'!D104*'Slots'!D24,0)</f>
        <v>4</v>
      </c>
      <c r="F495">
        <f>IF('Reels'!D75="block",'Reels'!D76*'Slots'!D25,0)+IF('Reels'!D93="block",'Reels'!D94*'Slots'!D25,0)+IF('Reels'!D103="block",'Reels'!D104*'Slots'!D25,0)</f>
        <v>0</v>
      </c>
      <c r="G495" t="b">
        <f>AND('Reels'!D75&lt;&gt;"blank",'Reels'!D75&lt;&gt;"class",'Reels'!D75='Reels'!D103,'Reels'!D76='Reels'!D104,OR('Reels'!D93="class",AND('Reels'!D93='Reels'!D75,'Reels'!D94='Reels'!D76)))</f>
        <v>0</v>
      </c>
      <c r="H495">
        <f>IF(G495,C495,0)</f>
        <v>0</v>
      </c>
    </row>
    <row r="496" spans="1:8" x14ac:dyDescent="0.25">
      <c r="A496" t="s">
        <v>247</v>
      </c>
      <c r="B496" t="s">
        <v>3607</v>
      </c>
      <c r="C496" s="4">
        <f>('Reels'!D77/('Reels'!D62+'Reels'!D65+'Reels'!D68+'Reels'!D71+'Reels'!D74+'Reels'!D77))*('Reels'!D95/('Reels'!D80+'Reels'!D83+'Reels'!D86+'Reels'!D89+'Reels'!D92+'Reels'!D95+'Reels'!D98))*('Reels'!D108/('Reels'!D102+'Reels'!D105+'Reels'!D108+'Reels'!D111+'Reels'!D114+'Reels'!D117))</f>
        <v>0.0007481529972879453</v>
      </c>
      <c r="D496">
        <f>IF(OR('Reels'!D75="attack",'Reels'!D75="magic"),CHOOSE('Reels'!D76+1,'Slots'!D29,'Slots'!D30,'Slots'!D31,'Slots'!D32,'Slots'!D33),0)+IF(OR('Reels'!D93="attack",'Reels'!D93="magic"),CHOOSE('Reels'!D94+1,'Slots'!D29,'Slots'!D30,'Slots'!D31,'Slots'!D32,'Slots'!D33),0)+IF(OR('Reels'!D106="attack",'Reels'!D106="magic"),CHOOSE('Reels'!D107+1,'Slots'!D29,'Slots'!D30,'Slots'!D31,'Slots'!D32,'Slots'!D33),0)</f>
        <v>0</v>
      </c>
      <c r="E496">
        <f>IF('Reels'!D75="heal",'Reels'!D76*'Slots'!D24,0)+IF('Reels'!D93="heal",'Reels'!D94*'Slots'!D24,0)+IF('Reels'!D106="heal",'Reels'!D107*'Slots'!D24,0)</f>
        <v>0</v>
      </c>
      <c r="F496">
        <f>IF('Reels'!D75="block",'Reels'!D76*'Slots'!D25,0)+IF('Reels'!D93="block",'Reels'!D94*'Slots'!D25,0)+IF('Reels'!D106="block",'Reels'!D107*'Slots'!D25,0)</f>
        <v>1</v>
      </c>
      <c r="G496" t="b">
        <f>AND('Reels'!D75&lt;&gt;"blank",'Reels'!D75&lt;&gt;"class",'Reels'!D75='Reels'!D106,'Reels'!D76='Reels'!D107,OR('Reels'!D93="class",AND('Reels'!D93='Reels'!D75,'Reels'!D94='Reels'!D76)))</f>
        <v>0</v>
      </c>
      <c r="H496">
        <f>IF(G496,C496,0)</f>
        <v>0</v>
      </c>
    </row>
    <row r="497" spans="1:8" x14ac:dyDescent="0.25">
      <c r="A497" t="s">
        <v>247</v>
      </c>
      <c r="B497" t="s">
        <v>3828</v>
      </c>
      <c r="C497" s="4">
        <f>('Reels'!D77/('Reels'!D62+'Reels'!D65+'Reels'!D68+'Reels'!D71+'Reels'!D74+'Reels'!D77))*('Reels'!D95/('Reels'!D80+'Reels'!D83+'Reels'!D86+'Reels'!D89+'Reels'!D92+'Reels'!D95+'Reels'!D98))*('Reels'!D111/('Reels'!D102+'Reels'!D105+'Reels'!D108+'Reels'!D111+'Reels'!D114+'Reels'!D117))</f>
        <v>0.00037407649864397267</v>
      </c>
      <c r="D497">
        <f>IF(OR('Reels'!D75="attack",'Reels'!D75="magic"),CHOOSE('Reels'!D76+1,'Slots'!D29,'Slots'!D30,'Slots'!D31,'Slots'!D32,'Slots'!D33),0)+IF(OR('Reels'!D93="attack",'Reels'!D93="magic"),CHOOSE('Reels'!D94+1,'Slots'!D29,'Slots'!D30,'Slots'!D31,'Slots'!D32,'Slots'!D33),0)+IF(OR('Reels'!D109="attack",'Reels'!D109="magic"),CHOOSE('Reels'!D110+1,'Slots'!D29,'Slots'!D30,'Slots'!D31,'Slots'!D32,'Slots'!D33),0)</f>
        <v>0</v>
      </c>
      <c r="E497">
        <f>IF('Reels'!D75="heal",'Reels'!D76*'Slots'!D24,0)+IF('Reels'!D93="heal",'Reels'!D94*'Slots'!D24,0)+IF('Reels'!D109="heal",'Reels'!D110*'Slots'!D24,0)</f>
        <v>0</v>
      </c>
      <c r="F497">
        <f>IF('Reels'!D75="block",'Reels'!D76*'Slots'!D25,0)+IF('Reels'!D93="block",'Reels'!D94*'Slots'!D25,0)+IF('Reels'!D109="block",'Reels'!D110*'Slots'!D25,0)</f>
        <v>0</v>
      </c>
      <c r="G497" t="b">
        <f>AND('Reels'!D75&lt;&gt;"blank",'Reels'!D75&lt;&gt;"class",'Reels'!D75='Reels'!D109,'Reels'!D76='Reels'!D110,OR('Reels'!D93="class",AND('Reels'!D93='Reels'!D75,'Reels'!D94='Reels'!D76)))</f>
        <v>0</v>
      </c>
      <c r="H497">
        <f>IF(G497,C497,0)</f>
        <v>0</v>
      </c>
    </row>
    <row r="498" spans="1:8" x14ac:dyDescent="0.25">
      <c r="A498" t="s">
        <v>247</v>
      </c>
      <c r="B498" t="s">
        <v>3829</v>
      </c>
      <c r="C498" s="4">
        <f>('Reels'!D77/('Reels'!D62+'Reels'!D65+'Reels'!D68+'Reels'!D71+'Reels'!D74+'Reels'!D77))*('Reels'!D95/('Reels'!D80+'Reels'!D83+'Reels'!D86+'Reels'!D89+'Reels'!D92+'Reels'!D95+'Reels'!D98))*('Reels'!D114/('Reels'!D102+'Reels'!D105+'Reels'!D108+'Reels'!D111+'Reels'!D114+'Reels'!D117))</f>
        <v>0.00037407649864397267</v>
      </c>
      <c r="D498">
        <f>IF(OR('Reels'!D75="attack",'Reels'!D75="magic"),CHOOSE('Reels'!D76+1,'Slots'!D29,'Slots'!D30,'Slots'!D31,'Slots'!D32,'Slots'!D33),0)+IF(OR('Reels'!D93="attack",'Reels'!D93="magic"),CHOOSE('Reels'!D94+1,'Slots'!D29,'Slots'!D30,'Slots'!D31,'Slots'!D32,'Slots'!D33),0)+IF(OR('Reels'!D112="attack",'Reels'!D112="magic"),CHOOSE('Reels'!D113+1,'Slots'!D29,'Slots'!D30,'Slots'!D31,'Slots'!D32,'Slots'!D33),0)</f>
        <v>2</v>
      </c>
      <c r="E498">
        <f>IF('Reels'!D75="heal",'Reels'!D76*'Slots'!D24,0)+IF('Reels'!D93="heal",'Reels'!D94*'Slots'!D24,0)+IF('Reels'!D112="heal",'Reels'!D113*'Slots'!D24,0)</f>
        <v>0</v>
      </c>
      <c r="F498">
        <f>IF('Reels'!D75="block",'Reels'!D76*'Slots'!D25,0)+IF('Reels'!D93="block",'Reels'!D94*'Slots'!D25,0)+IF('Reels'!D112="block",'Reels'!D113*'Slots'!D25,0)</f>
        <v>0</v>
      </c>
      <c r="G498" t="b">
        <f>AND('Reels'!D75&lt;&gt;"blank",'Reels'!D75&lt;&gt;"class",'Reels'!D75='Reels'!D112,'Reels'!D76='Reels'!D113,OR('Reels'!D93="class",AND('Reels'!D93='Reels'!D75,'Reels'!D94='Reels'!D76)))</f>
        <v>0</v>
      </c>
      <c r="H498">
        <f>IF(G498,C498,0)</f>
        <v>0</v>
      </c>
    </row>
    <row r="499" spans="1:8" x14ac:dyDescent="0.25">
      <c r="A499" t="s">
        <v>247</v>
      </c>
      <c r="B499" t="s">
        <v>3610</v>
      </c>
      <c r="C499" s="4">
        <f>('Reels'!D77/('Reels'!D62+'Reels'!D65+'Reels'!D68+'Reels'!D71+'Reels'!D74+'Reels'!D77))*('Reels'!D95/('Reels'!D80+'Reels'!D83+'Reels'!D86+'Reels'!D89+'Reels'!D92+'Reels'!D95+'Reels'!D98))*('Reels'!D117/('Reels'!D102+'Reels'!D105+'Reels'!D108+'Reels'!D111+'Reels'!D114+'Reels'!D117))</f>
        <v>0.0014963059945758907</v>
      </c>
      <c r="D499">
        <f>IF(OR('Reels'!D75="attack",'Reels'!D75="magic"),CHOOSE('Reels'!D76+1,'Slots'!D29,'Slots'!D30,'Slots'!D31,'Slots'!D32,'Slots'!D33),0)+IF(OR('Reels'!D93="attack",'Reels'!D93="magic"),CHOOSE('Reels'!D94+1,'Slots'!D29,'Slots'!D30,'Slots'!D31,'Slots'!D32,'Slots'!D33),0)+IF(OR('Reels'!D115="attack",'Reels'!D115="magic"),CHOOSE('Reels'!D116+1,'Slots'!D29,'Slots'!D30,'Slots'!D31,'Slots'!D32,'Slots'!D33),0)</f>
        <v>0</v>
      </c>
      <c r="E499">
        <f>IF('Reels'!D75="heal",'Reels'!D76*'Slots'!D24,0)+IF('Reels'!D93="heal",'Reels'!D94*'Slots'!D24,0)+IF('Reels'!D115="heal",'Reels'!D116*'Slots'!D24,0)</f>
        <v>0</v>
      </c>
      <c r="F499">
        <f>IF('Reels'!D75="block",'Reels'!D76*'Slots'!D25,0)+IF('Reels'!D93="block",'Reels'!D94*'Slots'!D25,0)+IF('Reels'!D115="block",'Reels'!D116*'Slots'!D25,0)</f>
        <v>0</v>
      </c>
      <c r="G499" t="b">
        <f>AND('Reels'!D75&lt;&gt;"blank",'Reels'!D75&lt;&gt;"class",'Reels'!D75='Reels'!D115,'Reels'!D76='Reels'!D116,OR('Reels'!D93="class",AND('Reels'!D93='Reels'!D75,'Reels'!D94='Reels'!D76)))</f>
        <v>0</v>
      </c>
      <c r="H499">
        <f>IF(G499,C499,0)</f>
        <v>0</v>
      </c>
    </row>
    <row r="500" spans="1:8" x14ac:dyDescent="0.25">
      <c r="A500" t="s">
        <v>247</v>
      </c>
      <c r="B500" t="s">
        <v>3615</v>
      </c>
      <c r="C500" s="4">
        <f>('Reels'!D77/('Reels'!D62+'Reels'!D65+'Reels'!D68+'Reels'!D71+'Reels'!D74+'Reels'!D77))*('Reels'!D98/('Reels'!D80+'Reels'!D83+'Reels'!D86+'Reels'!D89+'Reels'!D92+'Reels'!D95+'Reels'!D98))*('Reels'!D102/('Reels'!D102+'Reels'!D105+'Reels'!D108+'Reels'!D111+'Reels'!D114+'Reels'!D117))</f>
        <v>0.003927803235761714</v>
      </c>
      <c r="D500">
        <f>IF(OR('Reels'!D75="attack",'Reels'!D75="magic"),CHOOSE('Reels'!D76+1,'Slots'!D29,'Slots'!D30,'Slots'!D31,'Slots'!D32,'Slots'!D33),0)+IF(OR('Reels'!D96="attack",'Reels'!D96="magic"),CHOOSE('Reels'!D97+1,'Slots'!D29,'Slots'!D30,'Slots'!D31,'Slots'!D32,'Slots'!D33),0)+IF(OR('Reels'!D100="attack",'Reels'!D100="magic"),CHOOSE('Reels'!D101+1,'Slots'!D29,'Slots'!D30,'Slots'!D31,'Slots'!D32,'Slots'!D33),0)</f>
        <v>0</v>
      </c>
      <c r="E500">
        <f>IF('Reels'!D75="heal",'Reels'!D76*'Slots'!D24,0)+IF('Reels'!D96="heal",'Reels'!D97*'Slots'!D24,0)+IF('Reels'!D100="heal",'Reels'!D101*'Slots'!D24,0)</f>
        <v>2</v>
      </c>
      <c r="F500">
        <f>IF('Reels'!D75="block",'Reels'!D76*'Slots'!D25,0)+IF('Reels'!D96="block",'Reels'!D97*'Slots'!D25,0)+IF('Reels'!D100="block",'Reels'!D101*'Slots'!D25,0)</f>
        <v>0</v>
      </c>
      <c r="G500" t="b">
        <f>AND('Reels'!D75&lt;&gt;"blank",'Reels'!D75&lt;&gt;"class",'Reels'!D75='Reels'!D100,'Reels'!D76='Reels'!D101,OR('Reels'!D96="class",AND('Reels'!D96='Reels'!D75,'Reels'!D97='Reels'!D76)))</f>
        <v>0</v>
      </c>
      <c r="H500">
        <f>IF(G500,C500,0)</f>
        <v>0</v>
      </c>
    </row>
    <row r="501" spans="1:8" x14ac:dyDescent="0.25">
      <c r="A501" t="s">
        <v>247</v>
      </c>
      <c r="B501" t="s">
        <v>3830</v>
      </c>
      <c r="C501" s="4">
        <f>('Reels'!D77/('Reels'!D62+'Reels'!D65+'Reels'!D68+'Reels'!D71+'Reels'!D74+'Reels'!D77))*('Reels'!D98/('Reels'!D80+'Reels'!D83+'Reels'!D86+'Reels'!D89+'Reels'!D92+'Reels'!D95+'Reels'!D98))*('Reels'!D105/('Reels'!D102+'Reels'!D105+'Reels'!D108+'Reels'!D111+'Reels'!D114+'Reels'!D117))</f>
        <v>0.003366688487795754</v>
      </c>
      <c r="D501">
        <f>IF(OR('Reels'!D75="attack",'Reels'!D75="magic"),CHOOSE('Reels'!D76+1,'Slots'!D29,'Slots'!D30,'Slots'!D31,'Slots'!D32,'Slots'!D33),0)+IF(OR('Reels'!D96="attack",'Reels'!D96="magic"),CHOOSE('Reels'!D97+1,'Slots'!D29,'Slots'!D30,'Slots'!D31,'Slots'!D32,'Slots'!D33),0)+IF(OR('Reels'!D103="attack",'Reels'!D103="magic"),CHOOSE('Reels'!D104+1,'Slots'!D29,'Slots'!D30,'Slots'!D31,'Slots'!D32,'Slots'!D33),0)</f>
        <v>0</v>
      </c>
      <c r="E501">
        <f>IF('Reels'!D75="heal",'Reels'!D76*'Slots'!D24,0)+IF('Reels'!D96="heal",'Reels'!D97*'Slots'!D24,0)+IF('Reels'!D103="heal",'Reels'!D104*'Slots'!D24,0)</f>
        <v>4</v>
      </c>
      <c r="F501">
        <f>IF('Reels'!D75="block",'Reels'!D76*'Slots'!D25,0)+IF('Reels'!D96="block",'Reels'!D97*'Slots'!D25,0)+IF('Reels'!D103="block",'Reels'!D104*'Slots'!D25,0)</f>
        <v>0</v>
      </c>
      <c r="G501" t="b">
        <f>AND('Reels'!D75&lt;&gt;"blank",'Reels'!D75&lt;&gt;"class",'Reels'!D75='Reels'!D103,'Reels'!D76='Reels'!D104,OR('Reels'!D96="class",AND('Reels'!D96='Reels'!D75,'Reels'!D97='Reels'!D76)))</f>
        <v>0</v>
      </c>
      <c r="H501">
        <f>IF(G501,C501,0)</f>
        <v>0</v>
      </c>
    </row>
    <row r="502" spans="1:8" x14ac:dyDescent="0.25">
      <c r="A502" t="s">
        <v>247</v>
      </c>
      <c r="B502" t="s">
        <v>3613</v>
      </c>
      <c r="C502" s="4">
        <f>('Reels'!D77/('Reels'!D62+'Reels'!D65+'Reels'!D68+'Reels'!D71+'Reels'!D74+'Reels'!D77))*('Reels'!D98/('Reels'!D80+'Reels'!D83+'Reels'!D86+'Reels'!D89+'Reels'!D92+'Reels'!D95+'Reels'!D98))*('Reels'!D108/('Reels'!D102+'Reels'!D105+'Reels'!D108+'Reels'!D111+'Reels'!D114+'Reels'!D117))</f>
        <v>0.000561114747965959</v>
      </c>
      <c r="D502">
        <f>IF(OR('Reels'!D75="attack",'Reels'!D75="magic"),CHOOSE('Reels'!D76+1,'Slots'!D29,'Slots'!D30,'Slots'!D31,'Slots'!D32,'Slots'!D33),0)+IF(OR('Reels'!D96="attack",'Reels'!D96="magic"),CHOOSE('Reels'!D97+1,'Slots'!D29,'Slots'!D30,'Slots'!D31,'Slots'!D32,'Slots'!D33),0)+IF(OR('Reels'!D106="attack",'Reels'!D106="magic"),CHOOSE('Reels'!D107+1,'Slots'!D29,'Slots'!D30,'Slots'!D31,'Slots'!D32,'Slots'!D33),0)</f>
        <v>0</v>
      </c>
      <c r="E502">
        <f>IF('Reels'!D75="heal",'Reels'!D76*'Slots'!D24,0)+IF('Reels'!D96="heal",'Reels'!D97*'Slots'!D24,0)+IF('Reels'!D106="heal",'Reels'!D107*'Slots'!D24,0)</f>
        <v>0</v>
      </c>
      <c r="F502">
        <f>IF('Reels'!D75="block",'Reels'!D76*'Slots'!D25,0)+IF('Reels'!D96="block",'Reels'!D97*'Slots'!D25,0)+IF('Reels'!D106="block",'Reels'!D107*'Slots'!D25,0)</f>
        <v>1</v>
      </c>
      <c r="G502" t="b">
        <f>AND('Reels'!D75&lt;&gt;"blank",'Reels'!D75&lt;&gt;"class",'Reels'!D75='Reels'!D106,'Reels'!D76='Reels'!D107,OR('Reels'!D96="class",AND('Reels'!D96='Reels'!D75,'Reels'!D97='Reels'!D76)))</f>
        <v>0</v>
      </c>
      <c r="H502">
        <f>IF(G502,C502,0)</f>
        <v>0</v>
      </c>
    </row>
    <row r="503" spans="1:8" x14ac:dyDescent="0.25">
      <c r="A503" t="s">
        <v>247</v>
      </c>
      <c r="B503" t="s">
        <v>3831</v>
      </c>
      <c r="C503" s="4">
        <f>('Reels'!D77/('Reels'!D62+'Reels'!D65+'Reels'!D68+'Reels'!D71+'Reels'!D74+'Reels'!D77))*('Reels'!D98/('Reels'!D80+'Reels'!D83+'Reels'!D86+'Reels'!D89+'Reels'!D92+'Reels'!D95+'Reels'!D98))*('Reels'!D111/('Reels'!D102+'Reels'!D105+'Reels'!D108+'Reels'!D111+'Reels'!D114+'Reels'!D117))</f>
        <v>0.0002805573739829795</v>
      </c>
      <c r="D503">
        <f>IF(OR('Reels'!D75="attack",'Reels'!D75="magic"),CHOOSE('Reels'!D76+1,'Slots'!D29,'Slots'!D30,'Slots'!D31,'Slots'!D32,'Slots'!D33),0)+IF(OR('Reels'!D96="attack",'Reels'!D96="magic"),CHOOSE('Reels'!D97+1,'Slots'!D29,'Slots'!D30,'Slots'!D31,'Slots'!D32,'Slots'!D33),0)+IF(OR('Reels'!D109="attack",'Reels'!D109="magic"),CHOOSE('Reels'!D110+1,'Slots'!D29,'Slots'!D30,'Slots'!D31,'Slots'!D32,'Slots'!D33),0)</f>
        <v>0</v>
      </c>
      <c r="E503">
        <f>IF('Reels'!D75="heal",'Reels'!D76*'Slots'!D24,0)+IF('Reels'!D96="heal",'Reels'!D97*'Slots'!D24,0)+IF('Reels'!D109="heal",'Reels'!D110*'Slots'!D24,0)</f>
        <v>0</v>
      </c>
      <c r="F503">
        <f>IF('Reels'!D75="block",'Reels'!D76*'Slots'!D25,0)+IF('Reels'!D96="block",'Reels'!D97*'Slots'!D25,0)+IF('Reels'!D109="block",'Reels'!D110*'Slots'!D25,0)</f>
        <v>0</v>
      </c>
      <c r="G503" t="b">
        <f>AND('Reels'!D75&lt;&gt;"blank",'Reels'!D75&lt;&gt;"class",'Reels'!D75='Reels'!D109,'Reels'!D76='Reels'!D110,OR('Reels'!D96="class",AND('Reels'!D96='Reels'!D75,'Reels'!D97='Reels'!D76)))</f>
        <v>0</v>
      </c>
      <c r="H503">
        <f>IF(G503,C503,0)</f>
        <v>0</v>
      </c>
    </row>
    <row r="504" spans="1:8" x14ac:dyDescent="0.25">
      <c r="A504" t="s">
        <v>247</v>
      </c>
      <c r="B504" t="s">
        <v>3832</v>
      </c>
      <c r="C504" s="4">
        <f>('Reels'!D77/('Reels'!D62+'Reels'!D65+'Reels'!D68+'Reels'!D71+'Reels'!D74+'Reels'!D77))*('Reels'!D98/('Reels'!D80+'Reels'!D83+'Reels'!D86+'Reels'!D89+'Reels'!D92+'Reels'!D95+'Reels'!D98))*('Reels'!D114/('Reels'!D102+'Reels'!D105+'Reels'!D108+'Reels'!D111+'Reels'!D114+'Reels'!D117))</f>
        <v>0.0002805573739829795</v>
      </c>
      <c r="D504">
        <f>IF(OR('Reels'!D75="attack",'Reels'!D75="magic"),CHOOSE('Reels'!D76+1,'Slots'!D29,'Slots'!D30,'Slots'!D31,'Slots'!D32,'Slots'!D33),0)+IF(OR('Reels'!D96="attack",'Reels'!D96="magic"),CHOOSE('Reels'!D97+1,'Slots'!D29,'Slots'!D30,'Slots'!D31,'Slots'!D32,'Slots'!D33),0)+IF(OR('Reels'!D112="attack",'Reels'!D112="magic"),CHOOSE('Reels'!D113+1,'Slots'!D29,'Slots'!D30,'Slots'!D31,'Slots'!D32,'Slots'!D33),0)</f>
        <v>2</v>
      </c>
      <c r="E504">
        <f>IF('Reels'!D75="heal",'Reels'!D76*'Slots'!D24,0)+IF('Reels'!D96="heal",'Reels'!D97*'Slots'!D24,0)+IF('Reels'!D112="heal",'Reels'!D113*'Slots'!D24,0)</f>
        <v>0</v>
      </c>
      <c r="F504">
        <f>IF('Reels'!D75="block",'Reels'!D76*'Slots'!D25,0)+IF('Reels'!D96="block",'Reels'!D97*'Slots'!D25,0)+IF('Reels'!D112="block",'Reels'!D113*'Slots'!D25,0)</f>
        <v>0</v>
      </c>
      <c r="G504" t="b">
        <f>AND('Reels'!D75&lt;&gt;"blank",'Reels'!D75&lt;&gt;"class",'Reels'!D75='Reels'!D112,'Reels'!D76='Reels'!D113,OR('Reels'!D96="class",AND('Reels'!D96='Reels'!D75,'Reels'!D97='Reels'!D76)))</f>
        <v>0</v>
      </c>
      <c r="H504">
        <f>IF(G504,C504,0)</f>
        <v>0</v>
      </c>
    </row>
    <row r="505" spans="1:8" x14ac:dyDescent="0.25">
      <c r="A505" t="s">
        <v>247</v>
      </c>
      <c r="B505" t="s">
        <v>3616</v>
      </c>
      <c r="C505" s="4">
        <f>('Reels'!D77/('Reels'!D62+'Reels'!D65+'Reels'!D68+'Reels'!D71+'Reels'!D74+'Reels'!D77))*('Reels'!D98/('Reels'!D80+'Reels'!D83+'Reels'!D86+'Reels'!D89+'Reels'!D92+'Reels'!D95+'Reels'!D98))*('Reels'!D117/('Reels'!D102+'Reels'!D105+'Reels'!D108+'Reels'!D111+'Reels'!D114+'Reels'!D117))</f>
        <v>0.001122229495931918</v>
      </c>
      <c r="D505">
        <f>IF(OR('Reels'!D75="attack",'Reels'!D75="magic"),CHOOSE('Reels'!D76+1,'Slots'!D29,'Slots'!D30,'Slots'!D31,'Slots'!D32,'Slots'!D33),0)+IF(OR('Reels'!D96="attack",'Reels'!D96="magic"),CHOOSE('Reels'!D97+1,'Slots'!D29,'Slots'!D30,'Slots'!D31,'Slots'!D32,'Slots'!D33),0)+IF(OR('Reels'!D115="attack",'Reels'!D115="magic"),CHOOSE('Reels'!D116+1,'Slots'!D29,'Slots'!D30,'Slots'!D31,'Slots'!D32,'Slots'!D33),0)</f>
        <v>0</v>
      </c>
      <c r="E505">
        <f>IF('Reels'!D75="heal",'Reels'!D76*'Slots'!D24,0)+IF('Reels'!D96="heal",'Reels'!D97*'Slots'!D24,0)+IF('Reels'!D115="heal",'Reels'!D116*'Slots'!D24,0)</f>
        <v>0</v>
      </c>
      <c r="F505">
        <f>IF('Reels'!D75="block",'Reels'!D76*'Slots'!D25,0)+IF('Reels'!D96="block",'Reels'!D97*'Slots'!D25,0)+IF('Reels'!D115="block",'Reels'!D116*'Slots'!D25,0)</f>
        <v>0</v>
      </c>
      <c r="G505" t="b">
        <f>AND('Reels'!D75&lt;&gt;"blank",'Reels'!D75&lt;&gt;"class",'Reels'!D75='Reels'!D115,'Reels'!D76='Reels'!D116,OR('Reels'!D96="class",AND('Reels'!D96='Reels'!D75,'Reels'!D97='Reels'!D76)))</f>
        <v>0</v>
      </c>
      <c r="H505">
        <f>IF(G505,C505,0)</f>
        <v>0</v>
      </c>
    </row>
    <row r="506" spans="1:8" x14ac:dyDescent="0.25">
      <c r="A506" t="s">
        <v>258</v>
      </c>
      <c r="B506" t="s">
        <v>3365</v>
      </c>
      <c r="C506" s="4">
        <f>('Reels'!D120/('Reels'!D120+'Reels'!D123+'Reels'!D126+'Reels'!D129+'Reels'!D132+'Reels'!D135))*('Reels'!D138/('Reels'!D138+'Reels'!D141+'Reels'!D144+'Reels'!D147+'Reels'!D150+'Reels'!D153+'Reels'!D156))*('Reels'!D160/('Reels'!D160+'Reels'!D163+'Reels'!D166+'Reels'!D169+'Reels'!D172+'Reels'!D175))</f>
        <v>0.04073575319826162</v>
      </c>
      <c r="D506">
        <f>IF(OR('Reels'!D118="attack",'Reels'!D118="magic"),CHOOSE('Reels'!D119+1,'Slots'!D29,'Slots'!D30,'Slots'!D31,'Slots'!D32,'Slots'!D33),0)+IF(OR('Reels'!D136="attack",'Reels'!D136="magic"),CHOOSE('Reels'!D137+1,'Slots'!D29,'Slots'!D30,'Slots'!D31,'Slots'!D32,'Slots'!D33),0)+IF(OR('Reels'!D158="attack",'Reels'!D158="magic"),CHOOSE('Reels'!D159+1,'Slots'!D29,'Slots'!D30,'Slots'!D31,'Slots'!D32,'Slots'!D33),0)</f>
        <v>6</v>
      </c>
      <c r="E506">
        <f>IF('Reels'!D118="heal",'Reels'!D119*'Slots'!D24,0)+IF('Reels'!D136="heal",'Reels'!D137*'Slots'!D24,0)+IF('Reels'!D158="heal",'Reels'!D159*'Slots'!D24,0)</f>
        <v>0</v>
      </c>
      <c r="F506">
        <f>IF('Reels'!D118="block",'Reels'!D119*'Slots'!D25,0)+IF('Reels'!D136="block",'Reels'!D137*'Slots'!D25,0)+IF('Reels'!D158="block",'Reels'!D159*'Slots'!D25,0)</f>
        <v>0</v>
      </c>
      <c r="G506" t="b">
        <f>AND('Reels'!D118&lt;&gt;"blank",'Reels'!D118&lt;&gt;"class",'Reels'!D118='Reels'!D158,'Reels'!D119='Reels'!D159,OR('Reels'!D136="class",AND('Reels'!D136='Reels'!D118,'Reels'!D137='Reels'!D119)))</f>
        <v>1</v>
      </c>
      <c r="H506">
        <f>IF(G506,C506,0)</f>
        <v>0.04073575319826162</v>
      </c>
    </row>
    <row r="507" spans="1:8" x14ac:dyDescent="0.25">
      <c r="A507" t="s">
        <v>258</v>
      </c>
      <c r="B507" t="s">
        <v>3366</v>
      </c>
      <c r="C507" s="4">
        <f>('Reels'!D120/('Reels'!D120+'Reels'!D123+'Reels'!D126+'Reels'!D129+'Reels'!D132+'Reels'!D135))*('Reels'!D138/('Reels'!D138+'Reels'!D141+'Reels'!D144+'Reels'!D147+'Reels'!D150+'Reels'!D153+'Reels'!D156))*('Reels'!D163/('Reels'!D160+'Reels'!D163+'Reels'!D166+'Reels'!D169+'Reels'!D172+'Reels'!D175))</f>
        <v>0.037032502907510555</v>
      </c>
      <c r="D507">
        <f>IF(OR('Reels'!D118="attack",'Reels'!D118="magic"),CHOOSE('Reels'!D119+1,'Slots'!D29,'Slots'!D30,'Slots'!D31,'Slots'!D32,'Slots'!D33),0)+IF(OR('Reels'!D136="attack",'Reels'!D136="magic"),CHOOSE('Reels'!D137+1,'Slots'!D29,'Slots'!D30,'Slots'!D31,'Slots'!D32,'Slots'!D33),0)+IF(OR('Reels'!D161="attack",'Reels'!D161="magic"),CHOOSE('Reels'!D162+1,'Slots'!D29,'Slots'!D30,'Slots'!D31,'Slots'!D32,'Slots'!D33),0)</f>
        <v>8</v>
      </c>
      <c r="E507">
        <f>IF('Reels'!D118="heal",'Reels'!D119*'Slots'!D24,0)+IF('Reels'!D136="heal",'Reels'!D137*'Slots'!D24,0)+IF('Reels'!D161="heal",'Reels'!D162*'Slots'!D24,0)</f>
        <v>0</v>
      </c>
      <c r="F507">
        <f>IF('Reels'!D118="block",'Reels'!D119*'Slots'!D25,0)+IF('Reels'!D136="block",'Reels'!D137*'Slots'!D25,0)+IF('Reels'!D161="block",'Reels'!D162*'Slots'!D25,0)</f>
        <v>0</v>
      </c>
      <c r="G507" t="b">
        <f>AND('Reels'!D118&lt;&gt;"blank",'Reels'!D118&lt;&gt;"class",'Reels'!D118='Reels'!D161,'Reels'!D119='Reels'!D162,OR('Reels'!D136="class",AND('Reels'!D136='Reels'!D118,'Reels'!D137='Reels'!D119)))</f>
        <v>0</v>
      </c>
      <c r="H507">
        <f>IF(G507,C507,0)</f>
        <v>0</v>
      </c>
    </row>
    <row r="508" spans="1:8" x14ac:dyDescent="0.25">
      <c r="A508" t="s">
        <v>258</v>
      </c>
      <c r="B508" t="s">
        <v>3833</v>
      </c>
      <c r="C508" s="4">
        <f>('Reels'!D120/('Reels'!D120+'Reels'!D123+'Reels'!D126+'Reels'!D129+'Reels'!D132+'Reels'!D135))*('Reels'!D138/('Reels'!D138+'Reels'!D141+'Reels'!D144+'Reels'!D147+'Reels'!D150+'Reels'!D153+'Reels'!D156))*('Reels'!D166/('Reels'!D160+'Reels'!D163+'Reels'!D166+'Reels'!D169+'Reels'!D172+'Reels'!D175))</f>
        <v>0.011109750872253169</v>
      </c>
      <c r="D508">
        <f>IF(OR('Reels'!D118="attack",'Reels'!D118="magic"),CHOOSE('Reels'!D119+1,'Slots'!D29,'Slots'!D30,'Slots'!D31,'Slots'!D32,'Slots'!D33),0)+IF(OR('Reels'!D136="attack",'Reels'!D136="magic"),CHOOSE('Reels'!D137+1,'Slots'!D29,'Slots'!D30,'Slots'!D31,'Slots'!D32,'Slots'!D33),0)+IF(OR('Reels'!D164="attack",'Reels'!D164="magic"),CHOOSE('Reels'!D165+1,'Slots'!D29,'Slots'!D30,'Slots'!D31,'Slots'!D32,'Slots'!D33),0)</f>
        <v>11</v>
      </c>
      <c r="E508">
        <f>IF('Reels'!D118="heal",'Reels'!D119*'Slots'!D24,0)+IF('Reels'!D136="heal",'Reels'!D137*'Slots'!D24,0)+IF('Reels'!D164="heal",'Reels'!D165*'Slots'!D24,0)</f>
        <v>0</v>
      </c>
      <c r="F508">
        <f>IF('Reels'!D118="block",'Reels'!D119*'Slots'!D25,0)+IF('Reels'!D136="block",'Reels'!D137*'Slots'!D25,0)+IF('Reels'!D164="block",'Reels'!D165*'Slots'!D25,0)</f>
        <v>0</v>
      </c>
      <c r="G508" t="b">
        <f>AND('Reels'!D118&lt;&gt;"blank",'Reels'!D118&lt;&gt;"class",'Reels'!D118='Reels'!D164,'Reels'!D119='Reels'!D165,OR('Reels'!D136="class",AND('Reels'!D136='Reels'!D118,'Reels'!D137='Reels'!D119)))</f>
        <v>0</v>
      </c>
      <c r="H508">
        <f>IF(G508,C508,0)</f>
        <v>0</v>
      </c>
    </row>
    <row r="509" spans="1:8" x14ac:dyDescent="0.25">
      <c r="A509" t="s">
        <v>258</v>
      </c>
      <c r="B509" t="s">
        <v>3834</v>
      </c>
      <c r="C509" s="4">
        <f>('Reels'!D120/('Reels'!D120+'Reels'!D123+'Reels'!D126+'Reels'!D129+'Reels'!D132+'Reels'!D135))*('Reels'!D138/('Reels'!D138+'Reels'!D141+'Reels'!D144+'Reels'!D147+'Reels'!D150+'Reels'!D153+'Reels'!D156))*('Reels'!D169/('Reels'!D160+'Reels'!D163+'Reels'!D166+'Reels'!D169+'Reels'!D172+'Reels'!D175))</f>
        <v>0.007406500581502112</v>
      </c>
      <c r="D509">
        <f>IF(OR('Reels'!D118="attack",'Reels'!D118="magic"),CHOOSE('Reels'!D119+1,'Slots'!D29,'Slots'!D30,'Slots'!D31,'Slots'!D32,'Slots'!D33),0)+IF(OR('Reels'!D136="attack",'Reels'!D136="magic"),CHOOSE('Reels'!D137+1,'Slots'!D29,'Slots'!D30,'Slots'!D31,'Slots'!D32,'Slots'!D33),0)+IF(OR('Reels'!D167="attack",'Reels'!D167="magic"),CHOOSE('Reels'!D168+1,'Slots'!D29,'Slots'!D30,'Slots'!D31,'Slots'!D32,'Slots'!D33),0)</f>
        <v>4</v>
      </c>
      <c r="E509">
        <f>IF('Reels'!D118="heal",'Reels'!D119*'Slots'!D24,0)+IF('Reels'!D136="heal",'Reels'!D137*'Slots'!D24,0)+IF('Reels'!D167="heal",'Reels'!D168*'Slots'!D24,0)</f>
        <v>0</v>
      </c>
      <c r="F509">
        <f>IF('Reels'!D118="block",'Reels'!D119*'Slots'!D25,0)+IF('Reels'!D136="block",'Reels'!D137*'Slots'!D25,0)+IF('Reels'!D167="block",'Reels'!D168*'Slots'!D25,0)</f>
        <v>0</v>
      </c>
      <c r="G509" t="b">
        <f>AND('Reels'!D118&lt;&gt;"blank",'Reels'!D118&lt;&gt;"class",'Reels'!D118='Reels'!D167,'Reels'!D119='Reels'!D168,OR('Reels'!D136="class",AND('Reels'!D136='Reels'!D118,'Reels'!D137='Reels'!D119)))</f>
        <v>0</v>
      </c>
      <c r="H509">
        <f>IF(G509,C509,0)</f>
        <v>0</v>
      </c>
    </row>
    <row r="510" spans="1:8" x14ac:dyDescent="0.25">
      <c r="A510" t="s">
        <v>258</v>
      </c>
      <c r="B510" t="s">
        <v>3367</v>
      </c>
      <c r="C510" s="4">
        <f>('Reels'!D120/('Reels'!D120+'Reels'!D123+'Reels'!D126+'Reels'!D129+'Reels'!D132+'Reels'!D135))*('Reels'!D138/('Reels'!D138+'Reels'!D141+'Reels'!D144+'Reels'!D147+'Reels'!D150+'Reels'!D153+'Reels'!D156))*('Reels'!D172/('Reels'!D160+'Reels'!D163+'Reels'!D166+'Reels'!D169+'Reels'!D172+'Reels'!D175))</f>
        <v>0.003703250290751056</v>
      </c>
      <c r="D510">
        <f>IF(OR('Reels'!D118="attack",'Reels'!D118="magic"),CHOOSE('Reels'!D119+1,'Slots'!D29,'Slots'!D30,'Slots'!D31,'Slots'!D32,'Slots'!D33),0)+IF(OR('Reels'!D136="attack",'Reels'!D136="magic"),CHOOSE('Reels'!D137+1,'Slots'!D29,'Slots'!D30,'Slots'!D31,'Slots'!D32,'Slots'!D33),0)+IF(OR('Reels'!D170="attack",'Reels'!D170="magic"),CHOOSE('Reels'!D171+1,'Slots'!D29,'Slots'!D30,'Slots'!D31,'Slots'!D32,'Slots'!D33),0)</f>
        <v>4</v>
      </c>
      <c r="E510">
        <f>IF('Reels'!D118="heal",'Reels'!D119*'Slots'!D24,0)+IF('Reels'!D136="heal",'Reels'!D137*'Slots'!D24,0)+IF('Reels'!D170="heal",'Reels'!D171*'Slots'!D24,0)</f>
        <v>0</v>
      </c>
      <c r="F510">
        <f>IF('Reels'!D118="block",'Reels'!D119*'Slots'!D25,0)+IF('Reels'!D136="block",'Reels'!D137*'Slots'!D25,0)+IF('Reels'!D170="block",'Reels'!D171*'Slots'!D25,0)</f>
        <v>1</v>
      </c>
      <c r="G510" t="b">
        <f>AND('Reels'!D118&lt;&gt;"blank",'Reels'!D118&lt;&gt;"class",'Reels'!D118='Reels'!D170,'Reels'!D119='Reels'!D171,OR('Reels'!D136="class",AND('Reels'!D136='Reels'!D118,'Reels'!D137='Reels'!D119)))</f>
        <v>0</v>
      </c>
      <c r="H510">
        <f>IF(G510,C510,0)</f>
        <v>0</v>
      </c>
    </row>
    <row r="511" spans="1:8" x14ac:dyDescent="0.25">
      <c r="A511" t="s">
        <v>258</v>
      </c>
      <c r="B511" t="s">
        <v>3370</v>
      </c>
      <c r="C511" s="4">
        <f>('Reels'!D120/('Reels'!D120+'Reels'!D123+'Reels'!D126+'Reels'!D129+'Reels'!D132+'Reels'!D135))*('Reels'!D138/('Reels'!D138+'Reels'!D141+'Reels'!D144+'Reels'!D147+'Reels'!D150+'Reels'!D153+'Reels'!D156))*('Reels'!D175/('Reels'!D160+'Reels'!D163+'Reels'!D166+'Reels'!D169+'Reels'!D172+'Reels'!D175))</f>
        <v>0.014813001163004224</v>
      </c>
      <c r="D511">
        <f>IF(OR('Reels'!D118="attack",'Reels'!D118="magic"),CHOOSE('Reels'!D119+1,'Slots'!D29,'Slots'!D30,'Slots'!D31,'Slots'!D32,'Slots'!D33),0)+IF(OR('Reels'!D136="attack",'Reels'!D136="magic"),CHOOSE('Reels'!D137+1,'Slots'!D29,'Slots'!D30,'Slots'!D31,'Slots'!D32,'Slots'!D33),0)+IF(OR('Reels'!D173="attack",'Reels'!D173="magic"),CHOOSE('Reels'!D174+1,'Slots'!D29,'Slots'!D30,'Slots'!D31,'Slots'!D32,'Slots'!D33),0)</f>
        <v>4</v>
      </c>
      <c r="E511">
        <f>IF('Reels'!D118="heal",'Reels'!D119*'Slots'!D24,0)+IF('Reels'!D136="heal",'Reels'!D137*'Slots'!D24,0)+IF('Reels'!D173="heal",'Reels'!D174*'Slots'!D24,0)</f>
        <v>0</v>
      </c>
      <c r="F511">
        <f>IF('Reels'!D118="block",'Reels'!D119*'Slots'!D25,0)+IF('Reels'!D136="block",'Reels'!D137*'Slots'!D25,0)+IF('Reels'!D173="block",'Reels'!D174*'Slots'!D25,0)</f>
        <v>0</v>
      </c>
      <c r="G511" t="b">
        <f>AND('Reels'!D118&lt;&gt;"blank",'Reels'!D118&lt;&gt;"class",'Reels'!D118='Reels'!D173,'Reels'!D119='Reels'!D174,OR('Reels'!D136="class",AND('Reels'!D136='Reels'!D118,'Reels'!D137='Reels'!D119)))</f>
        <v>0</v>
      </c>
      <c r="H511">
        <f>IF(G511,C511,0)</f>
        <v>0</v>
      </c>
    </row>
    <row r="512" spans="1:8" x14ac:dyDescent="0.25">
      <c r="A512" t="s">
        <v>258</v>
      </c>
      <c r="B512" t="s">
        <v>3371</v>
      </c>
      <c r="C512" s="4">
        <f>('Reels'!D120/('Reels'!D120+'Reels'!D123+'Reels'!D126+'Reels'!D129+'Reels'!D132+'Reels'!D135))*('Reels'!D141/('Reels'!D138+'Reels'!D141+'Reels'!D144+'Reels'!D147+'Reels'!D150+'Reels'!D153+'Reels'!D156))*('Reels'!D160/('Reels'!D160+'Reels'!D163+'Reels'!D166+'Reels'!D169+'Reels'!D172+'Reels'!D175))</f>
        <v>0.037032502907510555</v>
      </c>
      <c r="D512">
        <f>IF(OR('Reels'!D118="attack",'Reels'!D118="magic"),CHOOSE('Reels'!D119+1,'Slots'!D29,'Slots'!D30,'Slots'!D31,'Slots'!D32,'Slots'!D33),0)+IF(OR('Reels'!D139="attack",'Reels'!D139="magic"),CHOOSE('Reels'!D140+1,'Slots'!D29,'Slots'!D30,'Slots'!D31,'Slots'!D32,'Slots'!D33),0)+IF(OR('Reels'!D158="attack",'Reels'!D158="magic"),CHOOSE('Reels'!D159+1,'Slots'!D29,'Slots'!D30,'Slots'!D31,'Slots'!D32,'Slots'!D33),0)</f>
        <v>8</v>
      </c>
      <c r="E512">
        <f>IF('Reels'!D118="heal",'Reels'!D119*'Slots'!D24,0)+IF('Reels'!D139="heal",'Reels'!D140*'Slots'!D24,0)+IF('Reels'!D158="heal",'Reels'!D159*'Slots'!D24,0)</f>
        <v>0</v>
      </c>
      <c r="F512">
        <f>IF('Reels'!D118="block",'Reels'!D119*'Slots'!D25,0)+IF('Reels'!D139="block",'Reels'!D140*'Slots'!D25,0)+IF('Reels'!D158="block",'Reels'!D159*'Slots'!D25,0)</f>
        <v>0</v>
      </c>
      <c r="G512" t="b">
        <f>AND('Reels'!D118&lt;&gt;"blank",'Reels'!D118&lt;&gt;"class",'Reels'!D118='Reels'!D158,'Reels'!D119='Reels'!D159,OR('Reels'!D139="class",AND('Reels'!D139='Reels'!D118,'Reels'!D140='Reels'!D119)))</f>
        <v>0</v>
      </c>
      <c r="H512">
        <f>IF(G512,C512,0)</f>
        <v>0</v>
      </c>
    </row>
    <row r="513" spans="1:8" x14ac:dyDescent="0.25">
      <c r="A513" t="s">
        <v>258</v>
      </c>
      <c r="B513" t="s">
        <v>3372</v>
      </c>
      <c r="C513" s="4">
        <f>('Reels'!D120/('Reels'!D120+'Reels'!D123+'Reels'!D126+'Reels'!D129+'Reels'!D132+'Reels'!D135))*('Reels'!D141/('Reels'!D138+'Reels'!D141+'Reels'!D144+'Reels'!D147+'Reels'!D150+'Reels'!D153+'Reels'!D156))*('Reels'!D163/('Reels'!D160+'Reels'!D163+'Reels'!D166+'Reels'!D169+'Reels'!D172+'Reels'!D175))</f>
        <v>0.03366591173410051</v>
      </c>
      <c r="D513">
        <f>IF(OR('Reels'!D118="attack",'Reels'!D118="magic"),CHOOSE('Reels'!D119+1,'Slots'!D29,'Slots'!D30,'Slots'!D31,'Slots'!D32,'Slots'!D33),0)+IF(OR('Reels'!D139="attack",'Reels'!D139="magic"),CHOOSE('Reels'!D140+1,'Slots'!D29,'Slots'!D30,'Slots'!D31,'Slots'!D32,'Slots'!D33),0)+IF(OR('Reels'!D161="attack",'Reels'!D161="magic"),CHOOSE('Reels'!D162+1,'Slots'!D29,'Slots'!D30,'Slots'!D31,'Slots'!D32,'Slots'!D33),0)</f>
        <v>10</v>
      </c>
      <c r="E513">
        <f>IF('Reels'!D118="heal",'Reels'!D119*'Slots'!D24,0)+IF('Reels'!D139="heal",'Reels'!D140*'Slots'!D24,0)+IF('Reels'!D161="heal",'Reels'!D162*'Slots'!D24,0)</f>
        <v>0</v>
      </c>
      <c r="F513">
        <f>IF('Reels'!D118="block",'Reels'!D119*'Slots'!D25,0)+IF('Reels'!D139="block",'Reels'!D140*'Slots'!D25,0)+IF('Reels'!D161="block",'Reels'!D162*'Slots'!D25,0)</f>
        <v>0</v>
      </c>
      <c r="G513" t="b">
        <f>AND('Reels'!D118&lt;&gt;"blank",'Reels'!D118&lt;&gt;"class",'Reels'!D118='Reels'!D161,'Reels'!D119='Reels'!D162,OR('Reels'!D139="class",AND('Reels'!D139='Reels'!D118,'Reels'!D140='Reels'!D119)))</f>
        <v>0</v>
      </c>
      <c r="H513">
        <f>IF(G513,C513,0)</f>
        <v>0</v>
      </c>
    </row>
    <row r="514" spans="1:8" x14ac:dyDescent="0.25">
      <c r="A514" t="s">
        <v>258</v>
      </c>
      <c r="B514" t="s">
        <v>3835</v>
      </c>
      <c r="C514" s="4">
        <f>('Reels'!D120/('Reels'!D120+'Reels'!D123+'Reels'!D126+'Reels'!D129+'Reels'!D132+'Reels'!D135))*('Reels'!D141/('Reels'!D138+'Reels'!D141+'Reels'!D144+'Reels'!D147+'Reels'!D150+'Reels'!D153+'Reels'!D156))*('Reels'!D166/('Reels'!D160+'Reels'!D163+'Reels'!D166+'Reels'!D169+'Reels'!D172+'Reels'!D175))</f>
        <v>0.010099773520230153</v>
      </c>
      <c r="D514">
        <f>IF(OR('Reels'!D118="attack",'Reels'!D118="magic"),CHOOSE('Reels'!D119+1,'Slots'!D29,'Slots'!D30,'Slots'!D31,'Slots'!D32,'Slots'!D33),0)+IF(OR('Reels'!D139="attack",'Reels'!D139="magic"),CHOOSE('Reels'!D140+1,'Slots'!D29,'Slots'!D30,'Slots'!D31,'Slots'!D32,'Slots'!D33),0)+IF(OR('Reels'!D164="attack",'Reels'!D164="magic"),CHOOSE('Reels'!D165+1,'Slots'!D29,'Slots'!D30,'Slots'!D31,'Slots'!D32,'Slots'!D33),0)</f>
        <v>13</v>
      </c>
      <c r="E514">
        <f>IF('Reels'!D118="heal",'Reels'!D119*'Slots'!D24,0)+IF('Reels'!D139="heal",'Reels'!D140*'Slots'!D24,0)+IF('Reels'!D164="heal",'Reels'!D165*'Slots'!D24,0)</f>
        <v>0</v>
      </c>
      <c r="F514">
        <f>IF('Reels'!D118="block",'Reels'!D119*'Slots'!D25,0)+IF('Reels'!D139="block",'Reels'!D140*'Slots'!D25,0)+IF('Reels'!D164="block",'Reels'!D165*'Slots'!D25,0)</f>
        <v>0</v>
      </c>
      <c r="G514" t="b">
        <f>AND('Reels'!D118&lt;&gt;"blank",'Reels'!D118&lt;&gt;"class",'Reels'!D118='Reels'!D164,'Reels'!D119='Reels'!D165,OR('Reels'!D139="class",AND('Reels'!D139='Reels'!D118,'Reels'!D140='Reels'!D119)))</f>
        <v>0</v>
      </c>
      <c r="H514">
        <f>IF(G514,C514,0)</f>
        <v>0</v>
      </c>
    </row>
    <row r="515" spans="1:8" x14ac:dyDescent="0.25">
      <c r="A515" t="s">
        <v>258</v>
      </c>
      <c r="B515" t="s">
        <v>3836</v>
      </c>
      <c r="C515" s="4">
        <f>('Reels'!D120/('Reels'!D120+'Reels'!D123+'Reels'!D126+'Reels'!D129+'Reels'!D132+'Reels'!D135))*('Reels'!D141/('Reels'!D138+'Reels'!D141+'Reels'!D144+'Reels'!D147+'Reels'!D150+'Reels'!D153+'Reels'!D156))*('Reels'!D169/('Reels'!D160+'Reels'!D163+'Reels'!D166+'Reels'!D169+'Reels'!D172+'Reels'!D175))</f>
        <v>0.006733182346820102</v>
      </c>
      <c r="D515">
        <f>IF(OR('Reels'!D118="attack",'Reels'!D118="magic"),CHOOSE('Reels'!D119+1,'Slots'!D29,'Slots'!D30,'Slots'!D31,'Slots'!D32,'Slots'!D33),0)+IF(OR('Reels'!D139="attack",'Reels'!D139="magic"),CHOOSE('Reels'!D140+1,'Slots'!D29,'Slots'!D30,'Slots'!D31,'Slots'!D32,'Slots'!D33),0)+IF(OR('Reels'!D167="attack",'Reels'!D167="magic"),CHOOSE('Reels'!D168+1,'Slots'!D29,'Slots'!D30,'Slots'!D31,'Slots'!D32,'Slots'!D33),0)</f>
        <v>6</v>
      </c>
      <c r="E515">
        <f>IF('Reels'!D118="heal",'Reels'!D119*'Slots'!D24,0)+IF('Reels'!D139="heal",'Reels'!D140*'Slots'!D24,0)+IF('Reels'!D167="heal",'Reels'!D168*'Slots'!D24,0)</f>
        <v>0</v>
      </c>
      <c r="F515">
        <f>IF('Reels'!D118="block",'Reels'!D119*'Slots'!D25,0)+IF('Reels'!D139="block",'Reels'!D140*'Slots'!D25,0)+IF('Reels'!D167="block",'Reels'!D168*'Slots'!D25,0)</f>
        <v>0</v>
      </c>
      <c r="G515" t="b">
        <f>AND('Reels'!D118&lt;&gt;"blank",'Reels'!D118&lt;&gt;"class",'Reels'!D118='Reels'!D167,'Reels'!D119='Reels'!D168,OR('Reels'!D139="class",AND('Reels'!D139='Reels'!D118,'Reels'!D140='Reels'!D119)))</f>
        <v>0</v>
      </c>
      <c r="H515">
        <f>IF(G515,C515,0)</f>
        <v>0</v>
      </c>
    </row>
    <row r="516" spans="1:8" x14ac:dyDescent="0.25">
      <c r="A516" t="s">
        <v>258</v>
      </c>
      <c r="B516" t="s">
        <v>3373</v>
      </c>
      <c r="C516" s="4">
        <f>('Reels'!D120/('Reels'!D120+'Reels'!D123+'Reels'!D126+'Reels'!D129+'Reels'!D132+'Reels'!D135))*('Reels'!D141/('Reels'!D138+'Reels'!D141+'Reels'!D144+'Reels'!D147+'Reels'!D150+'Reels'!D153+'Reels'!D156))*('Reels'!D172/('Reels'!D160+'Reels'!D163+'Reels'!D166+'Reels'!D169+'Reels'!D172+'Reels'!D175))</f>
        <v>0.003366591173410051</v>
      </c>
      <c r="D516">
        <f>IF(OR('Reels'!D118="attack",'Reels'!D118="magic"),CHOOSE('Reels'!D119+1,'Slots'!D29,'Slots'!D30,'Slots'!D31,'Slots'!D32,'Slots'!D33),0)+IF(OR('Reels'!D139="attack",'Reels'!D139="magic"),CHOOSE('Reels'!D140+1,'Slots'!D29,'Slots'!D30,'Slots'!D31,'Slots'!D32,'Slots'!D33),0)+IF(OR('Reels'!D170="attack",'Reels'!D170="magic"),CHOOSE('Reels'!D171+1,'Slots'!D29,'Slots'!D30,'Slots'!D31,'Slots'!D32,'Slots'!D33),0)</f>
        <v>6</v>
      </c>
      <c r="E516">
        <f>IF('Reels'!D118="heal",'Reels'!D119*'Slots'!D24,0)+IF('Reels'!D139="heal",'Reels'!D140*'Slots'!D24,0)+IF('Reels'!D170="heal",'Reels'!D171*'Slots'!D24,0)</f>
        <v>0</v>
      </c>
      <c r="F516">
        <f>IF('Reels'!D118="block",'Reels'!D119*'Slots'!D25,0)+IF('Reels'!D139="block",'Reels'!D140*'Slots'!D25,0)+IF('Reels'!D170="block",'Reels'!D171*'Slots'!D25,0)</f>
        <v>1</v>
      </c>
      <c r="G516" t="b">
        <f>AND('Reels'!D118&lt;&gt;"blank",'Reels'!D118&lt;&gt;"class",'Reels'!D118='Reels'!D170,'Reels'!D119='Reels'!D171,OR('Reels'!D139="class",AND('Reels'!D139='Reels'!D118,'Reels'!D140='Reels'!D119)))</f>
        <v>0</v>
      </c>
      <c r="H516">
        <f>IF(G516,C516,0)</f>
        <v>0</v>
      </c>
    </row>
    <row r="517" spans="1:8" x14ac:dyDescent="0.25">
      <c r="A517" t="s">
        <v>258</v>
      </c>
      <c r="B517" t="s">
        <v>3376</v>
      </c>
      <c r="C517" s="4">
        <f>('Reels'!D120/('Reels'!D120+'Reels'!D123+'Reels'!D126+'Reels'!D129+'Reels'!D132+'Reels'!D135))*('Reels'!D141/('Reels'!D138+'Reels'!D141+'Reels'!D144+'Reels'!D147+'Reels'!D150+'Reels'!D153+'Reels'!D156))*('Reels'!D175/('Reels'!D160+'Reels'!D163+'Reels'!D166+'Reels'!D169+'Reels'!D172+'Reels'!D175))</f>
        <v>0.013466364693640204</v>
      </c>
      <c r="D517">
        <f>IF(OR('Reels'!D118="attack",'Reels'!D118="magic"),CHOOSE('Reels'!D119+1,'Slots'!D29,'Slots'!D30,'Slots'!D31,'Slots'!D32,'Slots'!D33),0)+IF(OR('Reels'!D139="attack",'Reels'!D139="magic"),CHOOSE('Reels'!D140+1,'Slots'!D29,'Slots'!D30,'Slots'!D31,'Slots'!D32,'Slots'!D33),0)+IF(OR('Reels'!D173="attack",'Reels'!D173="magic"),CHOOSE('Reels'!D174+1,'Slots'!D29,'Slots'!D30,'Slots'!D31,'Slots'!D32,'Slots'!D33),0)</f>
        <v>6</v>
      </c>
      <c r="E517">
        <f>IF('Reels'!D118="heal",'Reels'!D119*'Slots'!D24,0)+IF('Reels'!D139="heal",'Reels'!D140*'Slots'!D24,0)+IF('Reels'!D173="heal",'Reels'!D174*'Slots'!D24,0)</f>
        <v>0</v>
      </c>
      <c r="F517">
        <f>IF('Reels'!D118="block",'Reels'!D119*'Slots'!D25,0)+IF('Reels'!D139="block",'Reels'!D140*'Slots'!D25,0)+IF('Reels'!D173="block",'Reels'!D174*'Slots'!D25,0)</f>
        <v>0</v>
      </c>
      <c r="G517" t="b">
        <f>AND('Reels'!D118&lt;&gt;"blank",'Reels'!D118&lt;&gt;"class",'Reels'!D118='Reels'!D173,'Reels'!D119='Reels'!D174,OR('Reels'!D139="class",AND('Reels'!D139='Reels'!D118,'Reels'!D140='Reels'!D119)))</f>
        <v>0</v>
      </c>
      <c r="H517">
        <f>IF(G517,C517,0)</f>
        <v>0</v>
      </c>
    </row>
    <row r="518" spans="1:8" x14ac:dyDescent="0.25">
      <c r="A518" t="s">
        <v>258</v>
      </c>
      <c r="B518" t="s">
        <v>3837</v>
      </c>
      <c r="C518" s="4">
        <f>('Reels'!D120/('Reels'!D120+'Reels'!D123+'Reels'!D126+'Reels'!D129+'Reels'!D132+'Reels'!D135))*('Reels'!D144/('Reels'!D138+'Reels'!D141+'Reels'!D144+'Reels'!D147+'Reels'!D150+'Reels'!D153+'Reels'!D156))*('Reels'!D160/('Reels'!D160+'Reels'!D163+'Reels'!D166+'Reels'!D169+'Reels'!D172+'Reels'!D175))</f>
        <v>0.011109750872253169</v>
      </c>
      <c r="D518">
        <f>IF(OR('Reels'!D118="attack",'Reels'!D118="magic"),CHOOSE('Reels'!D119+1,'Slots'!D29,'Slots'!D30,'Slots'!D31,'Slots'!D32,'Slots'!D33),0)+IF(OR('Reels'!D142="attack",'Reels'!D142="magic"),CHOOSE('Reels'!D143+1,'Slots'!D29,'Slots'!D30,'Slots'!D31,'Slots'!D32,'Slots'!D33),0)+IF(OR('Reels'!D158="attack",'Reels'!D158="magic"),CHOOSE('Reels'!D159+1,'Slots'!D29,'Slots'!D30,'Slots'!D31,'Slots'!D32,'Slots'!D33),0)</f>
        <v>11</v>
      </c>
      <c r="E518">
        <f>IF('Reels'!D118="heal",'Reels'!D119*'Slots'!D24,0)+IF('Reels'!D142="heal",'Reels'!D143*'Slots'!D24,0)+IF('Reels'!D158="heal",'Reels'!D159*'Slots'!D24,0)</f>
        <v>0</v>
      </c>
      <c r="F518">
        <f>IF('Reels'!D118="block",'Reels'!D119*'Slots'!D25,0)+IF('Reels'!D142="block",'Reels'!D143*'Slots'!D25,0)+IF('Reels'!D158="block",'Reels'!D159*'Slots'!D25,0)</f>
        <v>0</v>
      </c>
      <c r="G518" t="b">
        <f>AND('Reels'!D118&lt;&gt;"blank",'Reels'!D118&lt;&gt;"class",'Reels'!D118='Reels'!D158,'Reels'!D119='Reels'!D159,OR('Reels'!D142="class",AND('Reels'!D142='Reels'!D118,'Reels'!D143='Reels'!D119)))</f>
        <v>0</v>
      </c>
      <c r="H518">
        <f>IF(G518,C518,0)</f>
        <v>0</v>
      </c>
    </row>
    <row r="519" spans="1:8" x14ac:dyDescent="0.25">
      <c r="A519" t="s">
        <v>258</v>
      </c>
      <c r="B519" t="s">
        <v>3838</v>
      </c>
      <c r="C519" s="4">
        <f>('Reels'!D120/('Reels'!D120+'Reels'!D123+'Reels'!D126+'Reels'!D129+'Reels'!D132+'Reels'!D135))*('Reels'!D144/('Reels'!D138+'Reels'!D141+'Reels'!D144+'Reels'!D147+'Reels'!D150+'Reels'!D153+'Reels'!D156))*('Reels'!D163/('Reels'!D160+'Reels'!D163+'Reels'!D166+'Reels'!D169+'Reels'!D172+'Reels'!D175))</f>
        <v>0.010099773520230153</v>
      </c>
      <c r="D519">
        <f>IF(OR('Reels'!D118="attack",'Reels'!D118="magic"),CHOOSE('Reels'!D119+1,'Slots'!D29,'Slots'!D30,'Slots'!D31,'Slots'!D32,'Slots'!D33),0)+IF(OR('Reels'!D142="attack",'Reels'!D142="magic"),CHOOSE('Reels'!D143+1,'Slots'!D29,'Slots'!D30,'Slots'!D31,'Slots'!D32,'Slots'!D33),0)+IF(OR('Reels'!D161="attack",'Reels'!D161="magic"),CHOOSE('Reels'!D162+1,'Slots'!D29,'Slots'!D30,'Slots'!D31,'Slots'!D32,'Slots'!D33),0)</f>
        <v>13</v>
      </c>
      <c r="E519">
        <f>IF('Reels'!D118="heal",'Reels'!D119*'Slots'!D24,0)+IF('Reels'!D142="heal",'Reels'!D143*'Slots'!D24,0)+IF('Reels'!D161="heal",'Reels'!D162*'Slots'!D24,0)</f>
        <v>0</v>
      </c>
      <c r="F519">
        <f>IF('Reels'!D118="block",'Reels'!D119*'Slots'!D25,0)+IF('Reels'!D142="block",'Reels'!D143*'Slots'!D25,0)+IF('Reels'!D161="block",'Reels'!D162*'Slots'!D25,0)</f>
        <v>0</v>
      </c>
      <c r="G519" t="b">
        <f>AND('Reels'!D118&lt;&gt;"blank",'Reels'!D118&lt;&gt;"class",'Reels'!D118='Reels'!D161,'Reels'!D119='Reels'!D162,OR('Reels'!D142="class",AND('Reels'!D142='Reels'!D118,'Reels'!D143='Reels'!D119)))</f>
        <v>0</v>
      </c>
      <c r="H519">
        <f>IF(G519,C519,0)</f>
        <v>0</v>
      </c>
    </row>
    <row r="520" spans="1:8" x14ac:dyDescent="0.25">
      <c r="A520" t="s">
        <v>258</v>
      </c>
      <c r="B520" t="s">
        <v>3839</v>
      </c>
      <c r="C520" s="4">
        <f>('Reels'!D120/('Reels'!D120+'Reels'!D123+'Reels'!D126+'Reels'!D129+'Reels'!D132+'Reels'!D135))*('Reels'!D144/('Reels'!D138+'Reels'!D141+'Reels'!D144+'Reels'!D147+'Reels'!D150+'Reels'!D153+'Reels'!D156))*('Reels'!D166/('Reels'!D160+'Reels'!D163+'Reels'!D166+'Reels'!D169+'Reels'!D172+'Reels'!D175))</f>
        <v>0.003029932056069046</v>
      </c>
      <c r="D520">
        <f>IF(OR('Reels'!D118="attack",'Reels'!D118="magic"),CHOOSE('Reels'!D119+1,'Slots'!D29,'Slots'!D30,'Slots'!D31,'Slots'!D32,'Slots'!D33),0)+IF(OR('Reels'!D142="attack",'Reels'!D142="magic"),CHOOSE('Reels'!D143+1,'Slots'!D29,'Slots'!D30,'Slots'!D31,'Slots'!D32,'Slots'!D33),0)+IF(OR('Reels'!D164="attack",'Reels'!D164="magic"),CHOOSE('Reels'!D165+1,'Slots'!D29,'Slots'!D30,'Slots'!D31,'Slots'!D32,'Slots'!D33),0)</f>
        <v>16</v>
      </c>
      <c r="E520">
        <f>IF('Reels'!D118="heal",'Reels'!D119*'Slots'!D24,0)+IF('Reels'!D142="heal",'Reels'!D143*'Slots'!D24,0)+IF('Reels'!D164="heal",'Reels'!D165*'Slots'!D24,0)</f>
        <v>0</v>
      </c>
      <c r="F520">
        <f>IF('Reels'!D118="block",'Reels'!D119*'Slots'!D25,0)+IF('Reels'!D142="block",'Reels'!D143*'Slots'!D25,0)+IF('Reels'!D164="block",'Reels'!D165*'Slots'!D25,0)</f>
        <v>0</v>
      </c>
      <c r="G520" t="b">
        <f>AND('Reels'!D118&lt;&gt;"blank",'Reels'!D118&lt;&gt;"class",'Reels'!D118='Reels'!D164,'Reels'!D119='Reels'!D165,OR('Reels'!D142="class",AND('Reels'!D142='Reels'!D118,'Reels'!D143='Reels'!D119)))</f>
        <v>0</v>
      </c>
      <c r="H520">
        <f>IF(G520,C520,0)</f>
        <v>0</v>
      </c>
    </row>
    <row r="521" spans="1:8" x14ac:dyDescent="0.25">
      <c r="A521" t="s">
        <v>258</v>
      </c>
      <c r="B521" t="s">
        <v>3840</v>
      </c>
      <c r="C521" s="4">
        <f>('Reels'!D120/('Reels'!D120+'Reels'!D123+'Reels'!D126+'Reels'!D129+'Reels'!D132+'Reels'!D135))*('Reels'!D144/('Reels'!D138+'Reels'!D141+'Reels'!D144+'Reels'!D147+'Reels'!D150+'Reels'!D153+'Reels'!D156))*('Reels'!D169/('Reels'!D160+'Reels'!D163+'Reels'!D166+'Reels'!D169+'Reels'!D172+'Reels'!D175))</f>
        <v>0.0020199547040460307</v>
      </c>
      <c r="D521">
        <f>IF(OR('Reels'!D118="attack",'Reels'!D118="magic"),CHOOSE('Reels'!D119+1,'Slots'!D29,'Slots'!D30,'Slots'!D31,'Slots'!D32,'Slots'!D33),0)+IF(OR('Reels'!D142="attack",'Reels'!D142="magic"),CHOOSE('Reels'!D143+1,'Slots'!D29,'Slots'!D30,'Slots'!D31,'Slots'!D32,'Slots'!D33),0)+IF(OR('Reels'!D167="attack",'Reels'!D167="magic"),CHOOSE('Reels'!D168+1,'Slots'!D29,'Slots'!D30,'Slots'!D31,'Slots'!D32,'Slots'!D33),0)</f>
        <v>9</v>
      </c>
      <c r="E521">
        <f>IF('Reels'!D118="heal",'Reels'!D119*'Slots'!D24,0)+IF('Reels'!D142="heal",'Reels'!D143*'Slots'!D24,0)+IF('Reels'!D167="heal",'Reels'!D168*'Slots'!D24,0)</f>
        <v>0</v>
      </c>
      <c r="F521">
        <f>IF('Reels'!D118="block",'Reels'!D119*'Slots'!D25,0)+IF('Reels'!D142="block",'Reels'!D143*'Slots'!D25,0)+IF('Reels'!D167="block",'Reels'!D168*'Slots'!D25,0)</f>
        <v>0</v>
      </c>
      <c r="G521" t="b">
        <f>AND('Reels'!D118&lt;&gt;"blank",'Reels'!D118&lt;&gt;"class",'Reels'!D118='Reels'!D167,'Reels'!D119='Reels'!D168,OR('Reels'!D142="class",AND('Reels'!D142='Reels'!D118,'Reels'!D143='Reels'!D119)))</f>
        <v>0</v>
      </c>
      <c r="H521">
        <f>IF(G521,C521,0)</f>
        <v>0</v>
      </c>
    </row>
    <row r="522" spans="1:8" x14ac:dyDescent="0.25">
      <c r="A522" t="s">
        <v>258</v>
      </c>
      <c r="B522" t="s">
        <v>3841</v>
      </c>
      <c r="C522" s="4">
        <f>('Reels'!D120/('Reels'!D120+'Reels'!D123+'Reels'!D126+'Reels'!D129+'Reels'!D132+'Reels'!D135))*('Reels'!D144/('Reels'!D138+'Reels'!D141+'Reels'!D144+'Reels'!D147+'Reels'!D150+'Reels'!D153+'Reels'!D156))*('Reels'!D172/('Reels'!D160+'Reels'!D163+'Reels'!D166+'Reels'!D169+'Reels'!D172+'Reels'!D175))</f>
        <v>0.0010099773520230153</v>
      </c>
      <c r="D522">
        <f>IF(OR('Reels'!D118="attack",'Reels'!D118="magic"),CHOOSE('Reels'!D119+1,'Slots'!D29,'Slots'!D30,'Slots'!D31,'Slots'!D32,'Slots'!D33),0)+IF(OR('Reels'!D142="attack",'Reels'!D142="magic"),CHOOSE('Reels'!D143+1,'Slots'!D29,'Slots'!D30,'Slots'!D31,'Slots'!D32,'Slots'!D33),0)+IF(OR('Reels'!D170="attack",'Reels'!D170="magic"),CHOOSE('Reels'!D171+1,'Slots'!D29,'Slots'!D30,'Slots'!D31,'Slots'!D32,'Slots'!D33),0)</f>
        <v>9</v>
      </c>
      <c r="E522">
        <f>IF('Reels'!D118="heal",'Reels'!D119*'Slots'!D24,0)+IF('Reels'!D142="heal",'Reels'!D143*'Slots'!D24,0)+IF('Reels'!D170="heal",'Reels'!D171*'Slots'!D24,0)</f>
        <v>0</v>
      </c>
      <c r="F522">
        <f>IF('Reels'!D118="block",'Reels'!D119*'Slots'!D25,0)+IF('Reels'!D142="block",'Reels'!D143*'Slots'!D25,0)+IF('Reels'!D170="block",'Reels'!D171*'Slots'!D25,0)</f>
        <v>1</v>
      </c>
      <c r="G522" t="b">
        <f>AND('Reels'!D118&lt;&gt;"blank",'Reels'!D118&lt;&gt;"class",'Reels'!D118='Reels'!D170,'Reels'!D119='Reels'!D171,OR('Reels'!D142="class",AND('Reels'!D142='Reels'!D118,'Reels'!D143='Reels'!D119)))</f>
        <v>0</v>
      </c>
      <c r="H522">
        <f>IF(G522,C522,0)</f>
        <v>0</v>
      </c>
    </row>
    <row r="523" spans="1:8" x14ac:dyDescent="0.25">
      <c r="A523" t="s">
        <v>258</v>
      </c>
      <c r="B523" t="s">
        <v>3842</v>
      </c>
      <c r="C523" s="4">
        <f>('Reels'!D120/('Reels'!D120+'Reels'!D123+'Reels'!D126+'Reels'!D129+'Reels'!D132+'Reels'!D135))*('Reels'!D144/('Reels'!D138+'Reels'!D141+'Reels'!D144+'Reels'!D147+'Reels'!D150+'Reels'!D153+'Reels'!D156))*('Reels'!D175/('Reels'!D160+'Reels'!D163+'Reels'!D166+'Reels'!D169+'Reels'!D172+'Reels'!D175))</f>
        <v>0.004039909408092061</v>
      </c>
      <c r="D523">
        <f>IF(OR('Reels'!D118="attack",'Reels'!D118="magic"),CHOOSE('Reels'!D119+1,'Slots'!D29,'Slots'!D30,'Slots'!D31,'Slots'!D32,'Slots'!D33),0)+IF(OR('Reels'!D142="attack",'Reels'!D142="magic"),CHOOSE('Reels'!D143+1,'Slots'!D29,'Slots'!D30,'Slots'!D31,'Slots'!D32,'Slots'!D33),0)+IF(OR('Reels'!D173="attack",'Reels'!D173="magic"),CHOOSE('Reels'!D174+1,'Slots'!D29,'Slots'!D30,'Slots'!D31,'Slots'!D32,'Slots'!D33),0)</f>
        <v>9</v>
      </c>
      <c r="E523">
        <f>IF('Reels'!D118="heal",'Reels'!D119*'Slots'!D24,0)+IF('Reels'!D142="heal",'Reels'!D143*'Slots'!D24,0)+IF('Reels'!D173="heal",'Reels'!D174*'Slots'!D24,0)</f>
        <v>0</v>
      </c>
      <c r="F523">
        <f>IF('Reels'!D118="block",'Reels'!D119*'Slots'!D25,0)+IF('Reels'!D142="block",'Reels'!D143*'Slots'!D25,0)+IF('Reels'!D173="block",'Reels'!D174*'Slots'!D25,0)</f>
        <v>0</v>
      </c>
      <c r="G523" t="b">
        <f>AND('Reels'!D118&lt;&gt;"blank",'Reels'!D118&lt;&gt;"class",'Reels'!D118='Reels'!D173,'Reels'!D119='Reels'!D174,OR('Reels'!D142="class",AND('Reels'!D142='Reels'!D118,'Reels'!D143='Reels'!D119)))</f>
        <v>0</v>
      </c>
      <c r="H523">
        <f>IF(G523,C523,0)</f>
        <v>0</v>
      </c>
    </row>
    <row r="524" spans="1:8" x14ac:dyDescent="0.25">
      <c r="A524" t="s">
        <v>258</v>
      </c>
      <c r="B524" t="s">
        <v>3843</v>
      </c>
      <c r="C524" s="4">
        <f>('Reels'!D120/('Reels'!D120+'Reels'!D123+'Reels'!D126+'Reels'!D129+'Reels'!D132+'Reels'!D135))*('Reels'!D147/('Reels'!D138+'Reels'!D141+'Reels'!D144+'Reels'!D147+'Reels'!D150+'Reels'!D153+'Reels'!D156))*('Reels'!D160/('Reels'!D160+'Reels'!D163+'Reels'!D166+'Reels'!D169+'Reels'!D172+'Reels'!D175))</f>
        <v>0.007406500581502112</v>
      </c>
      <c r="D524">
        <f>IF(OR('Reels'!D118="attack",'Reels'!D118="magic"),CHOOSE('Reels'!D119+1,'Slots'!D29,'Slots'!D30,'Slots'!D31,'Slots'!D32,'Slots'!D33),0)+IF(OR('Reels'!D145="attack",'Reels'!D145="magic"),CHOOSE('Reels'!D146+1,'Slots'!D29,'Slots'!D30,'Slots'!D31,'Slots'!D32,'Slots'!D33),0)+IF(OR('Reels'!D158="attack",'Reels'!D158="magic"),CHOOSE('Reels'!D159+1,'Slots'!D29,'Slots'!D30,'Slots'!D31,'Slots'!D32,'Slots'!D33),0)</f>
        <v>4</v>
      </c>
      <c r="E524">
        <f>IF('Reels'!D118="heal",'Reels'!D119*'Slots'!D24,0)+IF('Reels'!D145="heal",'Reels'!D146*'Slots'!D24,0)+IF('Reels'!D158="heal",'Reels'!D159*'Slots'!D24,0)</f>
        <v>0</v>
      </c>
      <c r="F524">
        <f>IF('Reels'!D118="block",'Reels'!D119*'Slots'!D25,0)+IF('Reels'!D145="block",'Reels'!D146*'Slots'!D25,0)+IF('Reels'!D158="block",'Reels'!D159*'Slots'!D25,0)</f>
        <v>0</v>
      </c>
      <c r="G524" t="b">
        <f>AND('Reels'!D118&lt;&gt;"blank",'Reels'!D118&lt;&gt;"class",'Reels'!D118='Reels'!D158,'Reels'!D119='Reels'!D159,OR('Reels'!D145="class",AND('Reels'!D145='Reels'!D118,'Reels'!D146='Reels'!D119)))</f>
        <v>0</v>
      </c>
      <c r="H524">
        <f>IF(G524,C524,0)</f>
        <v>0</v>
      </c>
    </row>
    <row r="525" spans="1:8" x14ac:dyDescent="0.25">
      <c r="A525" t="s">
        <v>258</v>
      </c>
      <c r="B525" t="s">
        <v>3844</v>
      </c>
      <c r="C525" s="4">
        <f>('Reels'!D120/('Reels'!D120+'Reels'!D123+'Reels'!D126+'Reels'!D129+'Reels'!D132+'Reels'!D135))*('Reels'!D147/('Reels'!D138+'Reels'!D141+'Reels'!D144+'Reels'!D147+'Reels'!D150+'Reels'!D153+'Reels'!D156))*('Reels'!D163/('Reels'!D160+'Reels'!D163+'Reels'!D166+'Reels'!D169+'Reels'!D172+'Reels'!D175))</f>
        <v>0.006733182346820102</v>
      </c>
      <c r="D525">
        <f>IF(OR('Reels'!D118="attack",'Reels'!D118="magic"),CHOOSE('Reels'!D119+1,'Slots'!D29,'Slots'!D30,'Slots'!D31,'Slots'!D32,'Slots'!D33),0)+IF(OR('Reels'!D145="attack",'Reels'!D145="magic"),CHOOSE('Reels'!D146+1,'Slots'!D29,'Slots'!D30,'Slots'!D31,'Slots'!D32,'Slots'!D33),0)+IF(OR('Reels'!D161="attack",'Reels'!D161="magic"),CHOOSE('Reels'!D162+1,'Slots'!D29,'Slots'!D30,'Slots'!D31,'Slots'!D32,'Slots'!D33),0)</f>
        <v>6</v>
      </c>
      <c r="E525">
        <f>IF('Reels'!D118="heal",'Reels'!D119*'Slots'!D24,0)+IF('Reels'!D145="heal",'Reels'!D146*'Slots'!D24,0)+IF('Reels'!D161="heal",'Reels'!D162*'Slots'!D24,0)</f>
        <v>0</v>
      </c>
      <c r="F525">
        <f>IF('Reels'!D118="block",'Reels'!D119*'Slots'!D25,0)+IF('Reels'!D145="block",'Reels'!D146*'Slots'!D25,0)+IF('Reels'!D161="block",'Reels'!D162*'Slots'!D25,0)</f>
        <v>0</v>
      </c>
      <c r="G525" t="b">
        <f>AND('Reels'!D118&lt;&gt;"blank",'Reels'!D118&lt;&gt;"class",'Reels'!D118='Reels'!D161,'Reels'!D119='Reels'!D162,OR('Reels'!D145="class",AND('Reels'!D145='Reels'!D118,'Reels'!D146='Reels'!D119)))</f>
        <v>0</v>
      </c>
      <c r="H525">
        <f>IF(G525,C525,0)</f>
        <v>0</v>
      </c>
    </row>
    <row r="526" spans="1:8" x14ac:dyDescent="0.25">
      <c r="A526" t="s">
        <v>258</v>
      </c>
      <c r="B526" t="s">
        <v>3845</v>
      </c>
      <c r="C526" s="4">
        <f>('Reels'!D120/('Reels'!D120+'Reels'!D123+'Reels'!D126+'Reels'!D129+'Reels'!D132+'Reels'!D135))*('Reels'!D147/('Reels'!D138+'Reels'!D141+'Reels'!D144+'Reels'!D147+'Reels'!D150+'Reels'!D153+'Reels'!D156))*('Reels'!D166/('Reels'!D160+'Reels'!D163+'Reels'!D166+'Reels'!D169+'Reels'!D172+'Reels'!D175))</f>
        <v>0.0020199547040460307</v>
      </c>
      <c r="D526">
        <f>IF(OR('Reels'!D118="attack",'Reels'!D118="magic"),CHOOSE('Reels'!D119+1,'Slots'!D29,'Slots'!D30,'Slots'!D31,'Slots'!D32,'Slots'!D33),0)+IF(OR('Reels'!D145="attack",'Reels'!D145="magic"),CHOOSE('Reels'!D146+1,'Slots'!D29,'Slots'!D30,'Slots'!D31,'Slots'!D32,'Slots'!D33),0)+IF(OR('Reels'!D164="attack",'Reels'!D164="magic"),CHOOSE('Reels'!D165+1,'Slots'!D29,'Slots'!D30,'Slots'!D31,'Slots'!D32,'Slots'!D33),0)</f>
        <v>9</v>
      </c>
      <c r="E526">
        <f>IF('Reels'!D118="heal",'Reels'!D119*'Slots'!D24,0)+IF('Reels'!D145="heal",'Reels'!D146*'Slots'!D24,0)+IF('Reels'!D164="heal",'Reels'!D165*'Slots'!D24,0)</f>
        <v>0</v>
      </c>
      <c r="F526">
        <f>IF('Reels'!D118="block",'Reels'!D119*'Slots'!D25,0)+IF('Reels'!D145="block",'Reels'!D146*'Slots'!D25,0)+IF('Reels'!D164="block",'Reels'!D165*'Slots'!D25,0)</f>
        <v>0</v>
      </c>
      <c r="G526" t="b">
        <f>AND('Reels'!D118&lt;&gt;"blank",'Reels'!D118&lt;&gt;"class",'Reels'!D118='Reels'!D164,'Reels'!D119='Reels'!D165,OR('Reels'!D145="class",AND('Reels'!D145='Reels'!D118,'Reels'!D146='Reels'!D119)))</f>
        <v>0</v>
      </c>
      <c r="H526">
        <f>IF(G526,C526,0)</f>
        <v>0</v>
      </c>
    </row>
    <row r="527" spans="1:8" x14ac:dyDescent="0.25">
      <c r="A527" t="s">
        <v>258</v>
      </c>
      <c r="B527" t="s">
        <v>3846</v>
      </c>
      <c r="C527" s="4">
        <f>('Reels'!D120/('Reels'!D120+'Reels'!D123+'Reels'!D126+'Reels'!D129+'Reels'!D132+'Reels'!D135))*('Reels'!D147/('Reels'!D138+'Reels'!D141+'Reels'!D144+'Reels'!D147+'Reels'!D150+'Reels'!D153+'Reels'!D156))*('Reels'!D169/('Reels'!D160+'Reels'!D163+'Reels'!D166+'Reels'!D169+'Reels'!D172+'Reels'!D175))</f>
        <v>0.0013466364693640203</v>
      </c>
      <c r="D527">
        <f>IF(OR('Reels'!D118="attack",'Reels'!D118="magic"),CHOOSE('Reels'!D119+1,'Slots'!D29,'Slots'!D30,'Slots'!D31,'Slots'!D32,'Slots'!D33),0)+IF(OR('Reels'!D145="attack",'Reels'!D145="magic"),CHOOSE('Reels'!D146+1,'Slots'!D29,'Slots'!D30,'Slots'!D31,'Slots'!D32,'Slots'!D33),0)+IF(OR('Reels'!D167="attack",'Reels'!D167="magic"),CHOOSE('Reels'!D168+1,'Slots'!D29,'Slots'!D30,'Slots'!D31,'Slots'!D32,'Slots'!D33),0)</f>
        <v>2</v>
      </c>
      <c r="E527">
        <f>IF('Reels'!D118="heal",'Reels'!D119*'Slots'!D24,0)+IF('Reels'!D145="heal",'Reels'!D146*'Slots'!D24,0)+IF('Reels'!D167="heal",'Reels'!D168*'Slots'!D24,0)</f>
        <v>0</v>
      </c>
      <c r="F527">
        <f>IF('Reels'!D118="block",'Reels'!D119*'Slots'!D25,0)+IF('Reels'!D145="block",'Reels'!D146*'Slots'!D25,0)+IF('Reels'!D167="block",'Reels'!D168*'Slots'!D25,0)</f>
        <v>0</v>
      </c>
      <c r="G527" t="b">
        <f>AND('Reels'!D118&lt;&gt;"blank",'Reels'!D118&lt;&gt;"class",'Reels'!D118='Reels'!D167,'Reels'!D119='Reels'!D168,OR('Reels'!D145="class",AND('Reels'!D145='Reels'!D118,'Reels'!D146='Reels'!D119)))</f>
        <v>0</v>
      </c>
      <c r="H527">
        <f>IF(G527,C527,0)</f>
        <v>0</v>
      </c>
    </row>
    <row r="528" spans="1:8" x14ac:dyDescent="0.25">
      <c r="A528" t="s">
        <v>258</v>
      </c>
      <c r="B528" t="s">
        <v>3847</v>
      </c>
      <c r="C528" s="4">
        <f>('Reels'!D120/('Reels'!D120+'Reels'!D123+'Reels'!D126+'Reels'!D129+'Reels'!D132+'Reels'!D135))*('Reels'!D147/('Reels'!D138+'Reels'!D141+'Reels'!D144+'Reels'!D147+'Reels'!D150+'Reels'!D153+'Reels'!D156))*('Reels'!D172/('Reels'!D160+'Reels'!D163+'Reels'!D166+'Reels'!D169+'Reels'!D172+'Reels'!D175))</f>
        <v>0.0006733182346820102</v>
      </c>
      <c r="D528">
        <f>IF(OR('Reels'!D118="attack",'Reels'!D118="magic"),CHOOSE('Reels'!D119+1,'Slots'!D29,'Slots'!D30,'Slots'!D31,'Slots'!D32,'Slots'!D33),0)+IF(OR('Reels'!D145="attack",'Reels'!D145="magic"),CHOOSE('Reels'!D146+1,'Slots'!D29,'Slots'!D30,'Slots'!D31,'Slots'!D32,'Slots'!D33),0)+IF(OR('Reels'!D170="attack",'Reels'!D170="magic"),CHOOSE('Reels'!D171+1,'Slots'!D29,'Slots'!D30,'Slots'!D31,'Slots'!D32,'Slots'!D33),0)</f>
        <v>2</v>
      </c>
      <c r="E528">
        <f>IF('Reels'!D118="heal",'Reels'!D119*'Slots'!D24,0)+IF('Reels'!D145="heal",'Reels'!D146*'Slots'!D24,0)+IF('Reels'!D170="heal",'Reels'!D171*'Slots'!D24,0)</f>
        <v>0</v>
      </c>
      <c r="F528">
        <f>IF('Reels'!D118="block",'Reels'!D119*'Slots'!D25,0)+IF('Reels'!D145="block",'Reels'!D146*'Slots'!D25,0)+IF('Reels'!D170="block",'Reels'!D171*'Slots'!D25,0)</f>
        <v>1</v>
      </c>
      <c r="G528" t="b">
        <f>AND('Reels'!D118&lt;&gt;"blank",'Reels'!D118&lt;&gt;"class",'Reels'!D118='Reels'!D170,'Reels'!D119='Reels'!D171,OR('Reels'!D145="class",AND('Reels'!D145='Reels'!D118,'Reels'!D146='Reels'!D119)))</f>
        <v>0</v>
      </c>
      <c r="H528">
        <f>IF(G528,C528,0)</f>
        <v>0</v>
      </c>
    </row>
    <row r="529" spans="1:8" x14ac:dyDescent="0.25">
      <c r="A529" t="s">
        <v>258</v>
      </c>
      <c r="B529" t="s">
        <v>3848</v>
      </c>
      <c r="C529" s="4">
        <f>('Reels'!D120/('Reels'!D120+'Reels'!D123+'Reels'!D126+'Reels'!D129+'Reels'!D132+'Reels'!D135))*('Reels'!D147/('Reels'!D138+'Reels'!D141+'Reels'!D144+'Reels'!D147+'Reels'!D150+'Reels'!D153+'Reels'!D156))*('Reels'!D175/('Reels'!D160+'Reels'!D163+'Reels'!D166+'Reels'!D169+'Reels'!D172+'Reels'!D175))</f>
        <v>0.0026932729387280406</v>
      </c>
      <c r="D529">
        <f>IF(OR('Reels'!D118="attack",'Reels'!D118="magic"),CHOOSE('Reels'!D119+1,'Slots'!D29,'Slots'!D30,'Slots'!D31,'Slots'!D32,'Slots'!D33),0)+IF(OR('Reels'!D145="attack",'Reels'!D145="magic"),CHOOSE('Reels'!D146+1,'Slots'!D29,'Slots'!D30,'Slots'!D31,'Slots'!D32,'Slots'!D33),0)+IF(OR('Reels'!D173="attack",'Reels'!D173="magic"),CHOOSE('Reels'!D174+1,'Slots'!D29,'Slots'!D30,'Slots'!D31,'Slots'!D32,'Slots'!D33),0)</f>
        <v>2</v>
      </c>
      <c r="E529">
        <f>IF('Reels'!D118="heal",'Reels'!D119*'Slots'!D24,0)+IF('Reels'!D145="heal",'Reels'!D146*'Slots'!D24,0)+IF('Reels'!D173="heal",'Reels'!D174*'Slots'!D24,0)</f>
        <v>0</v>
      </c>
      <c r="F529">
        <f>IF('Reels'!D118="block",'Reels'!D119*'Slots'!D25,0)+IF('Reels'!D145="block",'Reels'!D146*'Slots'!D25,0)+IF('Reels'!D173="block",'Reels'!D174*'Slots'!D25,0)</f>
        <v>0</v>
      </c>
      <c r="G529" t="b">
        <f>AND('Reels'!D118&lt;&gt;"blank",'Reels'!D118&lt;&gt;"class",'Reels'!D118='Reels'!D173,'Reels'!D119='Reels'!D174,OR('Reels'!D145="class",AND('Reels'!D145='Reels'!D118,'Reels'!D146='Reels'!D119)))</f>
        <v>0</v>
      </c>
      <c r="H529">
        <f>IF(G529,C529,0)</f>
        <v>0</v>
      </c>
    </row>
    <row r="530" spans="1:8" x14ac:dyDescent="0.25">
      <c r="A530" t="s">
        <v>258</v>
      </c>
      <c r="B530" t="s">
        <v>3377</v>
      </c>
      <c r="C530" s="4">
        <f>('Reels'!D120/('Reels'!D120+'Reels'!D123+'Reels'!D126+'Reels'!D129+'Reels'!D132+'Reels'!D135))*('Reels'!D150/('Reels'!D138+'Reels'!D141+'Reels'!D144+'Reels'!D147+'Reels'!D150+'Reels'!D153+'Reels'!D156))*('Reels'!D160/('Reels'!D160+'Reels'!D163+'Reels'!D166+'Reels'!D169+'Reels'!D172+'Reels'!D175))</f>
        <v>0.003703250290751056</v>
      </c>
      <c r="D530">
        <f>IF(OR('Reels'!D118="attack",'Reels'!D118="magic"),CHOOSE('Reels'!D119+1,'Slots'!D29,'Slots'!D30,'Slots'!D31,'Slots'!D32,'Slots'!D33),0)+IF(OR('Reels'!D148="attack",'Reels'!D148="magic"),CHOOSE('Reels'!D149+1,'Slots'!D29,'Slots'!D30,'Slots'!D31,'Slots'!D32,'Slots'!D33),0)+IF(OR('Reels'!D158="attack",'Reels'!D158="magic"),CHOOSE('Reels'!D159+1,'Slots'!D29,'Slots'!D30,'Slots'!D31,'Slots'!D32,'Slots'!D33),0)</f>
        <v>4</v>
      </c>
      <c r="E530">
        <f>IF('Reels'!D118="heal",'Reels'!D119*'Slots'!D24,0)+IF('Reels'!D148="heal",'Reels'!D149*'Slots'!D24,0)+IF('Reels'!D158="heal",'Reels'!D159*'Slots'!D24,0)</f>
        <v>0</v>
      </c>
      <c r="F530">
        <f>IF('Reels'!D118="block",'Reels'!D119*'Slots'!D25,0)+IF('Reels'!D148="block",'Reels'!D149*'Slots'!D25,0)+IF('Reels'!D158="block",'Reels'!D159*'Slots'!D25,0)</f>
        <v>1</v>
      </c>
      <c r="G530" t="b">
        <f>AND('Reels'!D118&lt;&gt;"blank",'Reels'!D118&lt;&gt;"class",'Reels'!D118='Reels'!D158,'Reels'!D119='Reels'!D159,OR('Reels'!D148="class",AND('Reels'!D148='Reels'!D118,'Reels'!D149='Reels'!D119)))</f>
        <v>0</v>
      </c>
      <c r="H530">
        <f>IF(G530,C530,0)</f>
        <v>0</v>
      </c>
    </row>
    <row r="531" spans="1:8" x14ac:dyDescent="0.25">
      <c r="A531" t="s">
        <v>258</v>
      </c>
      <c r="B531" t="s">
        <v>3378</v>
      </c>
      <c r="C531" s="4">
        <f>('Reels'!D120/('Reels'!D120+'Reels'!D123+'Reels'!D126+'Reels'!D129+'Reels'!D132+'Reels'!D135))*('Reels'!D150/('Reels'!D138+'Reels'!D141+'Reels'!D144+'Reels'!D147+'Reels'!D150+'Reels'!D153+'Reels'!D156))*('Reels'!D163/('Reels'!D160+'Reels'!D163+'Reels'!D166+'Reels'!D169+'Reels'!D172+'Reels'!D175))</f>
        <v>0.003366591173410051</v>
      </c>
      <c r="D531">
        <f>IF(OR('Reels'!D118="attack",'Reels'!D118="magic"),CHOOSE('Reels'!D119+1,'Slots'!D29,'Slots'!D30,'Slots'!D31,'Slots'!D32,'Slots'!D33),0)+IF(OR('Reels'!D148="attack",'Reels'!D148="magic"),CHOOSE('Reels'!D149+1,'Slots'!D29,'Slots'!D30,'Slots'!D31,'Slots'!D32,'Slots'!D33),0)+IF(OR('Reels'!D161="attack",'Reels'!D161="magic"),CHOOSE('Reels'!D162+1,'Slots'!D29,'Slots'!D30,'Slots'!D31,'Slots'!D32,'Slots'!D33),0)</f>
        <v>6</v>
      </c>
      <c r="E531">
        <f>IF('Reels'!D118="heal",'Reels'!D119*'Slots'!D24,0)+IF('Reels'!D148="heal",'Reels'!D149*'Slots'!D24,0)+IF('Reels'!D161="heal",'Reels'!D162*'Slots'!D24,0)</f>
        <v>0</v>
      </c>
      <c r="F531">
        <f>IF('Reels'!D118="block",'Reels'!D119*'Slots'!D25,0)+IF('Reels'!D148="block",'Reels'!D149*'Slots'!D25,0)+IF('Reels'!D161="block",'Reels'!D162*'Slots'!D25,0)</f>
        <v>1</v>
      </c>
      <c r="G531" t="b">
        <f>AND('Reels'!D118&lt;&gt;"blank",'Reels'!D118&lt;&gt;"class",'Reels'!D118='Reels'!D161,'Reels'!D119='Reels'!D162,OR('Reels'!D148="class",AND('Reels'!D148='Reels'!D118,'Reels'!D149='Reels'!D119)))</f>
        <v>0</v>
      </c>
      <c r="H531">
        <f>IF(G531,C531,0)</f>
        <v>0</v>
      </c>
    </row>
    <row r="532" spans="1:8" x14ac:dyDescent="0.25">
      <c r="A532" t="s">
        <v>258</v>
      </c>
      <c r="B532" t="s">
        <v>3849</v>
      </c>
      <c r="C532" s="4">
        <f>('Reels'!D120/('Reels'!D120+'Reels'!D123+'Reels'!D126+'Reels'!D129+'Reels'!D132+'Reels'!D135))*('Reels'!D150/('Reels'!D138+'Reels'!D141+'Reels'!D144+'Reels'!D147+'Reels'!D150+'Reels'!D153+'Reels'!D156))*('Reels'!D166/('Reels'!D160+'Reels'!D163+'Reels'!D166+'Reels'!D169+'Reels'!D172+'Reels'!D175))</f>
        <v>0.0010099773520230153</v>
      </c>
      <c r="D532">
        <f>IF(OR('Reels'!D118="attack",'Reels'!D118="magic"),CHOOSE('Reels'!D119+1,'Slots'!D29,'Slots'!D30,'Slots'!D31,'Slots'!D32,'Slots'!D33),0)+IF(OR('Reels'!D148="attack",'Reels'!D148="magic"),CHOOSE('Reels'!D149+1,'Slots'!D29,'Slots'!D30,'Slots'!D31,'Slots'!D32,'Slots'!D33),0)+IF(OR('Reels'!D164="attack",'Reels'!D164="magic"),CHOOSE('Reels'!D165+1,'Slots'!D29,'Slots'!D30,'Slots'!D31,'Slots'!D32,'Slots'!D33),0)</f>
        <v>9</v>
      </c>
      <c r="E532">
        <f>IF('Reels'!D118="heal",'Reels'!D119*'Slots'!D24,0)+IF('Reels'!D148="heal",'Reels'!D149*'Slots'!D24,0)+IF('Reels'!D164="heal",'Reels'!D165*'Slots'!D24,0)</f>
        <v>0</v>
      </c>
      <c r="F532">
        <f>IF('Reels'!D118="block",'Reels'!D119*'Slots'!D25,0)+IF('Reels'!D148="block",'Reels'!D149*'Slots'!D25,0)+IF('Reels'!D164="block",'Reels'!D165*'Slots'!D25,0)</f>
        <v>1</v>
      </c>
      <c r="G532" t="b">
        <f>AND('Reels'!D118&lt;&gt;"blank",'Reels'!D118&lt;&gt;"class",'Reels'!D118='Reels'!D164,'Reels'!D119='Reels'!D165,OR('Reels'!D148="class",AND('Reels'!D148='Reels'!D118,'Reels'!D149='Reels'!D119)))</f>
        <v>0</v>
      </c>
      <c r="H532">
        <f>IF(G532,C532,0)</f>
        <v>0</v>
      </c>
    </row>
    <row r="533" spans="1:8" x14ac:dyDescent="0.25">
      <c r="A533" t="s">
        <v>258</v>
      </c>
      <c r="B533" t="s">
        <v>3850</v>
      </c>
      <c r="C533" s="4">
        <f>('Reels'!D120/('Reels'!D120+'Reels'!D123+'Reels'!D126+'Reels'!D129+'Reels'!D132+'Reels'!D135))*('Reels'!D150/('Reels'!D138+'Reels'!D141+'Reels'!D144+'Reels'!D147+'Reels'!D150+'Reels'!D153+'Reels'!D156))*('Reels'!D169/('Reels'!D160+'Reels'!D163+'Reels'!D166+'Reels'!D169+'Reels'!D172+'Reels'!D175))</f>
        <v>0.0006733182346820102</v>
      </c>
      <c r="D533">
        <f>IF(OR('Reels'!D118="attack",'Reels'!D118="magic"),CHOOSE('Reels'!D119+1,'Slots'!D29,'Slots'!D30,'Slots'!D31,'Slots'!D32,'Slots'!D33),0)+IF(OR('Reels'!D148="attack",'Reels'!D148="magic"),CHOOSE('Reels'!D149+1,'Slots'!D29,'Slots'!D30,'Slots'!D31,'Slots'!D32,'Slots'!D33),0)+IF(OR('Reels'!D167="attack",'Reels'!D167="magic"),CHOOSE('Reels'!D168+1,'Slots'!D29,'Slots'!D30,'Slots'!D31,'Slots'!D32,'Slots'!D33),0)</f>
        <v>2</v>
      </c>
      <c r="E533">
        <f>IF('Reels'!D118="heal",'Reels'!D119*'Slots'!D24,0)+IF('Reels'!D148="heal",'Reels'!D149*'Slots'!D24,0)+IF('Reels'!D167="heal",'Reels'!D168*'Slots'!D24,0)</f>
        <v>0</v>
      </c>
      <c r="F533">
        <f>IF('Reels'!D118="block",'Reels'!D119*'Slots'!D25,0)+IF('Reels'!D148="block",'Reels'!D149*'Slots'!D25,0)+IF('Reels'!D167="block",'Reels'!D168*'Slots'!D25,0)</f>
        <v>1</v>
      </c>
      <c r="G533" t="b">
        <f>AND('Reels'!D118&lt;&gt;"blank",'Reels'!D118&lt;&gt;"class",'Reels'!D118='Reels'!D167,'Reels'!D119='Reels'!D168,OR('Reels'!D148="class",AND('Reels'!D148='Reels'!D118,'Reels'!D149='Reels'!D119)))</f>
        <v>0</v>
      </c>
      <c r="H533">
        <f>IF(G533,C533,0)</f>
        <v>0</v>
      </c>
    </row>
    <row r="534" spans="1:8" x14ac:dyDescent="0.25">
      <c r="A534" t="s">
        <v>258</v>
      </c>
      <c r="B534" t="s">
        <v>3379</v>
      </c>
      <c r="C534" s="4">
        <f>('Reels'!D120/('Reels'!D120+'Reels'!D123+'Reels'!D126+'Reels'!D129+'Reels'!D132+'Reels'!D135))*('Reels'!D150/('Reels'!D138+'Reels'!D141+'Reels'!D144+'Reels'!D147+'Reels'!D150+'Reels'!D153+'Reels'!D156))*('Reels'!D172/('Reels'!D160+'Reels'!D163+'Reels'!D166+'Reels'!D169+'Reels'!D172+'Reels'!D175))</f>
        <v>0.0003366591173410051</v>
      </c>
      <c r="D534">
        <f>IF(OR('Reels'!D118="attack",'Reels'!D118="magic"),CHOOSE('Reels'!D119+1,'Slots'!D29,'Slots'!D30,'Slots'!D31,'Slots'!D32,'Slots'!D33),0)+IF(OR('Reels'!D148="attack",'Reels'!D148="magic"),CHOOSE('Reels'!D149+1,'Slots'!D29,'Slots'!D30,'Slots'!D31,'Slots'!D32,'Slots'!D33),0)+IF(OR('Reels'!D170="attack",'Reels'!D170="magic"),CHOOSE('Reels'!D171+1,'Slots'!D29,'Slots'!D30,'Slots'!D31,'Slots'!D32,'Slots'!D33),0)</f>
        <v>2</v>
      </c>
      <c r="E534">
        <f>IF('Reels'!D118="heal",'Reels'!D119*'Slots'!D24,0)+IF('Reels'!D148="heal",'Reels'!D149*'Slots'!D24,0)+IF('Reels'!D170="heal",'Reels'!D171*'Slots'!D24,0)</f>
        <v>0</v>
      </c>
      <c r="F534">
        <f>IF('Reels'!D118="block",'Reels'!D119*'Slots'!D25,0)+IF('Reels'!D148="block",'Reels'!D149*'Slots'!D25,0)+IF('Reels'!D170="block",'Reels'!D171*'Slots'!D25,0)</f>
        <v>2</v>
      </c>
      <c r="G534" t="b">
        <f>AND('Reels'!D118&lt;&gt;"blank",'Reels'!D118&lt;&gt;"class",'Reels'!D118='Reels'!D170,'Reels'!D119='Reels'!D171,OR('Reels'!D148="class",AND('Reels'!D148='Reels'!D118,'Reels'!D149='Reels'!D119)))</f>
        <v>0</v>
      </c>
      <c r="H534">
        <f>IF(G534,C534,0)</f>
        <v>0</v>
      </c>
    </row>
    <row r="535" spans="1:8" x14ac:dyDescent="0.25">
      <c r="A535" t="s">
        <v>258</v>
      </c>
      <c r="B535" t="s">
        <v>3382</v>
      </c>
      <c r="C535" s="4">
        <f>('Reels'!D120/('Reels'!D120+'Reels'!D123+'Reels'!D126+'Reels'!D129+'Reels'!D132+'Reels'!D135))*('Reels'!D150/('Reels'!D138+'Reels'!D141+'Reels'!D144+'Reels'!D147+'Reels'!D150+'Reels'!D153+'Reels'!D156))*('Reels'!D175/('Reels'!D160+'Reels'!D163+'Reels'!D166+'Reels'!D169+'Reels'!D172+'Reels'!D175))</f>
        <v>0.0013466364693640203</v>
      </c>
      <c r="D535">
        <f>IF(OR('Reels'!D118="attack",'Reels'!D118="magic"),CHOOSE('Reels'!D119+1,'Slots'!D29,'Slots'!D30,'Slots'!D31,'Slots'!D32,'Slots'!D33),0)+IF(OR('Reels'!D148="attack",'Reels'!D148="magic"),CHOOSE('Reels'!D149+1,'Slots'!D29,'Slots'!D30,'Slots'!D31,'Slots'!D32,'Slots'!D33),0)+IF(OR('Reels'!D173="attack",'Reels'!D173="magic"),CHOOSE('Reels'!D174+1,'Slots'!D29,'Slots'!D30,'Slots'!D31,'Slots'!D32,'Slots'!D33),0)</f>
        <v>2</v>
      </c>
      <c r="E535">
        <f>IF('Reels'!D118="heal",'Reels'!D119*'Slots'!D24,0)+IF('Reels'!D148="heal",'Reels'!D149*'Slots'!D24,0)+IF('Reels'!D173="heal",'Reels'!D174*'Slots'!D24,0)</f>
        <v>0</v>
      </c>
      <c r="F535">
        <f>IF('Reels'!D118="block",'Reels'!D119*'Slots'!D25,0)+IF('Reels'!D148="block",'Reels'!D149*'Slots'!D25,0)+IF('Reels'!D173="block",'Reels'!D174*'Slots'!D25,0)</f>
        <v>1</v>
      </c>
      <c r="G535" t="b">
        <f>AND('Reels'!D118&lt;&gt;"blank",'Reels'!D118&lt;&gt;"class",'Reels'!D118='Reels'!D173,'Reels'!D119='Reels'!D174,OR('Reels'!D148="class",AND('Reels'!D148='Reels'!D118,'Reels'!D149='Reels'!D119)))</f>
        <v>0</v>
      </c>
      <c r="H535">
        <f>IF(G535,C535,0)</f>
        <v>0</v>
      </c>
    </row>
    <row r="536" spans="1:8" x14ac:dyDescent="0.25">
      <c r="A536" t="s">
        <v>258</v>
      </c>
      <c r="B536" t="s">
        <v>3395</v>
      </c>
      <c r="C536" s="4">
        <f>('Reels'!D120/('Reels'!D120+'Reels'!D123+'Reels'!D126+'Reels'!D129+'Reels'!D132+'Reels'!D135))*('Reels'!D153/('Reels'!D138+'Reels'!D141+'Reels'!D144+'Reels'!D147+'Reels'!D150+'Reels'!D153+'Reels'!D156))*('Reels'!D160/('Reels'!D160+'Reels'!D163+'Reels'!D166+'Reels'!D169+'Reels'!D172+'Reels'!D175))</f>
        <v>0.014813001163004224</v>
      </c>
      <c r="D536">
        <f>IF(OR('Reels'!D118="attack",'Reels'!D118="magic"),CHOOSE('Reels'!D119+1,'Slots'!D29,'Slots'!D30,'Slots'!D31,'Slots'!D32,'Slots'!D33),0)+IF(OR('Reels'!D151="attack",'Reels'!D151="magic"),CHOOSE('Reels'!D152+1,'Slots'!D29,'Slots'!D30,'Slots'!D31,'Slots'!D32,'Slots'!D33),0)+IF(OR('Reels'!D158="attack",'Reels'!D158="magic"),CHOOSE('Reels'!D159+1,'Slots'!D29,'Slots'!D30,'Slots'!D31,'Slots'!D32,'Slots'!D33),0)</f>
        <v>4</v>
      </c>
      <c r="E536">
        <f>IF('Reels'!D118="heal",'Reels'!D119*'Slots'!D24,0)+IF('Reels'!D151="heal",'Reels'!D152*'Slots'!D24,0)+IF('Reels'!D158="heal",'Reels'!D159*'Slots'!D24,0)</f>
        <v>0</v>
      </c>
      <c r="F536">
        <f>IF('Reels'!D118="block",'Reels'!D119*'Slots'!D25,0)+IF('Reels'!D151="block",'Reels'!D152*'Slots'!D25,0)+IF('Reels'!D158="block",'Reels'!D159*'Slots'!D25,0)</f>
        <v>0</v>
      </c>
      <c r="G536" t="b">
        <f>AND('Reels'!D118&lt;&gt;"blank",'Reels'!D118&lt;&gt;"class",'Reels'!D118='Reels'!D158,'Reels'!D119='Reels'!D159,OR('Reels'!D151="class",AND('Reels'!D151='Reels'!D118,'Reels'!D152='Reels'!D119)))</f>
        <v>0</v>
      </c>
      <c r="H536">
        <f>IF(G536,C536,0)</f>
        <v>0</v>
      </c>
    </row>
    <row r="537" spans="1:8" x14ac:dyDescent="0.25">
      <c r="A537" t="s">
        <v>258</v>
      </c>
      <c r="B537" t="s">
        <v>3396</v>
      </c>
      <c r="C537" s="4">
        <f>('Reels'!D120/('Reels'!D120+'Reels'!D123+'Reels'!D126+'Reels'!D129+'Reels'!D132+'Reels'!D135))*('Reels'!D153/('Reels'!D138+'Reels'!D141+'Reels'!D144+'Reels'!D147+'Reels'!D150+'Reels'!D153+'Reels'!D156))*('Reels'!D163/('Reels'!D160+'Reels'!D163+'Reels'!D166+'Reels'!D169+'Reels'!D172+'Reels'!D175))</f>
        <v>0.013466364693640204</v>
      </c>
      <c r="D537">
        <f>IF(OR('Reels'!D118="attack",'Reels'!D118="magic"),CHOOSE('Reels'!D119+1,'Slots'!D29,'Slots'!D30,'Slots'!D31,'Slots'!D32,'Slots'!D33),0)+IF(OR('Reels'!D151="attack",'Reels'!D151="magic"),CHOOSE('Reels'!D152+1,'Slots'!D29,'Slots'!D30,'Slots'!D31,'Slots'!D32,'Slots'!D33),0)+IF(OR('Reels'!D161="attack",'Reels'!D161="magic"),CHOOSE('Reels'!D162+1,'Slots'!D29,'Slots'!D30,'Slots'!D31,'Slots'!D32,'Slots'!D33),0)</f>
        <v>6</v>
      </c>
      <c r="E537">
        <f>IF('Reels'!D118="heal",'Reels'!D119*'Slots'!D24,0)+IF('Reels'!D151="heal",'Reels'!D152*'Slots'!D24,0)+IF('Reels'!D161="heal",'Reels'!D162*'Slots'!D24,0)</f>
        <v>0</v>
      </c>
      <c r="F537">
        <f>IF('Reels'!D118="block",'Reels'!D119*'Slots'!D25,0)+IF('Reels'!D151="block",'Reels'!D152*'Slots'!D25,0)+IF('Reels'!D161="block",'Reels'!D162*'Slots'!D25,0)</f>
        <v>0</v>
      </c>
      <c r="G537" t="b">
        <f>AND('Reels'!D118&lt;&gt;"blank",'Reels'!D118&lt;&gt;"class",'Reels'!D118='Reels'!D161,'Reels'!D119='Reels'!D162,OR('Reels'!D151="class",AND('Reels'!D151='Reels'!D118,'Reels'!D152='Reels'!D119)))</f>
        <v>0</v>
      </c>
      <c r="H537">
        <f>IF(G537,C537,0)</f>
        <v>0</v>
      </c>
    </row>
    <row r="538" spans="1:8" x14ac:dyDescent="0.25">
      <c r="A538" t="s">
        <v>258</v>
      </c>
      <c r="B538" t="s">
        <v>3851</v>
      </c>
      <c r="C538" s="4">
        <f>('Reels'!D120/('Reels'!D120+'Reels'!D123+'Reels'!D126+'Reels'!D129+'Reels'!D132+'Reels'!D135))*('Reels'!D153/('Reels'!D138+'Reels'!D141+'Reels'!D144+'Reels'!D147+'Reels'!D150+'Reels'!D153+'Reels'!D156))*('Reels'!D166/('Reels'!D160+'Reels'!D163+'Reels'!D166+'Reels'!D169+'Reels'!D172+'Reels'!D175))</f>
        <v>0.004039909408092061</v>
      </c>
      <c r="D538">
        <f>IF(OR('Reels'!D118="attack",'Reels'!D118="magic"),CHOOSE('Reels'!D119+1,'Slots'!D29,'Slots'!D30,'Slots'!D31,'Slots'!D32,'Slots'!D33),0)+IF(OR('Reels'!D151="attack",'Reels'!D151="magic"),CHOOSE('Reels'!D152+1,'Slots'!D29,'Slots'!D30,'Slots'!D31,'Slots'!D32,'Slots'!D33),0)+IF(OR('Reels'!D164="attack",'Reels'!D164="magic"),CHOOSE('Reels'!D165+1,'Slots'!D29,'Slots'!D30,'Slots'!D31,'Slots'!D32,'Slots'!D33),0)</f>
        <v>9</v>
      </c>
      <c r="E538">
        <f>IF('Reels'!D118="heal",'Reels'!D119*'Slots'!D24,0)+IF('Reels'!D151="heal",'Reels'!D152*'Slots'!D24,0)+IF('Reels'!D164="heal",'Reels'!D165*'Slots'!D24,0)</f>
        <v>0</v>
      </c>
      <c r="F538">
        <f>IF('Reels'!D118="block",'Reels'!D119*'Slots'!D25,0)+IF('Reels'!D151="block",'Reels'!D152*'Slots'!D25,0)+IF('Reels'!D164="block",'Reels'!D165*'Slots'!D25,0)</f>
        <v>0</v>
      </c>
      <c r="G538" t="b">
        <f>AND('Reels'!D118&lt;&gt;"blank",'Reels'!D118&lt;&gt;"class",'Reels'!D118='Reels'!D164,'Reels'!D119='Reels'!D165,OR('Reels'!D151="class",AND('Reels'!D151='Reels'!D118,'Reels'!D152='Reels'!D119)))</f>
        <v>0</v>
      </c>
      <c r="H538">
        <f>IF(G538,C538,0)</f>
        <v>0</v>
      </c>
    </row>
    <row r="539" spans="1:8" x14ac:dyDescent="0.25">
      <c r="A539" t="s">
        <v>258</v>
      </c>
      <c r="B539" t="s">
        <v>3852</v>
      </c>
      <c r="C539" s="4">
        <f>('Reels'!D120/('Reels'!D120+'Reels'!D123+'Reels'!D126+'Reels'!D129+'Reels'!D132+'Reels'!D135))*('Reels'!D153/('Reels'!D138+'Reels'!D141+'Reels'!D144+'Reels'!D147+'Reels'!D150+'Reels'!D153+'Reels'!D156))*('Reels'!D169/('Reels'!D160+'Reels'!D163+'Reels'!D166+'Reels'!D169+'Reels'!D172+'Reels'!D175))</f>
        <v>0.0026932729387280406</v>
      </c>
      <c r="D539">
        <f>IF(OR('Reels'!D118="attack",'Reels'!D118="magic"),CHOOSE('Reels'!D119+1,'Slots'!D29,'Slots'!D30,'Slots'!D31,'Slots'!D32,'Slots'!D33),0)+IF(OR('Reels'!D151="attack",'Reels'!D151="magic"),CHOOSE('Reels'!D152+1,'Slots'!D29,'Slots'!D30,'Slots'!D31,'Slots'!D32,'Slots'!D33),0)+IF(OR('Reels'!D167="attack",'Reels'!D167="magic"),CHOOSE('Reels'!D168+1,'Slots'!D29,'Slots'!D30,'Slots'!D31,'Slots'!D32,'Slots'!D33),0)</f>
        <v>2</v>
      </c>
      <c r="E539">
        <f>IF('Reels'!D118="heal",'Reels'!D119*'Slots'!D24,0)+IF('Reels'!D151="heal",'Reels'!D152*'Slots'!D24,0)+IF('Reels'!D167="heal",'Reels'!D168*'Slots'!D24,0)</f>
        <v>0</v>
      </c>
      <c r="F539">
        <f>IF('Reels'!D118="block",'Reels'!D119*'Slots'!D25,0)+IF('Reels'!D151="block",'Reels'!D152*'Slots'!D25,0)+IF('Reels'!D167="block",'Reels'!D168*'Slots'!D25,0)</f>
        <v>0</v>
      </c>
      <c r="G539" t="b">
        <f>AND('Reels'!D118&lt;&gt;"blank",'Reels'!D118&lt;&gt;"class",'Reels'!D118='Reels'!D167,'Reels'!D119='Reels'!D168,OR('Reels'!D151="class",AND('Reels'!D151='Reels'!D118,'Reels'!D152='Reels'!D119)))</f>
        <v>0</v>
      </c>
      <c r="H539">
        <f>IF(G539,C539,0)</f>
        <v>0</v>
      </c>
    </row>
    <row r="540" spans="1:8" x14ac:dyDescent="0.25">
      <c r="A540" t="s">
        <v>258</v>
      </c>
      <c r="B540" t="s">
        <v>3397</v>
      </c>
      <c r="C540" s="4">
        <f>('Reels'!D120/('Reels'!D120+'Reels'!D123+'Reels'!D126+'Reels'!D129+'Reels'!D132+'Reels'!D135))*('Reels'!D153/('Reels'!D138+'Reels'!D141+'Reels'!D144+'Reels'!D147+'Reels'!D150+'Reels'!D153+'Reels'!D156))*('Reels'!D172/('Reels'!D160+'Reels'!D163+'Reels'!D166+'Reels'!D169+'Reels'!D172+'Reels'!D175))</f>
        <v>0.0013466364693640203</v>
      </c>
      <c r="D540">
        <f>IF(OR('Reels'!D118="attack",'Reels'!D118="magic"),CHOOSE('Reels'!D119+1,'Slots'!D29,'Slots'!D30,'Slots'!D31,'Slots'!D32,'Slots'!D33),0)+IF(OR('Reels'!D151="attack",'Reels'!D151="magic"),CHOOSE('Reels'!D152+1,'Slots'!D29,'Slots'!D30,'Slots'!D31,'Slots'!D32,'Slots'!D33),0)+IF(OR('Reels'!D170="attack",'Reels'!D170="magic"),CHOOSE('Reels'!D171+1,'Slots'!D29,'Slots'!D30,'Slots'!D31,'Slots'!D32,'Slots'!D33),0)</f>
        <v>2</v>
      </c>
      <c r="E540">
        <f>IF('Reels'!D118="heal",'Reels'!D119*'Slots'!D24,0)+IF('Reels'!D151="heal",'Reels'!D152*'Slots'!D24,0)+IF('Reels'!D170="heal",'Reels'!D171*'Slots'!D24,0)</f>
        <v>0</v>
      </c>
      <c r="F540">
        <f>IF('Reels'!D118="block",'Reels'!D119*'Slots'!D25,0)+IF('Reels'!D151="block",'Reels'!D152*'Slots'!D25,0)+IF('Reels'!D170="block",'Reels'!D171*'Slots'!D25,0)</f>
        <v>1</v>
      </c>
      <c r="G540" t="b">
        <f>AND('Reels'!D118&lt;&gt;"blank",'Reels'!D118&lt;&gt;"class",'Reels'!D118='Reels'!D170,'Reels'!D119='Reels'!D171,OR('Reels'!D151="class",AND('Reels'!D151='Reels'!D118,'Reels'!D152='Reels'!D119)))</f>
        <v>0</v>
      </c>
      <c r="H540">
        <f>IF(G540,C540,0)</f>
        <v>0</v>
      </c>
    </row>
    <row r="541" spans="1:8" x14ac:dyDescent="0.25">
      <c r="A541" t="s">
        <v>258</v>
      </c>
      <c r="B541" t="s">
        <v>3400</v>
      </c>
      <c r="C541" s="4">
        <f>('Reels'!D120/('Reels'!D120+'Reels'!D123+'Reels'!D126+'Reels'!D129+'Reels'!D132+'Reels'!D135))*('Reels'!D153/('Reels'!D138+'Reels'!D141+'Reels'!D144+'Reels'!D147+'Reels'!D150+'Reels'!D153+'Reels'!D156))*('Reels'!D175/('Reels'!D160+'Reels'!D163+'Reels'!D166+'Reels'!D169+'Reels'!D172+'Reels'!D175))</f>
        <v>0.005386545877456081</v>
      </c>
      <c r="D541">
        <f>IF(OR('Reels'!D118="attack",'Reels'!D118="magic"),CHOOSE('Reels'!D119+1,'Slots'!D29,'Slots'!D30,'Slots'!D31,'Slots'!D32,'Slots'!D33),0)+IF(OR('Reels'!D151="attack",'Reels'!D151="magic"),CHOOSE('Reels'!D152+1,'Slots'!D29,'Slots'!D30,'Slots'!D31,'Slots'!D32,'Slots'!D33),0)+IF(OR('Reels'!D173="attack",'Reels'!D173="magic"),CHOOSE('Reels'!D174+1,'Slots'!D29,'Slots'!D30,'Slots'!D31,'Slots'!D32,'Slots'!D33),0)</f>
        <v>2</v>
      </c>
      <c r="E541">
        <f>IF('Reels'!D118="heal",'Reels'!D119*'Slots'!D24,0)+IF('Reels'!D151="heal",'Reels'!D152*'Slots'!D24,0)+IF('Reels'!D173="heal",'Reels'!D174*'Slots'!D24,0)</f>
        <v>0</v>
      </c>
      <c r="F541">
        <f>IF('Reels'!D118="block",'Reels'!D119*'Slots'!D25,0)+IF('Reels'!D151="block",'Reels'!D152*'Slots'!D25,0)+IF('Reels'!D173="block",'Reels'!D174*'Slots'!D25,0)</f>
        <v>0</v>
      </c>
      <c r="G541" t="b">
        <f>AND('Reels'!D118&lt;&gt;"blank",'Reels'!D118&lt;&gt;"class",'Reels'!D118='Reels'!D173,'Reels'!D119='Reels'!D174,OR('Reels'!D151="class",AND('Reels'!D151='Reels'!D118,'Reels'!D152='Reels'!D119)))</f>
        <v>0</v>
      </c>
      <c r="H541">
        <f>IF(G541,C541,0)</f>
        <v>0</v>
      </c>
    </row>
    <row r="542" spans="1:8" x14ac:dyDescent="0.25">
      <c r="A542" t="s">
        <v>258</v>
      </c>
      <c r="B542" t="s">
        <v>3401</v>
      </c>
      <c r="C542" s="4">
        <f>('Reels'!D120/('Reels'!D120+'Reels'!D123+'Reels'!D126+'Reels'!D129+'Reels'!D132+'Reels'!D135))*('Reels'!D156/('Reels'!D138+'Reels'!D141+'Reels'!D144+'Reels'!D147+'Reels'!D150+'Reels'!D153+'Reels'!D156))*('Reels'!D160/('Reels'!D160+'Reels'!D163+'Reels'!D166+'Reels'!D169+'Reels'!D172+'Reels'!D175))</f>
        <v>0.011109750872253169</v>
      </c>
      <c r="D542">
        <f>IF(OR('Reels'!D118="attack",'Reels'!D118="magic"),CHOOSE('Reels'!D119+1,'Slots'!D29,'Slots'!D30,'Slots'!D31,'Slots'!D32,'Slots'!D33),0)+IF(OR('Reels'!D154="attack",'Reels'!D154="magic"),CHOOSE('Reels'!D155+1,'Slots'!D29,'Slots'!D30,'Slots'!D31,'Slots'!D32,'Slots'!D33),0)+IF(OR('Reels'!D158="attack",'Reels'!D158="magic"),CHOOSE('Reels'!D159+1,'Slots'!D29,'Slots'!D30,'Slots'!D31,'Slots'!D32,'Slots'!D33),0)</f>
        <v>4</v>
      </c>
      <c r="E542">
        <f>IF('Reels'!D118="heal",'Reels'!D119*'Slots'!D24,0)+IF('Reels'!D154="heal",'Reels'!D155*'Slots'!D24,0)+IF('Reels'!D158="heal",'Reels'!D159*'Slots'!D24,0)</f>
        <v>0</v>
      </c>
      <c r="F542">
        <f>IF('Reels'!D118="block",'Reels'!D119*'Slots'!D25,0)+IF('Reels'!D154="block",'Reels'!D155*'Slots'!D25,0)+IF('Reels'!D158="block",'Reels'!D159*'Slots'!D25,0)</f>
        <v>0</v>
      </c>
      <c r="G542" t="b">
        <f>AND('Reels'!D118&lt;&gt;"blank",'Reels'!D118&lt;&gt;"class",'Reels'!D118='Reels'!D158,'Reels'!D119='Reels'!D159,OR('Reels'!D154="class",AND('Reels'!D154='Reels'!D118,'Reels'!D155='Reels'!D119)))</f>
        <v>1</v>
      </c>
      <c r="H542">
        <f>IF(G542,C542,0)</f>
        <v>0.011109750872253169</v>
      </c>
    </row>
    <row r="543" spans="1:8" x14ac:dyDescent="0.25">
      <c r="A543" t="s">
        <v>258</v>
      </c>
      <c r="B543" t="s">
        <v>3402</v>
      </c>
      <c r="C543" s="4">
        <f>('Reels'!D120/('Reels'!D120+'Reels'!D123+'Reels'!D126+'Reels'!D129+'Reels'!D132+'Reels'!D135))*('Reels'!D156/('Reels'!D138+'Reels'!D141+'Reels'!D144+'Reels'!D147+'Reels'!D150+'Reels'!D153+'Reels'!D156))*('Reels'!D163/('Reels'!D160+'Reels'!D163+'Reels'!D166+'Reels'!D169+'Reels'!D172+'Reels'!D175))</f>
        <v>0.010099773520230153</v>
      </c>
      <c r="D543">
        <f>IF(OR('Reels'!D118="attack",'Reels'!D118="magic"),CHOOSE('Reels'!D119+1,'Slots'!D29,'Slots'!D30,'Slots'!D31,'Slots'!D32,'Slots'!D33),0)+IF(OR('Reels'!D154="attack",'Reels'!D154="magic"),CHOOSE('Reels'!D155+1,'Slots'!D29,'Slots'!D30,'Slots'!D31,'Slots'!D32,'Slots'!D33),0)+IF(OR('Reels'!D161="attack",'Reels'!D161="magic"),CHOOSE('Reels'!D162+1,'Slots'!D29,'Slots'!D30,'Slots'!D31,'Slots'!D32,'Slots'!D33),0)</f>
        <v>6</v>
      </c>
      <c r="E543">
        <f>IF('Reels'!D118="heal",'Reels'!D119*'Slots'!D24,0)+IF('Reels'!D154="heal",'Reels'!D155*'Slots'!D24,0)+IF('Reels'!D161="heal",'Reels'!D162*'Slots'!D24,0)</f>
        <v>0</v>
      </c>
      <c r="F543">
        <f>IF('Reels'!D118="block",'Reels'!D119*'Slots'!D25,0)+IF('Reels'!D154="block",'Reels'!D155*'Slots'!D25,0)+IF('Reels'!D161="block",'Reels'!D162*'Slots'!D25,0)</f>
        <v>0</v>
      </c>
      <c r="G543" t="b">
        <f>AND('Reels'!D118&lt;&gt;"blank",'Reels'!D118&lt;&gt;"class",'Reels'!D118='Reels'!D161,'Reels'!D119='Reels'!D162,OR('Reels'!D154="class",AND('Reels'!D154='Reels'!D118,'Reels'!D155='Reels'!D119)))</f>
        <v>0</v>
      </c>
      <c r="H543">
        <f>IF(G543,C543,0)</f>
        <v>0</v>
      </c>
    </row>
    <row r="544" spans="1:8" x14ac:dyDescent="0.25">
      <c r="A544" t="s">
        <v>258</v>
      </c>
      <c r="B544" t="s">
        <v>3853</v>
      </c>
      <c r="C544" s="4">
        <f>('Reels'!D120/('Reels'!D120+'Reels'!D123+'Reels'!D126+'Reels'!D129+'Reels'!D132+'Reels'!D135))*('Reels'!D156/('Reels'!D138+'Reels'!D141+'Reels'!D144+'Reels'!D147+'Reels'!D150+'Reels'!D153+'Reels'!D156))*('Reels'!D166/('Reels'!D160+'Reels'!D163+'Reels'!D166+'Reels'!D169+'Reels'!D172+'Reels'!D175))</f>
        <v>0.003029932056069046</v>
      </c>
      <c r="D544">
        <f>IF(OR('Reels'!D118="attack",'Reels'!D118="magic"),CHOOSE('Reels'!D119+1,'Slots'!D29,'Slots'!D30,'Slots'!D31,'Slots'!D32,'Slots'!D33),0)+IF(OR('Reels'!D154="attack",'Reels'!D154="magic"),CHOOSE('Reels'!D155+1,'Slots'!D29,'Slots'!D30,'Slots'!D31,'Slots'!D32,'Slots'!D33),0)+IF(OR('Reels'!D164="attack",'Reels'!D164="magic"),CHOOSE('Reels'!D165+1,'Slots'!D29,'Slots'!D30,'Slots'!D31,'Slots'!D32,'Slots'!D33),0)</f>
        <v>9</v>
      </c>
      <c r="E544">
        <f>IF('Reels'!D118="heal",'Reels'!D119*'Slots'!D24,0)+IF('Reels'!D154="heal",'Reels'!D155*'Slots'!D24,0)+IF('Reels'!D164="heal",'Reels'!D165*'Slots'!D24,0)</f>
        <v>0</v>
      </c>
      <c r="F544">
        <f>IF('Reels'!D118="block",'Reels'!D119*'Slots'!D25,0)+IF('Reels'!D154="block",'Reels'!D155*'Slots'!D25,0)+IF('Reels'!D164="block",'Reels'!D165*'Slots'!D25,0)</f>
        <v>0</v>
      </c>
      <c r="G544" t="b">
        <f>AND('Reels'!D118&lt;&gt;"blank",'Reels'!D118&lt;&gt;"class",'Reels'!D118='Reels'!D164,'Reels'!D119='Reels'!D165,OR('Reels'!D154="class",AND('Reels'!D154='Reels'!D118,'Reels'!D155='Reels'!D119)))</f>
        <v>0</v>
      </c>
      <c r="H544">
        <f>IF(G544,C544,0)</f>
        <v>0</v>
      </c>
    </row>
    <row r="545" spans="1:8" x14ac:dyDescent="0.25">
      <c r="A545" t="s">
        <v>258</v>
      </c>
      <c r="B545" t="s">
        <v>3854</v>
      </c>
      <c r="C545" s="4">
        <f>('Reels'!D120/('Reels'!D120+'Reels'!D123+'Reels'!D126+'Reels'!D129+'Reels'!D132+'Reels'!D135))*('Reels'!D156/('Reels'!D138+'Reels'!D141+'Reels'!D144+'Reels'!D147+'Reels'!D150+'Reels'!D153+'Reels'!D156))*('Reels'!D169/('Reels'!D160+'Reels'!D163+'Reels'!D166+'Reels'!D169+'Reels'!D172+'Reels'!D175))</f>
        <v>0.0020199547040460307</v>
      </c>
      <c r="D545">
        <f>IF(OR('Reels'!D118="attack",'Reels'!D118="magic"),CHOOSE('Reels'!D119+1,'Slots'!D29,'Slots'!D30,'Slots'!D31,'Slots'!D32,'Slots'!D33),0)+IF(OR('Reels'!D154="attack",'Reels'!D154="magic"),CHOOSE('Reels'!D155+1,'Slots'!D29,'Slots'!D30,'Slots'!D31,'Slots'!D32,'Slots'!D33),0)+IF(OR('Reels'!D167="attack",'Reels'!D167="magic"),CHOOSE('Reels'!D168+1,'Slots'!D29,'Slots'!D30,'Slots'!D31,'Slots'!D32,'Slots'!D33),0)</f>
        <v>2</v>
      </c>
      <c r="E545">
        <f>IF('Reels'!D118="heal",'Reels'!D119*'Slots'!D24,0)+IF('Reels'!D154="heal",'Reels'!D155*'Slots'!D24,0)+IF('Reels'!D167="heal",'Reels'!D168*'Slots'!D24,0)</f>
        <v>0</v>
      </c>
      <c r="F545">
        <f>IF('Reels'!D118="block",'Reels'!D119*'Slots'!D25,0)+IF('Reels'!D154="block",'Reels'!D155*'Slots'!D25,0)+IF('Reels'!D167="block",'Reels'!D168*'Slots'!D25,0)</f>
        <v>0</v>
      </c>
      <c r="G545" t="b">
        <f>AND('Reels'!D118&lt;&gt;"blank",'Reels'!D118&lt;&gt;"class",'Reels'!D118='Reels'!D167,'Reels'!D119='Reels'!D168,OR('Reels'!D154="class",AND('Reels'!D154='Reels'!D118,'Reels'!D155='Reels'!D119)))</f>
        <v>0</v>
      </c>
      <c r="H545">
        <f>IF(G545,C545,0)</f>
        <v>0</v>
      </c>
    </row>
    <row r="546" spans="1:8" x14ac:dyDescent="0.25">
      <c r="A546" t="s">
        <v>258</v>
      </c>
      <c r="B546" t="s">
        <v>3403</v>
      </c>
      <c r="C546" s="4">
        <f>('Reels'!D120/('Reels'!D120+'Reels'!D123+'Reels'!D126+'Reels'!D129+'Reels'!D132+'Reels'!D135))*('Reels'!D156/('Reels'!D138+'Reels'!D141+'Reels'!D144+'Reels'!D147+'Reels'!D150+'Reels'!D153+'Reels'!D156))*('Reels'!D172/('Reels'!D160+'Reels'!D163+'Reels'!D166+'Reels'!D169+'Reels'!D172+'Reels'!D175))</f>
        <v>0.0010099773520230153</v>
      </c>
      <c r="D546">
        <f>IF(OR('Reels'!D118="attack",'Reels'!D118="magic"),CHOOSE('Reels'!D119+1,'Slots'!D29,'Slots'!D30,'Slots'!D31,'Slots'!D32,'Slots'!D33),0)+IF(OR('Reels'!D154="attack",'Reels'!D154="magic"),CHOOSE('Reels'!D155+1,'Slots'!D29,'Slots'!D30,'Slots'!D31,'Slots'!D32,'Slots'!D33),0)+IF(OR('Reels'!D170="attack",'Reels'!D170="magic"),CHOOSE('Reels'!D171+1,'Slots'!D29,'Slots'!D30,'Slots'!D31,'Slots'!D32,'Slots'!D33),0)</f>
        <v>2</v>
      </c>
      <c r="E546">
        <f>IF('Reels'!D118="heal",'Reels'!D119*'Slots'!D24,0)+IF('Reels'!D154="heal",'Reels'!D155*'Slots'!D24,0)+IF('Reels'!D170="heal",'Reels'!D171*'Slots'!D24,0)</f>
        <v>0</v>
      </c>
      <c r="F546">
        <f>IF('Reels'!D118="block",'Reels'!D119*'Slots'!D25,0)+IF('Reels'!D154="block",'Reels'!D155*'Slots'!D25,0)+IF('Reels'!D170="block",'Reels'!D171*'Slots'!D25,0)</f>
        <v>1</v>
      </c>
      <c r="G546" t="b">
        <f>AND('Reels'!D118&lt;&gt;"blank",'Reels'!D118&lt;&gt;"class",'Reels'!D118='Reels'!D170,'Reels'!D119='Reels'!D171,OR('Reels'!D154="class",AND('Reels'!D154='Reels'!D118,'Reels'!D155='Reels'!D119)))</f>
        <v>0</v>
      </c>
      <c r="H546">
        <f>IF(G546,C546,0)</f>
        <v>0</v>
      </c>
    </row>
    <row r="547" spans="1:8" x14ac:dyDescent="0.25">
      <c r="A547" t="s">
        <v>258</v>
      </c>
      <c r="B547" t="s">
        <v>3406</v>
      </c>
      <c r="C547" s="4">
        <f>('Reels'!D120/('Reels'!D120+'Reels'!D123+'Reels'!D126+'Reels'!D129+'Reels'!D132+'Reels'!D135))*('Reels'!D156/('Reels'!D138+'Reels'!D141+'Reels'!D144+'Reels'!D147+'Reels'!D150+'Reels'!D153+'Reels'!D156))*('Reels'!D175/('Reels'!D160+'Reels'!D163+'Reels'!D166+'Reels'!D169+'Reels'!D172+'Reels'!D175))</f>
        <v>0.004039909408092061</v>
      </c>
      <c r="D547">
        <f>IF(OR('Reels'!D118="attack",'Reels'!D118="magic"),CHOOSE('Reels'!D119+1,'Slots'!D29,'Slots'!D30,'Slots'!D31,'Slots'!D32,'Slots'!D33),0)+IF(OR('Reels'!D154="attack",'Reels'!D154="magic"),CHOOSE('Reels'!D155+1,'Slots'!D29,'Slots'!D30,'Slots'!D31,'Slots'!D32,'Slots'!D33),0)+IF(OR('Reels'!D173="attack",'Reels'!D173="magic"),CHOOSE('Reels'!D174+1,'Slots'!D29,'Slots'!D30,'Slots'!D31,'Slots'!D32,'Slots'!D33),0)</f>
        <v>2</v>
      </c>
      <c r="E547">
        <f>IF('Reels'!D118="heal",'Reels'!D119*'Slots'!D24,0)+IF('Reels'!D154="heal",'Reels'!D155*'Slots'!D24,0)+IF('Reels'!D173="heal",'Reels'!D174*'Slots'!D24,0)</f>
        <v>0</v>
      </c>
      <c r="F547">
        <f>IF('Reels'!D118="block",'Reels'!D119*'Slots'!D25,0)+IF('Reels'!D154="block",'Reels'!D155*'Slots'!D25,0)+IF('Reels'!D173="block",'Reels'!D174*'Slots'!D25,0)</f>
        <v>0</v>
      </c>
      <c r="G547" t="b">
        <f>AND('Reels'!D118&lt;&gt;"blank",'Reels'!D118&lt;&gt;"class",'Reels'!D118='Reels'!D173,'Reels'!D119='Reels'!D174,OR('Reels'!D154="class",AND('Reels'!D154='Reels'!D118,'Reels'!D155='Reels'!D119)))</f>
        <v>0</v>
      </c>
      <c r="H547">
        <f>IF(G547,C547,0)</f>
        <v>0</v>
      </c>
    </row>
    <row r="548" spans="1:8" x14ac:dyDescent="0.25">
      <c r="A548" t="s">
        <v>258</v>
      </c>
      <c r="B548" t="s">
        <v>3407</v>
      </c>
      <c r="C548" s="4">
        <f>('Reels'!D123/('Reels'!D120+'Reels'!D123+'Reels'!D126+'Reels'!D129+'Reels'!D132+'Reels'!D135))*('Reels'!D138/('Reels'!D138+'Reels'!D141+'Reels'!D144+'Reels'!D147+'Reels'!D150+'Reels'!D153+'Reels'!D156))*('Reels'!D160/('Reels'!D160+'Reels'!D163+'Reels'!D166+'Reels'!D169+'Reels'!D172+'Reels'!D175))</f>
        <v>0.037032502907510555</v>
      </c>
      <c r="D548">
        <f>IF(OR('Reels'!D121="attack",'Reels'!D121="magic"),CHOOSE('Reels'!D122+1,'Slots'!D29,'Slots'!D30,'Slots'!D31,'Slots'!D32,'Slots'!D33),0)+IF(OR('Reels'!D136="attack",'Reels'!D136="magic"),CHOOSE('Reels'!D137+1,'Slots'!D29,'Slots'!D30,'Slots'!D31,'Slots'!D32,'Slots'!D33),0)+IF(OR('Reels'!D158="attack",'Reels'!D158="magic"),CHOOSE('Reels'!D159+1,'Slots'!D29,'Slots'!D30,'Slots'!D31,'Slots'!D32,'Slots'!D33),0)</f>
        <v>8</v>
      </c>
      <c r="E548">
        <f>IF('Reels'!D121="heal",'Reels'!D122*'Slots'!D24,0)+IF('Reels'!D136="heal",'Reels'!D137*'Slots'!D24,0)+IF('Reels'!D158="heal",'Reels'!D159*'Slots'!D24,0)</f>
        <v>0</v>
      </c>
      <c r="F548">
        <f>IF('Reels'!D121="block",'Reels'!D122*'Slots'!D25,0)+IF('Reels'!D136="block",'Reels'!D137*'Slots'!D25,0)+IF('Reels'!D158="block",'Reels'!D159*'Slots'!D25,0)</f>
        <v>0</v>
      </c>
      <c r="G548" t="b">
        <f>AND('Reels'!D121&lt;&gt;"blank",'Reels'!D121&lt;&gt;"class",'Reels'!D121='Reels'!D158,'Reels'!D122='Reels'!D159,OR('Reels'!D136="class",AND('Reels'!D136='Reels'!D121,'Reels'!D137='Reels'!D122)))</f>
        <v>0</v>
      </c>
      <c r="H548">
        <f>IF(G548,C548,0)</f>
        <v>0</v>
      </c>
    </row>
    <row r="549" spans="1:8" x14ac:dyDescent="0.25">
      <c r="A549" t="s">
        <v>258</v>
      </c>
      <c r="B549" t="s">
        <v>3408</v>
      </c>
      <c r="C549" s="4">
        <f>('Reels'!D123/('Reels'!D120+'Reels'!D123+'Reels'!D126+'Reels'!D129+'Reels'!D132+'Reels'!D135))*('Reels'!D138/('Reels'!D138+'Reels'!D141+'Reels'!D144+'Reels'!D147+'Reels'!D150+'Reels'!D153+'Reels'!D156))*('Reels'!D163/('Reels'!D160+'Reels'!D163+'Reels'!D166+'Reels'!D169+'Reels'!D172+'Reels'!D175))</f>
        <v>0.03366591173410051</v>
      </c>
      <c r="D549">
        <f>IF(OR('Reels'!D121="attack",'Reels'!D121="magic"),CHOOSE('Reels'!D122+1,'Slots'!D29,'Slots'!D30,'Slots'!D31,'Slots'!D32,'Slots'!D33),0)+IF(OR('Reels'!D136="attack",'Reels'!D136="magic"),CHOOSE('Reels'!D137+1,'Slots'!D29,'Slots'!D30,'Slots'!D31,'Slots'!D32,'Slots'!D33),0)+IF(OR('Reels'!D161="attack",'Reels'!D161="magic"),CHOOSE('Reels'!D162+1,'Slots'!D29,'Slots'!D30,'Slots'!D31,'Slots'!D32,'Slots'!D33),0)</f>
        <v>10</v>
      </c>
      <c r="E549">
        <f>IF('Reels'!D121="heal",'Reels'!D122*'Slots'!D24,0)+IF('Reels'!D136="heal",'Reels'!D137*'Slots'!D24,0)+IF('Reels'!D161="heal",'Reels'!D162*'Slots'!D24,0)</f>
        <v>0</v>
      </c>
      <c r="F549">
        <f>IF('Reels'!D121="block",'Reels'!D122*'Slots'!D25,0)+IF('Reels'!D136="block",'Reels'!D137*'Slots'!D25,0)+IF('Reels'!D161="block",'Reels'!D162*'Slots'!D25,0)</f>
        <v>0</v>
      </c>
      <c r="G549" t="b">
        <f>AND('Reels'!D121&lt;&gt;"blank",'Reels'!D121&lt;&gt;"class",'Reels'!D121='Reels'!D161,'Reels'!D122='Reels'!D162,OR('Reels'!D136="class",AND('Reels'!D136='Reels'!D121,'Reels'!D137='Reels'!D122)))</f>
        <v>0</v>
      </c>
      <c r="H549">
        <f>IF(G549,C549,0)</f>
        <v>0</v>
      </c>
    </row>
    <row r="550" spans="1:8" x14ac:dyDescent="0.25">
      <c r="A550" t="s">
        <v>258</v>
      </c>
      <c r="B550" t="s">
        <v>3855</v>
      </c>
      <c r="C550" s="4">
        <f>('Reels'!D123/('Reels'!D120+'Reels'!D123+'Reels'!D126+'Reels'!D129+'Reels'!D132+'Reels'!D135))*('Reels'!D138/('Reels'!D138+'Reels'!D141+'Reels'!D144+'Reels'!D147+'Reels'!D150+'Reels'!D153+'Reels'!D156))*('Reels'!D166/('Reels'!D160+'Reels'!D163+'Reels'!D166+'Reels'!D169+'Reels'!D172+'Reels'!D175))</f>
        <v>0.010099773520230153</v>
      </c>
      <c r="D550">
        <f>IF(OR('Reels'!D121="attack",'Reels'!D121="magic"),CHOOSE('Reels'!D122+1,'Slots'!D29,'Slots'!D30,'Slots'!D31,'Slots'!D32,'Slots'!D33),0)+IF(OR('Reels'!D136="attack",'Reels'!D136="magic"),CHOOSE('Reels'!D137+1,'Slots'!D29,'Slots'!D30,'Slots'!D31,'Slots'!D32,'Slots'!D33),0)+IF(OR('Reels'!D164="attack",'Reels'!D164="magic"),CHOOSE('Reels'!D165+1,'Slots'!D29,'Slots'!D30,'Slots'!D31,'Slots'!D32,'Slots'!D33),0)</f>
        <v>13</v>
      </c>
      <c r="E550">
        <f>IF('Reels'!D121="heal",'Reels'!D122*'Slots'!D24,0)+IF('Reels'!D136="heal",'Reels'!D137*'Slots'!D24,0)+IF('Reels'!D164="heal",'Reels'!D165*'Slots'!D24,0)</f>
        <v>0</v>
      </c>
      <c r="F550">
        <f>IF('Reels'!D121="block",'Reels'!D122*'Slots'!D25,0)+IF('Reels'!D136="block",'Reels'!D137*'Slots'!D25,0)+IF('Reels'!D164="block",'Reels'!D165*'Slots'!D25,0)</f>
        <v>0</v>
      </c>
      <c r="G550" t="b">
        <f>AND('Reels'!D121&lt;&gt;"blank",'Reels'!D121&lt;&gt;"class",'Reels'!D121='Reels'!D164,'Reels'!D122='Reels'!D165,OR('Reels'!D136="class",AND('Reels'!D136='Reels'!D121,'Reels'!D137='Reels'!D122)))</f>
        <v>0</v>
      </c>
      <c r="H550">
        <f>IF(G550,C550,0)</f>
        <v>0</v>
      </c>
    </row>
    <row r="551" spans="1:8" x14ac:dyDescent="0.25">
      <c r="A551" t="s">
        <v>258</v>
      </c>
      <c r="B551" t="s">
        <v>3856</v>
      </c>
      <c r="C551" s="4">
        <f>('Reels'!D123/('Reels'!D120+'Reels'!D123+'Reels'!D126+'Reels'!D129+'Reels'!D132+'Reels'!D135))*('Reels'!D138/('Reels'!D138+'Reels'!D141+'Reels'!D144+'Reels'!D147+'Reels'!D150+'Reels'!D153+'Reels'!D156))*('Reels'!D169/('Reels'!D160+'Reels'!D163+'Reels'!D166+'Reels'!D169+'Reels'!D172+'Reels'!D175))</f>
        <v>0.006733182346820102</v>
      </c>
      <c r="D551">
        <f>IF(OR('Reels'!D121="attack",'Reels'!D121="magic"),CHOOSE('Reels'!D122+1,'Slots'!D29,'Slots'!D30,'Slots'!D31,'Slots'!D32,'Slots'!D33),0)+IF(OR('Reels'!D136="attack",'Reels'!D136="magic"),CHOOSE('Reels'!D137+1,'Slots'!D29,'Slots'!D30,'Slots'!D31,'Slots'!D32,'Slots'!D33),0)+IF(OR('Reels'!D167="attack",'Reels'!D167="magic"),CHOOSE('Reels'!D168+1,'Slots'!D29,'Slots'!D30,'Slots'!D31,'Slots'!D32,'Slots'!D33),0)</f>
        <v>6</v>
      </c>
      <c r="E551">
        <f>IF('Reels'!D121="heal",'Reels'!D122*'Slots'!D24,0)+IF('Reels'!D136="heal",'Reels'!D137*'Slots'!D24,0)+IF('Reels'!D167="heal",'Reels'!D168*'Slots'!D24,0)</f>
        <v>0</v>
      </c>
      <c r="F551">
        <f>IF('Reels'!D121="block",'Reels'!D122*'Slots'!D25,0)+IF('Reels'!D136="block",'Reels'!D137*'Slots'!D25,0)+IF('Reels'!D167="block",'Reels'!D168*'Slots'!D25,0)</f>
        <v>0</v>
      </c>
      <c r="G551" t="b">
        <f>AND('Reels'!D121&lt;&gt;"blank",'Reels'!D121&lt;&gt;"class",'Reels'!D121='Reels'!D167,'Reels'!D122='Reels'!D168,OR('Reels'!D136="class",AND('Reels'!D136='Reels'!D121,'Reels'!D137='Reels'!D122)))</f>
        <v>0</v>
      </c>
      <c r="H551">
        <f>IF(G551,C551,0)</f>
        <v>0</v>
      </c>
    </row>
    <row r="552" spans="1:8" x14ac:dyDescent="0.25">
      <c r="A552" t="s">
        <v>258</v>
      </c>
      <c r="B552" t="s">
        <v>3409</v>
      </c>
      <c r="C552" s="4">
        <f>('Reels'!D123/('Reels'!D120+'Reels'!D123+'Reels'!D126+'Reels'!D129+'Reels'!D132+'Reels'!D135))*('Reels'!D138/('Reels'!D138+'Reels'!D141+'Reels'!D144+'Reels'!D147+'Reels'!D150+'Reels'!D153+'Reels'!D156))*('Reels'!D172/('Reels'!D160+'Reels'!D163+'Reels'!D166+'Reels'!D169+'Reels'!D172+'Reels'!D175))</f>
        <v>0.003366591173410051</v>
      </c>
      <c r="D552">
        <f>IF(OR('Reels'!D121="attack",'Reels'!D121="magic"),CHOOSE('Reels'!D122+1,'Slots'!D29,'Slots'!D30,'Slots'!D31,'Slots'!D32,'Slots'!D33),0)+IF(OR('Reels'!D136="attack",'Reels'!D136="magic"),CHOOSE('Reels'!D137+1,'Slots'!D29,'Slots'!D30,'Slots'!D31,'Slots'!D32,'Slots'!D33),0)+IF(OR('Reels'!D170="attack",'Reels'!D170="magic"),CHOOSE('Reels'!D171+1,'Slots'!D29,'Slots'!D30,'Slots'!D31,'Slots'!D32,'Slots'!D33),0)</f>
        <v>6</v>
      </c>
      <c r="E552">
        <f>IF('Reels'!D121="heal",'Reels'!D122*'Slots'!D24,0)+IF('Reels'!D136="heal",'Reels'!D137*'Slots'!D24,0)+IF('Reels'!D170="heal",'Reels'!D171*'Slots'!D24,0)</f>
        <v>0</v>
      </c>
      <c r="F552">
        <f>IF('Reels'!D121="block",'Reels'!D122*'Slots'!D25,0)+IF('Reels'!D136="block",'Reels'!D137*'Slots'!D25,0)+IF('Reels'!D170="block",'Reels'!D171*'Slots'!D25,0)</f>
        <v>1</v>
      </c>
      <c r="G552" t="b">
        <f>AND('Reels'!D121&lt;&gt;"blank",'Reels'!D121&lt;&gt;"class",'Reels'!D121='Reels'!D170,'Reels'!D122='Reels'!D171,OR('Reels'!D136="class",AND('Reels'!D136='Reels'!D121,'Reels'!D137='Reels'!D122)))</f>
        <v>0</v>
      </c>
      <c r="H552">
        <f>IF(G552,C552,0)</f>
        <v>0</v>
      </c>
    </row>
    <row r="553" spans="1:8" x14ac:dyDescent="0.25">
      <c r="A553" t="s">
        <v>258</v>
      </c>
      <c r="B553" t="s">
        <v>3412</v>
      </c>
      <c r="C553" s="4">
        <f>('Reels'!D123/('Reels'!D120+'Reels'!D123+'Reels'!D126+'Reels'!D129+'Reels'!D132+'Reels'!D135))*('Reels'!D138/('Reels'!D138+'Reels'!D141+'Reels'!D144+'Reels'!D147+'Reels'!D150+'Reels'!D153+'Reels'!D156))*('Reels'!D175/('Reels'!D160+'Reels'!D163+'Reels'!D166+'Reels'!D169+'Reels'!D172+'Reels'!D175))</f>
        <v>0.013466364693640204</v>
      </c>
      <c r="D553">
        <f>IF(OR('Reels'!D121="attack",'Reels'!D121="magic"),CHOOSE('Reels'!D122+1,'Slots'!D29,'Slots'!D30,'Slots'!D31,'Slots'!D32,'Slots'!D33),0)+IF(OR('Reels'!D136="attack",'Reels'!D136="magic"),CHOOSE('Reels'!D137+1,'Slots'!D29,'Slots'!D30,'Slots'!D31,'Slots'!D32,'Slots'!D33),0)+IF(OR('Reels'!D173="attack",'Reels'!D173="magic"),CHOOSE('Reels'!D174+1,'Slots'!D29,'Slots'!D30,'Slots'!D31,'Slots'!D32,'Slots'!D33),0)</f>
        <v>6</v>
      </c>
      <c r="E553">
        <f>IF('Reels'!D121="heal",'Reels'!D122*'Slots'!D24,0)+IF('Reels'!D136="heal",'Reels'!D137*'Slots'!D24,0)+IF('Reels'!D173="heal",'Reels'!D174*'Slots'!D24,0)</f>
        <v>0</v>
      </c>
      <c r="F553">
        <f>IF('Reels'!D121="block",'Reels'!D122*'Slots'!D25,0)+IF('Reels'!D136="block",'Reels'!D137*'Slots'!D25,0)+IF('Reels'!D173="block",'Reels'!D174*'Slots'!D25,0)</f>
        <v>0</v>
      </c>
      <c r="G553" t="b">
        <f>AND('Reels'!D121&lt;&gt;"blank",'Reels'!D121&lt;&gt;"class",'Reels'!D121='Reels'!D173,'Reels'!D122='Reels'!D174,OR('Reels'!D136="class",AND('Reels'!D136='Reels'!D121,'Reels'!D137='Reels'!D122)))</f>
        <v>0</v>
      </c>
      <c r="H553">
        <f>IF(G553,C553,0)</f>
        <v>0</v>
      </c>
    </row>
    <row r="554" spans="1:8" x14ac:dyDescent="0.25">
      <c r="A554" t="s">
        <v>258</v>
      </c>
      <c r="B554" t="s">
        <v>3413</v>
      </c>
      <c r="C554" s="4">
        <f>('Reels'!D123/('Reels'!D120+'Reels'!D123+'Reels'!D126+'Reels'!D129+'Reels'!D132+'Reels'!D135))*('Reels'!D141/('Reels'!D138+'Reels'!D141+'Reels'!D144+'Reels'!D147+'Reels'!D150+'Reels'!D153+'Reels'!D156))*('Reels'!D160/('Reels'!D160+'Reels'!D163+'Reels'!D166+'Reels'!D169+'Reels'!D172+'Reels'!D175))</f>
        <v>0.0336659117341005</v>
      </c>
      <c r="D554">
        <f>IF(OR('Reels'!D121="attack",'Reels'!D121="magic"),CHOOSE('Reels'!D122+1,'Slots'!D29,'Slots'!D30,'Slots'!D31,'Slots'!D32,'Slots'!D33),0)+IF(OR('Reels'!D139="attack",'Reels'!D139="magic"),CHOOSE('Reels'!D140+1,'Slots'!D29,'Slots'!D30,'Slots'!D31,'Slots'!D32,'Slots'!D33),0)+IF(OR('Reels'!D158="attack",'Reels'!D158="magic"),CHOOSE('Reels'!D159+1,'Slots'!D29,'Slots'!D30,'Slots'!D31,'Slots'!D32,'Slots'!D33),0)</f>
        <v>10</v>
      </c>
      <c r="E554">
        <f>IF('Reels'!D121="heal",'Reels'!D122*'Slots'!D24,0)+IF('Reels'!D139="heal",'Reels'!D140*'Slots'!D24,0)+IF('Reels'!D158="heal",'Reels'!D159*'Slots'!D24,0)</f>
        <v>0</v>
      </c>
      <c r="F554">
        <f>IF('Reels'!D121="block",'Reels'!D122*'Slots'!D25,0)+IF('Reels'!D139="block",'Reels'!D140*'Slots'!D25,0)+IF('Reels'!D158="block",'Reels'!D159*'Slots'!D25,0)</f>
        <v>0</v>
      </c>
      <c r="G554" t="b">
        <f>AND('Reels'!D121&lt;&gt;"blank",'Reels'!D121&lt;&gt;"class",'Reels'!D121='Reels'!D158,'Reels'!D122='Reels'!D159,OR('Reels'!D139="class",AND('Reels'!D139='Reels'!D121,'Reels'!D140='Reels'!D122)))</f>
        <v>0</v>
      </c>
      <c r="H554">
        <f>IF(G554,C554,0)</f>
        <v>0</v>
      </c>
    </row>
    <row r="555" spans="1:8" x14ac:dyDescent="0.25">
      <c r="A555" t="s">
        <v>258</v>
      </c>
      <c r="B555" t="s">
        <v>3414</v>
      </c>
      <c r="C555" s="4">
        <f>('Reels'!D123/('Reels'!D120+'Reels'!D123+'Reels'!D126+'Reels'!D129+'Reels'!D132+'Reels'!D135))*('Reels'!D141/('Reels'!D138+'Reels'!D141+'Reels'!D144+'Reels'!D147+'Reels'!D150+'Reels'!D153+'Reels'!D156))*('Reels'!D163/('Reels'!D160+'Reels'!D163+'Reels'!D166+'Reels'!D169+'Reels'!D172+'Reels'!D175))</f>
        <v>0.03060537430372773</v>
      </c>
      <c r="D555">
        <f>IF(OR('Reels'!D121="attack",'Reels'!D121="magic"),CHOOSE('Reels'!D122+1,'Slots'!D29,'Slots'!D30,'Slots'!D31,'Slots'!D32,'Slots'!D33),0)+IF(OR('Reels'!D139="attack",'Reels'!D139="magic"),CHOOSE('Reels'!D140+1,'Slots'!D29,'Slots'!D30,'Slots'!D31,'Slots'!D32,'Slots'!D33),0)+IF(OR('Reels'!D161="attack",'Reels'!D161="magic"),CHOOSE('Reels'!D162+1,'Slots'!D29,'Slots'!D30,'Slots'!D31,'Slots'!D32,'Slots'!D33),0)</f>
        <v>12</v>
      </c>
      <c r="E555">
        <f>IF('Reels'!D121="heal",'Reels'!D122*'Slots'!D24,0)+IF('Reels'!D139="heal",'Reels'!D140*'Slots'!D24,0)+IF('Reels'!D161="heal",'Reels'!D162*'Slots'!D24,0)</f>
        <v>0</v>
      </c>
      <c r="F555">
        <f>IF('Reels'!D121="block",'Reels'!D122*'Slots'!D25,0)+IF('Reels'!D139="block",'Reels'!D140*'Slots'!D25,0)+IF('Reels'!D161="block",'Reels'!D162*'Slots'!D25,0)</f>
        <v>0</v>
      </c>
      <c r="G555" t="b">
        <f>AND('Reels'!D121&lt;&gt;"blank",'Reels'!D121&lt;&gt;"class",'Reels'!D121='Reels'!D161,'Reels'!D122='Reels'!D162,OR('Reels'!D139="class",AND('Reels'!D139='Reels'!D121,'Reels'!D140='Reels'!D122)))</f>
        <v>1</v>
      </c>
      <c r="H555">
        <f>IF(G555,C555,0)</f>
        <v>0.03060537430372773</v>
      </c>
    </row>
    <row r="556" spans="1:8" x14ac:dyDescent="0.25">
      <c r="A556" t="s">
        <v>258</v>
      </c>
      <c r="B556" t="s">
        <v>3857</v>
      </c>
      <c r="C556" s="4">
        <f>('Reels'!D123/('Reels'!D120+'Reels'!D123+'Reels'!D126+'Reels'!D129+'Reels'!D132+'Reels'!D135))*('Reels'!D141/('Reels'!D138+'Reels'!D141+'Reels'!D144+'Reels'!D147+'Reels'!D150+'Reels'!D153+'Reels'!D156))*('Reels'!D166/('Reels'!D160+'Reels'!D163+'Reels'!D166+'Reels'!D169+'Reels'!D172+'Reels'!D175))</f>
        <v>0.00918161229111832</v>
      </c>
      <c r="D556">
        <f>IF(OR('Reels'!D121="attack",'Reels'!D121="magic"),CHOOSE('Reels'!D122+1,'Slots'!D29,'Slots'!D30,'Slots'!D31,'Slots'!D32,'Slots'!D33),0)+IF(OR('Reels'!D139="attack",'Reels'!D139="magic"),CHOOSE('Reels'!D140+1,'Slots'!D29,'Slots'!D30,'Slots'!D31,'Slots'!D32,'Slots'!D33),0)+IF(OR('Reels'!D164="attack",'Reels'!D164="magic"),CHOOSE('Reels'!D165+1,'Slots'!D29,'Slots'!D30,'Slots'!D31,'Slots'!D32,'Slots'!D33),0)</f>
        <v>15</v>
      </c>
      <c r="E556">
        <f>IF('Reels'!D121="heal",'Reels'!D122*'Slots'!D24,0)+IF('Reels'!D139="heal",'Reels'!D140*'Slots'!D24,0)+IF('Reels'!D164="heal",'Reels'!D165*'Slots'!D24,0)</f>
        <v>0</v>
      </c>
      <c r="F556">
        <f>IF('Reels'!D121="block",'Reels'!D122*'Slots'!D25,0)+IF('Reels'!D139="block",'Reels'!D140*'Slots'!D25,0)+IF('Reels'!D164="block",'Reels'!D165*'Slots'!D25,0)</f>
        <v>0</v>
      </c>
      <c r="G556" t="b">
        <f>AND('Reels'!D121&lt;&gt;"blank",'Reels'!D121&lt;&gt;"class",'Reels'!D121='Reels'!D164,'Reels'!D122='Reels'!D165,OR('Reels'!D139="class",AND('Reels'!D139='Reels'!D121,'Reels'!D140='Reels'!D122)))</f>
        <v>0</v>
      </c>
      <c r="H556">
        <f>IF(G556,C556,0)</f>
        <v>0</v>
      </c>
    </row>
    <row r="557" spans="1:8" x14ac:dyDescent="0.25">
      <c r="A557" t="s">
        <v>258</v>
      </c>
      <c r="B557" t="s">
        <v>3858</v>
      </c>
      <c r="C557" s="4">
        <f>('Reels'!D123/('Reels'!D120+'Reels'!D123+'Reels'!D126+'Reels'!D129+'Reels'!D132+'Reels'!D135))*('Reels'!D141/('Reels'!D138+'Reels'!D141+'Reels'!D144+'Reels'!D147+'Reels'!D150+'Reels'!D153+'Reels'!D156))*('Reels'!D169/('Reels'!D160+'Reels'!D163+'Reels'!D166+'Reels'!D169+'Reels'!D172+'Reels'!D175))</f>
        <v>0.006121074860745546</v>
      </c>
      <c r="D557">
        <f>IF(OR('Reels'!D121="attack",'Reels'!D121="magic"),CHOOSE('Reels'!D122+1,'Slots'!D29,'Slots'!D30,'Slots'!D31,'Slots'!D32,'Slots'!D33),0)+IF(OR('Reels'!D139="attack",'Reels'!D139="magic"),CHOOSE('Reels'!D140+1,'Slots'!D29,'Slots'!D30,'Slots'!D31,'Slots'!D32,'Slots'!D33),0)+IF(OR('Reels'!D167="attack",'Reels'!D167="magic"),CHOOSE('Reels'!D168+1,'Slots'!D29,'Slots'!D30,'Slots'!D31,'Slots'!D32,'Slots'!D33),0)</f>
        <v>8</v>
      </c>
      <c r="E557">
        <f>IF('Reels'!D121="heal",'Reels'!D122*'Slots'!D24,0)+IF('Reels'!D139="heal",'Reels'!D140*'Slots'!D24,0)+IF('Reels'!D167="heal",'Reels'!D168*'Slots'!D24,0)</f>
        <v>0</v>
      </c>
      <c r="F557">
        <f>IF('Reels'!D121="block",'Reels'!D122*'Slots'!D25,0)+IF('Reels'!D139="block",'Reels'!D140*'Slots'!D25,0)+IF('Reels'!D167="block",'Reels'!D168*'Slots'!D25,0)</f>
        <v>0</v>
      </c>
      <c r="G557" t="b">
        <f>AND('Reels'!D121&lt;&gt;"blank",'Reels'!D121&lt;&gt;"class",'Reels'!D121='Reels'!D167,'Reels'!D122='Reels'!D168,OR('Reels'!D139="class",AND('Reels'!D139='Reels'!D121,'Reels'!D140='Reels'!D122)))</f>
        <v>0</v>
      </c>
      <c r="H557">
        <f>IF(G557,C557,0)</f>
        <v>0</v>
      </c>
    </row>
    <row r="558" spans="1:8" x14ac:dyDescent="0.25">
      <c r="A558" t="s">
        <v>258</v>
      </c>
      <c r="B558" t="s">
        <v>3415</v>
      </c>
      <c r="C558" s="4">
        <f>('Reels'!D123/('Reels'!D120+'Reels'!D123+'Reels'!D126+'Reels'!D129+'Reels'!D132+'Reels'!D135))*('Reels'!D141/('Reels'!D138+'Reels'!D141+'Reels'!D144+'Reels'!D147+'Reels'!D150+'Reels'!D153+'Reels'!D156))*('Reels'!D172/('Reels'!D160+'Reels'!D163+'Reels'!D166+'Reels'!D169+'Reels'!D172+'Reels'!D175))</f>
        <v>0.003060537430372773</v>
      </c>
      <c r="D558">
        <f>IF(OR('Reels'!D121="attack",'Reels'!D121="magic"),CHOOSE('Reels'!D122+1,'Slots'!D29,'Slots'!D30,'Slots'!D31,'Slots'!D32,'Slots'!D33),0)+IF(OR('Reels'!D139="attack",'Reels'!D139="magic"),CHOOSE('Reels'!D140+1,'Slots'!D29,'Slots'!D30,'Slots'!D31,'Slots'!D32,'Slots'!D33),0)+IF(OR('Reels'!D170="attack",'Reels'!D170="magic"),CHOOSE('Reels'!D171+1,'Slots'!D29,'Slots'!D30,'Slots'!D31,'Slots'!D32,'Slots'!D33),0)</f>
        <v>8</v>
      </c>
      <c r="E558">
        <f>IF('Reels'!D121="heal",'Reels'!D122*'Slots'!D24,0)+IF('Reels'!D139="heal",'Reels'!D140*'Slots'!D24,0)+IF('Reels'!D170="heal",'Reels'!D171*'Slots'!D24,0)</f>
        <v>0</v>
      </c>
      <c r="F558">
        <f>IF('Reels'!D121="block",'Reels'!D122*'Slots'!D25,0)+IF('Reels'!D139="block",'Reels'!D140*'Slots'!D25,0)+IF('Reels'!D170="block",'Reels'!D171*'Slots'!D25,0)</f>
        <v>1</v>
      </c>
      <c r="G558" t="b">
        <f>AND('Reels'!D121&lt;&gt;"blank",'Reels'!D121&lt;&gt;"class",'Reels'!D121='Reels'!D170,'Reels'!D122='Reels'!D171,OR('Reels'!D139="class",AND('Reels'!D139='Reels'!D121,'Reels'!D140='Reels'!D122)))</f>
        <v>0</v>
      </c>
      <c r="H558">
        <f>IF(G558,C558,0)</f>
        <v>0</v>
      </c>
    </row>
    <row r="559" spans="1:8" x14ac:dyDescent="0.25">
      <c r="A559" t="s">
        <v>258</v>
      </c>
      <c r="B559" t="s">
        <v>3418</v>
      </c>
      <c r="C559" s="4">
        <f>('Reels'!D123/('Reels'!D120+'Reels'!D123+'Reels'!D126+'Reels'!D129+'Reels'!D132+'Reels'!D135))*('Reels'!D141/('Reels'!D138+'Reels'!D141+'Reels'!D144+'Reels'!D147+'Reels'!D150+'Reels'!D153+'Reels'!D156))*('Reels'!D175/('Reels'!D160+'Reels'!D163+'Reels'!D166+'Reels'!D169+'Reels'!D172+'Reels'!D175))</f>
        <v>0.012242149721491092</v>
      </c>
      <c r="D559">
        <f>IF(OR('Reels'!D121="attack",'Reels'!D121="magic"),CHOOSE('Reels'!D122+1,'Slots'!D29,'Slots'!D30,'Slots'!D31,'Slots'!D32,'Slots'!D33),0)+IF(OR('Reels'!D139="attack",'Reels'!D139="magic"),CHOOSE('Reels'!D140+1,'Slots'!D29,'Slots'!D30,'Slots'!D31,'Slots'!D32,'Slots'!D33),0)+IF(OR('Reels'!D173="attack",'Reels'!D173="magic"),CHOOSE('Reels'!D174+1,'Slots'!D29,'Slots'!D30,'Slots'!D31,'Slots'!D32,'Slots'!D33),0)</f>
        <v>8</v>
      </c>
      <c r="E559">
        <f>IF('Reels'!D121="heal",'Reels'!D122*'Slots'!D24,0)+IF('Reels'!D139="heal",'Reels'!D140*'Slots'!D24,0)+IF('Reels'!D173="heal",'Reels'!D174*'Slots'!D24,0)</f>
        <v>0</v>
      </c>
      <c r="F559">
        <f>IF('Reels'!D121="block",'Reels'!D122*'Slots'!D25,0)+IF('Reels'!D139="block",'Reels'!D140*'Slots'!D25,0)+IF('Reels'!D173="block",'Reels'!D174*'Slots'!D25,0)</f>
        <v>0</v>
      </c>
      <c r="G559" t="b">
        <f>AND('Reels'!D121&lt;&gt;"blank",'Reels'!D121&lt;&gt;"class",'Reels'!D121='Reels'!D173,'Reels'!D122='Reels'!D174,OR('Reels'!D139="class",AND('Reels'!D139='Reels'!D121,'Reels'!D140='Reels'!D122)))</f>
        <v>0</v>
      </c>
      <c r="H559">
        <f>IF(G559,C559,0)</f>
        <v>0</v>
      </c>
    </row>
    <row r="560" spans="1:8" x14ac:dyDescent="0.25">
      <c r="A560" t="s">
        <v>258</v>
      </c>
      <c r="B560" t="s">
        <v>3859</v>
      </c>
      <c r="C560" s="4">
        <f>('Reels'!D123/('Reels'!D120+'Reels'!D123+'Reels'!D126+'Reels'!D129+'Reels'!D132+'Reels'!D135))*('Reels'!D144/('Reels'!D138+'Reels'!D141+'Reels'!D144+'Reels'!D147+'Reels'!D150+'Reels'!D153+'Reels'!D156))*('Reels'!D160/('Reels'!D160+'Reels'!D163+'Reels'!D166+'Reels'!D169+'Reels'!D172+'Reels'!D175))</f>
        <v>0.010099773520230153</v>
      </c>
      <c r="D560">
        <f>IF(OR('Reels'!D121="attack",'Reels'!D121="magic"),CHOOSE('Reels'!D122+1,'Slots'!D29,'Slots'!D30,'Slots'!D31,'Slots'!D32,'Slots'!D33),0)+IF(OR('Reels'!D142="attack",'Reels'!D142="magic"),CHOOSE('Reels'!D143+1,'Slots'!D29,'Slots'!D30,'Slots'!D31,'Slots'!D32,'Slots'!D33),0)+IF(OR('Reels'!D158="attack",'Reels'!D158="magic"),CHOOSE('Reels'!D159+1,'Slots'!D29,'Slots'!D30,'Slots'!D31,'Slots'!D32,'Slots'!D33),0)</f>
        <v>13</v>
      </c>
      <c r="E560">
        <f>IF('Reels'!D121="heal",'Reels'!D122*'Slots'!D24,0)+IF('Reels'!D142="heal",'Reels'!D143*'Slots'!D24,0)+IF('Reels'!D158="heal",'Reels'!D159*'Slots'!D24,0)</f>
        <v>0</v>
      </c>
      <c r="F560">
        <f>IF('Reels'!D121="block",'Reels'!D122*'Slots'!D25,0)+IF('Reels'!D142="block",'Reels'!D143*'Slots'!D25,0)+IF('Reels'!D158="block",'Reels'!D159*'Slots'!D25,0)</f>
        <v>0</v>
      </c>
      <c r="G560" t="b">
        <f>AND('Reels'!D121&lt;&gt;"blank",'Reels'!D121&lt;&gt;"class",'Reels'!D121='Reels'!D158,'Reels'!D122='Reels'!D159,OR('Reels'!D142="class",AND('Reels'!D142='Reels'!D121,'Reels'!D143='Reels'!D122)))</f>
        <v>0</v>
      </c>
      <c r="H560">
        <f>IF(G560,C560,0)</f>
        <v>0</v>
      </c>
    </row>
    <row r="561" spans="1:8" x14ac:dyDescent="0.25">
      <c r="A561" t="s">
        <v>258</v>
      </c>
      <c r="B561" t="s">
        <v>3860</v>
      </c>
      <c r="C561" s="4">
        <f>('Reels'!D123/('Reels'!D120+'Reels'!D123+'Reels'!D126+'Reels'!D129+'Reels'!D132+'Reels'!D135))*('Reels'!D144/('Reels'!D138+'Reels'!D141+'Reels'!D144+'Reels'!D147+'Reels'!D150+'Reels'!D153+'Reels'!D156))*('Reels'!D163/('Reels'!D160+'Reels'!D163+'Reels'!D166+'Reels'!D169+'Reels'!D172+'Reels'!D175))</f>
        <v>0.009181612291118321</v>
      </c>
      <c r="D561">
        <f>IF(OR('Reels'!D121="attack",'Reels'!D121="magic"),CHOOSE('Reels'!D122+1,'Slots'!D29,'Slots'!D30,'Slots'!D31,'Slots'!D32,'Slots'!D33),0)+IF(OR('Reels'!D142="attack",'Reels'!D142="magic"),CHOOSE('Reels'!D143+1,'Slots'!D29,'Slots'!D30,'Slots'!D31,'Slots'!D32,'Slots'!D33),0)+IF(OR('Reels'!D161="attack",'Reels'!D161="magic"),CHOOSE('Reels'!D162+1,'Slots'!D29,'Slots'!D30,'Slots'!D31,'Slots'!D32,'Slots'!D33),0)</f>
        <v>15</v>
      </c>
      <c r="E561">
        <f>IF('Reels'!D121="heal",'Reels'!D122*'Slots'!D24,0)+IF('Reels'!D142="heal",'Reels'!D143*'Slots'!D24,0)+IF('Reels'!D161="heal",'Reels'!D162*'Slots'!D24,0)</f>
        <v>0</v>
      </c>
      <c r="F561">
        <f>IF('Reels'!D121="block",'Reels'!D122*'Slots'!D25,0)+IF('Reels'!D142="block",'Reels'!D143*'Slots'!D25,0)+IF('Reels'!D161="block",'Reels'!D162*'Slots'!D25,0)</f>
        <v>0</v>
      </c>
      <c r="G561" t="b">
        <f>AND('Reels'!D121&lt;&gt;"blank",'Reels'!D121&lt;&gt;"class",'Reels'!D121='Reels'!D161,'Reels'!D122='Reels'!D162,OR('Reels'!D142="class",AND('Reels'!D142='Reels'!D121,'Reels'!D143='Reels'!D122)))</f>
        <v>0</v>
      </c>
      <c r="H561">
        <f>IF(G561,C561,0)</f>
        <v>0</v>
      </c>
    </row>
    <row r="562" spans="1:8" x14ac:dyDescent="0.25">
      <c r="A562" t="s">
        <v>258</v>
      </c>
      <c r="B562" t="s">
        <v>3861</v>
      </c>
      <c r="C562" s="4">
        <f>('Reels'!D123/('Reels'!D120+'Reels'!D123+'Reels'!D126+'Reels'!D129+'Reels'!D132+'Reels'!D135))*('Reels'!D144/('Reels'!D138+'Reels'!D141+'Reels'!D144+'Reels'!D147+'Reels'!D150+'Reels'!D153+'Reels'!D156))*('Reels'!D166/('Reels'!D160+'Reels'!D163+'Reels'!D166+'Reels'!D169+'Reels'!D172+'Reels'!D175))</f>
        <v>0.002754483687335496</v>
      </c>
      <c r="D562">
        <f>IF(OR('Reels'!D121="attack",'Reels'!D121="magic"),CHOOSE('Reels'!D122+1,'Slots'!D29,'Slots'!D30,'Slots'!D31,'Slots'!D32,'Slots'!D33),0)+IF(OR('Reels'!D142="attack",'Reels'!D142="magic"),CHOOSE('Reels'!D143+1,'Slots'!D29,'Slots'!D30,'Slots'!D31,'Slots'!D32,'Slots'!D33),0)+IF(OR('Reels'!D164="attack",'Reels'!D164="magic"),CHOOSE('Reels'!D165+1,'Slots'!D29,'Slots'!D30,'Slots'!D31,'Slots'!D32,'Slots'!D33),0)</f>
        <v>18</v>
      </c>
      <c r="E562">
        <f>IF('Reels'!D121="heal",'Reels'!D122*'Slots'!D24,0)+IF('Reels'!D142="heal",'Reels'!D143*'Slots'!D24,0)+IF('Reels'!D164="heal",'Reels'!D165*'Slots'!D24,0)</f>
        <v>0</v>
      </c>
      <c r="F562">
        <f>IF('Reels'!D121="block",'Reels'!D122*'Slots'!D25,0)+IF('Reels'!D142="block",'Reels'!D143*'Slots'!D25,0)+IF('Reels'!D164="block",'Reels'!D165*'Slots'!D25,0)</f>
        <v>0</v>
      </c>
      <c r="G562" t="b">
        <f>AND('Reels'!D121&lt;&gt;"blank",'Reels'!D121&lt;&gt;"class",'Reels'!D121='Reels'!D164,'Reels'!D122='Reels'!D165,OR('Reels'!D142="class",AND('Reels'!D142='Reels'!D121,'Reels'!D143='Reels'!D122)))</f>
        <v>0</v>
      </c>
      <c r="H562">
        <f>IF(G562,C562,0)</f>
        <v>0</v>
      </c>
    </row>
    <row r="563" spans="1:8" x14ac:dyDescent="0.25">
      <c r="A563" t="s">
        <v>258</v>
      </c>
      <c r="B563" t="s">
        <v>3862</v>
      </c>
      <c r="C563" s="4">
        <f>('Reels'!D123/('Reels'!D120+'Reels'!D123+'Reels'!D126+'Reels'!D129+'Reels'!D132+'Reels'!D135))*('Reels'!D144/('Reels'!D138+'Reels'!D141+'Reels'!D144+'Reels'!D147+'Reels'!D150+'Reels'!D153+'Reels'!D156))*('Reels'!D169/('Reels'!D160+'Reels'!D163+'Reels'!D166+'Reels'!D169+'Reels'!D172+'Reels'!D175))</f>
        <v>0.0018363224582236641</v>
      </c>
      <c r="D563">
        <f>IF(OR('Reels'!D121="attack",'Reels'!D121="magic"),CHOOSE('Reels'!D122+1,'Slots'!D29,'Slots'!D30,'Slots'!D31,'Slots'!D32,'Slots'!D33),0)+IF(OR('Reels'!D142="attack",'Reels'!D142="magic"),CHOOSE('Reels'!D143+1,'Slots'!D29,'Slots'!D30,'Slots'!D31,'Slots'!D32,'Slots'!D33),0)+IF(OR('Reels'!D167="attack",'Reels'!D167="magic"),CHOOSE('Reels'!D168+1,'Slots'!D29,'Slots'!D30,'Slots'!D31,'Slots'!D32,'Slots'!D33),0)</f>
        <v>11</v>
      </c>
      <c r="E563">
        <f>IF('Reels'!D121="heal",'Reels'!D122*'Slots'!D24,0)+IF('Reels'!D142="heal",'Reels'!D143*'Slots'!D24,0)+IF('Reels'!D167="heal",'Reels'!D168*'Slots'!D24,0)</f>
        <v>0</v>
      </c>
      <c r="F563">
        <f>IF('Reels'!D121="block",'Reels'!D122*'Slots'!D25,0)+IF('Reels'!D142="block",'Reels'!D143*'Slots'!D25,0)+IF('Reels'!D167="block",'Reels'!D168*'Slots'!D25,0)</f>
        <v>0</v>
      </c>
      <c r="G563" t="b">
        <f>AND('Reels'!D121&lt;&gt;"blank",'Reels'!D121&lt;&gt;"class",'Reels'!D121='Reels'!D167,'Reels'!D122='Reels'!D168,OR('Reels'!D142="class",AND('Reels'!D142='Reels'!D121,'Reels'!D143='Reels'!D122)))</f>
        <v>0</v>
      </c>
      <c r="H563">
        <f>IF(G563,C563,0)</f>
        <v>0</v>
      </c>
    </row>
    <row r="564" spans="1:8" x14ac:dyDescent="0.25">
      <c r="A564" t="s">
        <v>258</v>
      </c>
      <c r="B564" t="s">
        <v>3863</v>
      </c>
      <c r="C564" s="4">
        <f>('Reels'!D123/('Reels'!D120+'Reels'!D123+'Reels'!D126+'Reels'!D129+'Reels'!D132+'Reels'!D135))*('Reels'!D144/('Reels'!D138+'Reels'!D141+'Reels'!D144+'Reels'!D147+'Reels'!D150+'Reels'!D153+'Reels'!D156))*('Reels'!D172/('Reels'!D160+'Reels'!D163+'Reels'!D166+'Reels'!D169+'Reels'!D172+'Reels'!D175))</f>
        <v>0.0009181612291118321</v>
      </c>
      <c r="D564">
        <f>IF(OR('Reels'!D121="attack",'Reels'!D121="magic"),CHOOSE('Reels'!D122+1,'Slots'!D29,'Slots'!D30,'Slots'!D31,'Slots'!D32,'Slots'!D33),0)+IF(OR('Reels'!D142="attack",'Reels'!D142="magic"),CHOOSE('Reels'!D143+1,'Slots'!D29,'Slots'!D30,'Slots'!D31,'Slots'!D32,'Slots'!D33),0)+IF(OR('Reels'!D170="attack",'Reels'!D170="magic"),CHOOSE('Reels'!D171+1,'Slots'!D29,'Slots'!D30,'Slots'!D31,'Slots'!D32,'Slots'!D33),0)</f>
        <v>11</v>
      </c>
      <c r="E564">
        <f>IF('Reels'!D121="heal",'Reels'!D122*'Slots'!D24,0)+IF('Reels'!D142="heal",'Reels'!D143*'Slots'!D24,0)+IF('Reels'!D170="heal",'Reels'!D171*'Slots'!D24,0)</f>
        <v>0</v>
      </c>
      <c r="F564">
        <f>IF('Reels'!D121="block",'Reels'!D122*'Slots'!D25,0)+IF('Reels'!D142="block",'Reels'!D143*'Slots'!D25,0)+IF('Reels'!D170="block",'Reels'!D171*'Slots'!D25,0)</f>
        <v>1</v>
      </c>
      <c r="G564" t="b">
        <f>AND('Reels'!D121&lt;&gt;"blank",'Reels'!D121&lt;&gt;"class",'Reels'!D121='Reels'!D170,'Reels'!D122='Reels'!D171,OR('Reels'!D142="class",AND('Reels'!D142='Reels'!D121,'Reels'!D143='Reels'!D122)))</f>
        <v>0</v>
      </c>
      <c r="H564">
        <f>IF(G564,C564,0)</f>
        <v>0</v>
      </c>
    </row>
    <row r="565" spans="1:8" x14ac:dyDescent="0.25">
      <c r="A565" t="s">
        <v>258</v>
      </c>
      <c r="B565" t="s">
        <v>3864</v>
      </c>
      <c r="C565" s="4">
        <f>('Reels'!D123/('Reels'!D120+'Reels'!D123+'Reels'!D126+'Reels'!D129+'Reels'!D132+'Reels'!D135))*('Reels'!D144/('Reels'!D138+'Reels'!D141+'Reels'!D144+'Reels'!D147+'Reels'!D150+'Reels'!D153+'Reels'!D156))*('Reels'!D175/('Reels'!D160+'Reels'!D163+'Reels'!D166+'Reels'!D169+'Reels'!D172+'Reels'!D175))</f>
        <v>0.0036726449164473283</v>
      </c>
      <c r="D565">
        <f>IF(OR('Reels'!D121="attack",'Reels'!D121="magic"),CHOOSE('Reels'!D122+1,'Slots'!D29,'Slots'!D30,'Slots'!D31,'Slots'!D32,'Slots'!D33),0)+IF(OR('Reels'!D142="attack",'Reels'!D142="magic"),CHOOSE('Reels'!D143+1,'Slots'!D29,'Slots'!D30,'Slots'!D31,'Slots'!D32,'Slots'!D33),0)+IF(OR('Reels'!D173="attack",'Reels'!D173="magic"),CHOOSE('Reels'!D174+1,'Slots'!D29,'Slots'!D30,'Slots'!D31,'Slots'!D32,'Slots'!D33),0)</f>
        <v>11</v>
      </c>
      <c r="E565">
        <f>IF('Reels'!D121="heal",'Reels'!D122*'Slots'!D24,0)+IF('Reels'!D142="heal",'Reels'!D143*'Slots'!D24,0)+IF('Reels'!D173="heal",'Reels'!D174*'Slots'!D24,0)</f>
        <v>0</v>
      </c>
      <c r="F565">
        <f>IF('Reels'!D121="block",'Reels'!D122*'Slots'!D25,0)+IF('Reels'!D142="block",'Reels'!D143*'Slots'!D25,0)+IF('Reels'!D173="block",'Reels'!D174*'Slots'!D25,0)</f>
        <v>0</v>
      </c>
      <c r="G565" t="b">
        <f>AND('Reels'!D121&lt;&gt;"blank",'Reels'!D121&lt;&gt;"class",'Reels'!D121='Reels'!D173,'Reels'!D122='Reels'!D174,OR('Reels'!D142="class",AND('Reels'!D142='Reels'!D121,'Reels'!D143='Reels'!D122)))</f>
        <v>0</v>
      </c>
      <c r="H565">
        <f>IF(G565,C565,0)</f>
        <v>0</v>
      </c>
    </row>
    <row r="566" spans="1:8" x14ac:dyDescent="0.25">
      <c r="A566" t="s">
        <v>258</v>
      </c>
      <c r="B566" t="s">
        <v>3865</v>
      </c>
      <c r="C566" s="4">
        <f>('Reels'!D123/('Reels'!D120+'Reels'!D123+'Reels'!D126+'Reels'!D129+'Reels'!D132+'Reels'!D135))*('Reels'!D147/('Reels'!D138+'Reels'!D141+'Reels'!D144+'Reels'!D147+'Reels'!D150+'Reels'!D153+'Reels'!D156))*('Reels'!D160/('Reels'!D160+'Reels'!D163+'Reels'!D166+'Reels'!D169+'Reels'!D172+'Reels'!D175))</f>
        <v>0.006733182346820101</v>
      </c>
      <c r="D566">
        <f>IF(OR('Reels'!D121="attack",'Reels'!D121="magic"),CHOOSE('Reels'!D122+1,'Slots'!D29,'Slots'!D30,'Slots'!D31,'Slots'!D32,'Slots'!D33),0)+IF(OR('Reels'!D145="attack",'Reels'!D145="magic"),CHOOSE('Reels'!D146+1,'Slots'!D29,'Slots'!D30,'Slots'!D31,'Slots'!D32,'Slots'!D33),0)+IF(OR('Reels'!D158="attack",'Reels'!D158="magic"),CHOOSE('Reels'!D159+1,'Slots'!D29,'Slots'!D30,'Slots'!D31,'Slots'!D32,'Slots'!D33),0)</f>
        <v>6</v>
      </c>
      <c r="E566">
        <f>IF('Reels'!D121="heal",'Reels'!D122*'Slots'!D24,0)+IF('Reels'!D145="heal",'Reels'!D146*'Slots'!D24,0)+IF('Reels'!D158="heal",'Reels'!D159*'Slots'!D24,0)</f>
        <v>0</v>
      </c>
      <c r="F566">
        <f>IF('Reels'!D121="block",'Reels'!D122*'Slots'!D25,0)+IF('Reels'!D145="block",'Reels'!D146*'Slots'!D25,0)+IF('Reels'!D158="block",'Reels'!D159*'Slots'!D25,0)</f>
        <v>0</v>
      </c>
      <c r="G566" t="b">
        <f>AND('Reels'!D121&lt;&gt;"blank",'Reels'!D121&lt;&gt;"class",'Reels'!D121='Reels'!D158,'Reels'!D122='Reels'!D159,OR('Reels'!D145="class",AND('Reels'!D145='Reels'!D121,'Reels'!D146='Reels'!D122)))</f>
        <v>0</v>
      </c>
      <c r="H566">
        <f>IF(G566,C566,0)</f>
        <v>0</v>
      </c>
    </row>
    <row r="567" spans="1:8" x14ac:dyDescent="0.25">
      <c r="A567" t="s">
        <v>258</v>
      </c>
      <c r="B567" t="s">
        <v>3866</v>
      </c>
      <c r="C567" s="4">
        <f>('Reels'!D123/('Reels'!D120+'Reels'!D123+'Reels'!D126+'Reels'!D129+'Reels'!D132+'Reels'!D135))*('Reels'!D147/('Reels'!D138+'Reels'!D141+'Reels'!D144+'Reels'!D147+'Reels'!D150+'Reels'!D153+'Reels'!D156))*('Reels'!D163/('Reels'!D160+'Reels'!D163+'Reels'!D166+'Reels'!D169+'Reels'!D172+'Reels'!D175))</f>
        <v>0.006121074860745547</v>
      </c>
      <c r="D567">
        <f>IF(OR('Reels'!D121="attack",'Reels'!D121="magic"),CHOOSE('Reels'!D122+1,'Slots'!D29,'Slots'!D30,'Slots'!D31,'Slots'!D32,'Slots'!D33),0)+IF(OR('Reels'!D145="attack",'Reels'!D145="magic"),CHOOSE('Reels'!D146+1,'Slots'!D29,'Slots'!D30,'Slots'!D31,'Slots'!D32,'Slots'!D33),0)+IF(OR('Reels'!D161="attack",'Reels'!D161="magic"),CHOOSE('Reels'!D162+1,'Slots'!D29,'Slots'!D30,'Slots'!D31,'Slots'!D32,'Slots'!D33),0)</f>
        <v>8</v>
      </c>
      <c r="E567">
        <f>IF('Reels'!D121="heal",'Reels'!D122*'Slots'!D24,0)+IF('Reels'!D145="heal",'Reels'!D146*'Slots'!D24,0)+IF('Reels'!D161="heal",'Reels'!D162*'Slots'!D24,0)</f>
        <v>0</v>
      </c>
      <c r="F567">
        <f>IF('Reels'!D121="block",'Reels'!D122*'Slots'!D25,0)+IF('Reels'!D145="block",'Reels'!D146*'Slots'!D25,0)+IF('Reels'!D161="block",'Reels'!D162*'Slots'!D25,0)</f>
        <v>0</v>
      </c>
      <c r="G567" t="b">
        <f>AND('Reels'!D121&lt;&gt;"blank",'Reels'!D121&lt;&gt;"class",'Reels'!D121='Reels'!D161,'Reels'!D122='Reels'!D162,OR('Reels'!D145="class",AND('Reels'!D145='Reels'!D121,'Reels'!D146='Reels'!D122)))</f>
        <v>0</v>
      </c>
      <c r="H567">
        <f>IF(G567,C567,0)</f>
        <v>0</v>
      </c>
    </row>
    <row r="568" spans="1:8" x14ac:dyDescent="0.25">
      <c r="A568" t="s">
        <v>258</v>
      </c>
      <c r="B568" t="s">
        <v>3867</v>
      </c>
      <c r="C568" s="4">
        <f>('Reels'!D123/('Reels'!D120+'Reels'!D123+'Reels'!D126+'Reels'!D129+'Reels'!D132+'Reels'!D135))*('Reels'!D147/('Reels'!D138+'Reels'!D141+'Reels'!D144+'Reels'!D147+'Reels'!D150+'Reels'!D153+'Reels'!D156))*('Reels'!D166/('Reels'!D160+'Reels'!D163+'Reels'!D166+'Reels'!D169+'Reels'!D172+'Reels'!D175))</f>
        <v>0.001836322458223664</v>
      </c>
      <c r="D568">
        <f>IF(OR('Reels'!D121="attack",'Reels'!D121="magic"),CHOOSE('Reels'!D122+1,'Slots'!D29,'Slots'!D30,'Slots'!D31,'Slots'!D32,'Slots'!D33),0)+IF(OR('Reels'!D145="attack",'Reels'!D145="magic"),CHOOSE('Reels'!D146+1,'Slots'!D29,'Slots'!D30,'Slots'!D31,'Slots'!D32,'Slots'!D33),0)+IF(OR('Reels'!D164="attack",'Reels'!D164="magic"),CHOOSE('Reels'!D165+1,'Slots'!D29,'Slots'!D30,'Slots'!D31,'Slots'!D32,'Slots'!D33),0)</f>
        <v>11</v>
      </c>
      <c r="E568">
        <f>IF('Reels'!D121="heal",'Reels'!D122*'Slots'!D24,0)+IF('Reels'!D145="heal",'Reels'!D146*'Slots'!D24,0)+IF('Reels'!D164="heal",'Reels'!D165*'Slots'!D24,0)</f>
        <v>0</v>
      </c>
      <c r="F568">
        <f>IF('Reels'!D121="block",'Reels'!D122*'Slots'!D25,0)+IF('Reels'!D145="block",'Reels'!D146*'Slots'!D25,0)+IF('Reels'!D164="block",'Reels'!D165*'Slots'!D25,0)</f>
        <v>0</v>
      </c>
      <c r="G568" t="b">
        <f>AND('Reels'!D121&lt;&gt;"blank",'Reels'!D121&lt;&gt;"class",'Reels'!D121='Reels'!D164,'Reels'!D122='Reels'!D165,OR('Reels'!D145="class",AND('Reels'!D145='Reels'!D121,'Reels'!D146='Reels'!D122)))</f>
        <v>0</v>
      </c>
      <c r="H568">
        <f>IF(G568,C568,0)</f>
        <v>0</v>
      </c>
    </row>
    <row r="569" spans="1:8" x14ac:dyDescent="0.25">
      <c r="A569" t="s">
        <v>258</v>
      </c>
      <c r="B569" t="s">
        <v>3868</v>
      </c>
      <c r="C569" s="4">
        <f>('Reels'!D123/('Reels'!D120+'Reels'!D123+'Reels'!D126+'Reels'!D129+'Reels'!D132+'Reels'!D135))*('Reels'!D147/('Reels'!D138+'Reels'!D141+'Reels'!D144+'Reels'!D147+'Reels'!D150+'Reels'!D153+'Reels'!D156))*('Reels'!D169/('Reels'!D160+'Reels'!D163+'Reels'!D166+'Reels'!D169+'Reels'!D172+'Reels'!D175))</f>
        <v>0.0012242149721491094</v>
      </c>
      <c r="D569">
        <f>IF(OR('Reels'!D121="attack",'Reels'!D121="magic"),CHOOSE('Reels'!D122+1,'Slots'!D29,'Slots'!D30,'Slots'!D31,'Slots'!D32,'Slots'!D33),0)+IF(OR('Reels'!D145="attack",'Reels'!D145="magic"),CHOOSE('Reels'!D146+1,'Slots'!D29,'Slots'!D30,'Slots'!D31,'Slots'!D32,'Slots'!D33),0)+IF(OR('Reels'!D167="attack",'Reels'!D167="magic"),CHOOSE('Reels'!D168+1,'Slots'!D29,'Slots'!D30,'Slots'!D31,'Slots'!D32,'Slots'!D33),0)</f>
        <v>4</v>
      </c>
      <c r="E569">
        <f>IF('Reels'!D121="heal",'Reels'!D122*'Slots'!D24,0)+IF('Reels'!D145="heal",'Reels'!D146*'Slots'!D24,0)+IF('Reels'!D167="heal",'Reels'!D168*'Slots'!D24,0)</f>
        <v>0</v>
      </c>
      <c r="F569">
        <f>IF('Reels'!D121="block",'Reels'!D122*'Slots'!D25,0)+IF('Reels'!D145="block",'Reels'!D146*'Slots'!D25,0)+IF('Reels'!D167="block",'Reels'!D168*'Slots'!D25,0)</f>
        <v>0</v>
      </c>
      <c r="G569" t="b">
        <f>AND('Reels'!D121&lt;&gt;"blank",'Reels'!D121&lt;&gt;"class",'Reels'!D121='Reels'!D167,'Reels'!D122='Reels'!D168,OR('Reels'!D145="class",AND('Reels'!D145='Reels'!D121,'Reels'!D146='Reels'!D122)))</f>
        <v>0</v>
      </c>
      <c r="H569">
        <f>IF(G569,C569,0)</f>
        <v>0</v>
      </c>
    </row>
    <row r="570" spans="1:8" x14ac:dyDescent="0.25">
      <c r="A570" t="s">
        <v>258</v>
      </c>
      <c r="B570" t="s">
        <v>3869</v>
      </c>
      <c r="C570" s="4">
        <f>('Reels'!D123/('Reels'!D120+'Reels'!D123+'Reels'!D126+'Reels'!D129+'Reels'!D132+'Reels'!D135))*('Reels'!D147/('Reels'!D138+'Reels'!D141+'Reels'!D144+'Reels'!D147+'Reels'!D150+'Reels'!D153+'Reels'!D156))*('Reels'!D172/('Reels'!D160+'Reels'!D163+'Reels'!D166+'Reels'!D169+'Reels'!D172+'Reels'!D175))</f>
        <v>0.0006121074860745547</v>
      </c>
      <c r="D570">
        <f>IF(OR('Reels'!D121="attack",'Reels'!D121="magic"),CHOOSE('Reels'!D122+1,'Slots'!D29,'Slots'!D30,'Slots'!D31,'Slots'!D32,'Slots'!D33),0)+IF(OR('Reels'!D145="attack",'Reels'!D145="magic"),CHOOSE('Reels'!D146+1,'Slots'!D29,'Slots'!D30,'Slots'!D31,'Slots'!D32,'Slots'!D33),0)+IF(OR('Reels'!D170="attack",'Reels'!D170="magic"),CHOOSE('Reels'!D171+1,'Slots'!D29,'Slots'!D30,'Slots'!D31,'Slots'!D32,'Slots'!D33),0)</f>
        <v>4</v>
      </c>
      <c r="E570">
        <f>IF('Reels'!D121="heal",'Reels'!D122*'Slots'!D24,0)+IF('Reels'!D145="heal",'Reels'!D146*'Slots'!D24,0)+IF('Reels'!D170="heal",'Reels'!D171*'Slots'!D24,0)</f>
        <v>0</v>
      </c>
      <c r="F570">
        <f>IF('Reels'!D121="block",'Reels'!D122*'Slots'!D25,0)+IF('Reels'!D145="block",'Reels'!D146*'Slots'!D25,0)+IF('Reels'!D170="block",'Reels'!D171*'Slots'!D25,0)</f>
        <v>1</v>
      </c>
      <c r="G570" t="b">
        <f>AND('Reels'!D121&lt;&gt;"blank",'Reels'!D121&lt;&gt;"class",'Reels'!D121='Reels'!D170,'Reels'!D122='Reels'!D171,OR('Reels'!D145="class",AND('Reels'!D145='Reels'!D121,'Reels'!D146='Reels'!D122)))</f>
        <v>0</v>
      </c>
      <c r="H570">
        <f>IF(G570,C570,0)</f>
        <v>0</v>
      </c>
    </row>
    <row r="571" spans="1:8" x14ac:dyDescent="0.25">
      <c r="A571" t="s">
        <v>258</v>
      </c>
      <c r="B571" t="s">
        <v>3870</v>
      </c>
      <c r="C571" s="4">
        <f>('Reels'!D123/('Reels'!D120+'Reels'!D123+'Reels'!D126+'Reels'!D129+'Reels'!D132+'Reels'!D135))*('Reels'!D147/('Reels'!D138+'Reels'!D141+'Reels'!D144+'Reels'!D147+'Reels'!D150+'Reels'!D153+'Reels'!D156))*('Reels'!D175/('Reels'!D160+'Reels'!D163+'Reels'!D166+'Reels'!D169+'Reels'!D172+'Reels'!D175))</f>
        <v>0.002448429944298219</v>
      </c>
      <c r="D571">
        <f>IF(OR('Reels'!D121="attack",'Reels'!D121="magic"),CHOOSE('Reels'!D122+1,'Slots'!D29,'Slots'!D30,'Slots'!D31,'Slots'!D32,'Slots'!D33),0)+IF(OR('Reels'!D145="attack",'Reels'!D145="magic"),CHOOSE('Reels'!D146+1,'Slots'!D29,'Slots'!D30,'Slots'!D31,'Slots'!D32,'Slots'!D33),0)+IF(OR('Reels'!D173="attack",'Reels'!D173="magic"),CHOOSE('Reels'!D174+1,'Slots'!D29,'Slots'!D30,'Slots'!D31,'Slots'!D32,'Slots'!D33),0)</f>
        <v>4</v>
      </c>
      <c r="E571">
        <f>IF('Reels'!D121="heal",'Reels'!D122*'Slots'!D24,0)+IF('Reels'!D145="heal",'Reels'!D146*'Slots'!D24,0)+IF('Reels'!D173="heal",'Reels'!D174*'Slots'!D24,0)</f>
        <v>0</v>
      </c>
      <c r="F571">
        <f>IF('Reels'!D121="block",'Reels'!D122*'Slots'!D25,0)+IF('Reels'!D145="block",'Reels'!D146*'Slots'!D25,0)+IF('Reels'!D173="block",'Reels'!D174*'Slots'!D25,0)</f>
        <v>0</v>
      </c>
      <c r="G571" t="b">
        <f>AND('Reels'!D121&lt;&gt;"blank",'Reels'!D121&lt;&gt;"class",'Reels'!D121='Reels'!D173,'Reels'!D122='Reels'!D174,OR('Reels'!D145="class",AND('Reels'!D145='Reels'!D121,'Reels'!D146='Reels'!D122)))</f>
        <v>0</v>
      </c>
      <c r="H571">
        <f>IF(G571,C571,0)</f>
        <v>0</v>
      </c>
    </row>
    <row r="572" spans="1:8" x14ac:dyDescent="0.25">
      <c r="A572" t="s">
        <v>258</v>
      </c>
      <c r="B572" t="s">
        <v>3419</v>
      </c>
      <c r="C572" s="4">
        <f>('Reels'!D123/('Reels'!D120+'Reels'!D123+'Reels'!D126+'Reels'!D129+'Reels'!D132+'Reels'!D135))*('Reels'!D150/('Reels'!D138+'Reels'!D141+'Reels'!D144+'Reels'!D147+'Reels'!D150+'Reels'!D153+'Reels'!D156))*('Reels'!D160/('Reels'!D160+'Reels'!D163+'Reels'!D166+'Reels'!D169+'Reels'!D172+'Reels'!D175))</f>
        <v>0.0033665911734100506</v>
      </c>
      <c r="D572">
        <f>IF(OR('Reels'!D121="attack",'Reels'!D121="magic"),CHOOSE('Reels'!D122+1,'Slots'!D29,'Slots'!D30,'Slots'!D31,'Slots'!D32,'Slots'!D33),0)+IF(OR('Reels'!D148="attack",'Reels'!D148="magic"),CHOOSE('Reels'!D149+1,'Slots'!D29,'Slots'!D30,'Slots'!D31,'Slots'!D32,'Slots'!D33),0)+IF(OR('Reels'!D158="attack",'Reels'!D158="magic"),CHOOSE('Reels'!D159+1,'Slots'!D29,'Slots'!D30,'Slots'!D31,'Slots'!D32,'Slots'!D33),0)</f>
        <v>6</v>
      </c>
      <c r="E572">
        <f>IF('Reels'!D121="heal",'Reels'!D122*'Slots'!D24,0)+IF('Reels'!D148="heal",'Reels'!D149*'Slots'!D24,0)+IF('Reels'!D158="heal",'Reels'!D159*'Slots'!D24,0)</f>
        <v>0</v>
      </c>
      <c r="F572">
        <f>IF('Reels'!D121="block",'Reels'!D122*'Slots'!D25,0)+IF('Reels'!D148="block",'Reels'!D149*'Slots'!D25,0)+IF('Reels'!D158="block",'Reels'!D159*'Slots'!D25,0)</f>
        <v>1</v>
      </c>
      <c r="G572" t="b">
        <f>AND('Reels'!D121&lt;&gt;"blank",'Reels'!D121&lt;&gt;"class",'Reels'!D121='Reels'!D158,'Reels'!D122='Reels'!D159,OR('Reels'!D148="class",AND('Reels'!D148='Reels'!D121,'Reels'!D149='Reels'!D122)))</f>
        <v>0</v>
      </c>
      <c r="H572">
        <f>IF(G572,C572,0)</f>
        <v>0</v>
      </c>
    </row>
    <row r="573" spans="1:8" x14ac:dyDescent="0.25">
      <c r="A573" t="s">
        <v>258</v>
      </c>
      <c r="B573" t="s">
        <v>3420</v>
      </c>
      <c r="C573" s="4">
        <f>('Reels'!D123/('Reels'!D120+'Reels'!D123+'Reels'!D126+'Reels'!D129+'Reels'!D132+'Reels'!D135))*('Reels'!D150/('Reels'!D138+'Reels'!D141+'Reels'!D144+'Reels'!D147+'Reels'!D150+'Reels'!D153+'Reels'!D156))*('Reels'!D163/('Reels'!D160+'Reels'!D163+'Reels'!D166+'Reels'!D169+'Reels'!D172+'Reels'!D175))</f>
        <v>0.0030605374303727733</v>
      </c>
      <c r="D573">
        <f>IF(OR('Reels'!D121="attack",'Reels'!D121="magic"),CHOOSE('Reels'!D122+1,'Slots'!D29,'Slots'!D30,'Slots'!D31,'Slots'!D32,'Slots'!D33),0)+IF(OR('Reels'!D148="attack",'Reels'!D148="magic"),CHOOSE('Reels'!D149+1,'Slots'!D29,'Slots'!D30,'Slots'!D31,'Slots'!D32,'Slots'!D33),0)+IF(OR('Reels'!D161="attack",'Reels'!D161="magic"),CHOOSE('Reels'!D162+1,'Slots'!D29,'Slots'!D30,'Slots'!D31,'Slots'!D32,'Slots'!D33),0)</f>
        <v>8</v>
      </c>
      <c r="E573">
        <f>IF('Reels'!D121="heal",'Reels'!D122*'Slots'!D24,0)+IF('Reels'!D148="heal",'Reels'!D149*'Slots'!D24,0)+IF('Reels'!D161="heal",'Reels'!D162*'Slots'!D24,0)</f>
        <v>0</v>
      </c>
      <c r="F573">
        <f>IF('Reels'!D121="block",'Reels'!D122*'Slots'!D25,0)+IF('Reels'!D148="block",'Reels'!D149*'Slots'!D25,0)+IF('Reels'!D161="block",'Reels'!D162*'Slots'!D25,0)</f>
        <v>1</v>
      </c>
      <c r="G573" t="b">
        <f>AND('Reels'!D121&lt;&gt;"blank",'Reels'!D121&lt;&gt;"class",'Reels'!D121='Reels'!D161,'Reels'!D122='Reels'!D162,OR('Reels'!D148="class",AND('Reels'!D148='Reels'!D121,'Reels'!D149='Reels'!D122)))</f>
        <v>0</v>
      </c>
      <c r="H573">
        <f>IF(G573,C573,0)</f>
        <v>0</v>
      </c>
    </row>
    <row r="574" spans="1:8" x14ac:dyDescent="0.25">
      <c r="A574" t="s">
        <v>258</v>
      </c>
      <c r="B574" t="s">
        <v>3871</v>
      </c>
      <c r="C574" s="4">
        <f>('Reels'!D123/('Reels'!D120+'Reels'!D123+'Reels'!D126+'Reels'!D129+'Reels'!D132+'Reels'!D135))*('Reels'!D150/('Reels'!D138+'Reels'!D141+'Reels'!D144+'Reels'!D147+'Reels'!D150+'Reels'!D153+'Reels'!D156))*('Reels'!D166/('Reels'!D160+'Reels'!D163+'Reels'!D166+'Reels'!D169+'Reels'!D172+'Reels'!D175))</f>
        <v>0.000918161229111832</v>
      </c>
      <c r="D574">
        <f>IF(OR('Reels'!D121="attack",'Reels'!D121="magic"),CHOOSE('Reels'!D122+1,'Slots'!D29,'Slots'!D30,'Slots'!D31,'Slots'!D32,'Slots'!D33),0)+IF(OR('Reels'!D148="attack",'Reels'!D148="magic"),CHOOSE('Reels'!D149+1,'Slots'!D29,'Slots'!D30,'Slots'!D31,'Slots'!D32,'Slots'!D33),0)+IF(OR('Reels'!D164="attack",'Reels'!D164="magic"),CHOOSE('Reels'!D165+1,'Slots'!D29,'Slots'!D30,'Slots'!D31,'Slots'!D32,'Slots'!D33),0)</f>
        <v>11</v>
      </c>
      <c r="E574">
        <f>IF('Reels'!D121="heal",'Reels'!D122*'Slots'!D24,0)+IF('Reels'!D148="heal",'Reels'!D149*'Slots'!D24,0)+IF('Reels'!D164="heal",'Reels'!D165*'Slots'!D24,0)</f>
        <v>0</v>
      </c>
      <c r="F574">
        <f>IF('Reels'!D121="block",'Reels'!D122*'Slots'!D25,0)+IF('Reels'!D148="block",'Reels'!D149*'Slots'!D25,0)+IF('Reels'!D164="block",'Reels'!D165*'Slots'!D25,0)</f>
        <v>1</v>
      </c>
      <c r="G574" t="b">
        <f>AND('Reels'!D121&lt;&gt;"blank",'Reels'!D121&lt;&gt;"class",'Reels'!D121='Reels'!D164,'Reels'!D122='Reels'!D165,OR('Reels'!D148="class",AND('Reels'!D148='Reels'!D121,'Reels'!D149='Reels'!D122)))</f>
        <v>0</v>
      </c>
      <c r="H574">
        <f>IF(G574,C574,0)</f>
        <v>0</v>
      </c>
    </row>
    <row r="575" spans="1:8" x14ac:dyDescent="0.25">
      <c r="A575" t="s">
        <v>258</v>
      </c>
      <c r="B575" t="s">
        <v>3872</v>
      </c>
      <c r="C575" s="4">
        <f>('Reels'!D123/('Reels'!D120+'Reels'!D123+'Reels'!D126+'Reels'!D129+'Reels'!D132+'Reels'!D135))*('Reels'!D150/('Reels'!D138+'Reels'!D141+'Reels'!D144+'Reels'!D147+'Reels'!D150+'Reels'!D153+'Reels'!D156))*('Reels'!D169/('Reels'!D160+'Reels'!D163+'Reels'!D166+'Reels'!D169+'Reels'!D172+'Reels'!D175))</f>
        <v>0.0006121074860745547</v>
      </c>
      <c r="D575">
        <f>IF(OR('Reels'!D121="attack",'Reels'!D121="magic"),CHOOSE('Reels'!D122+1,'Slots'!D29,'Slots'!D30,'Slots'!D31,'Slots'!D32,'Slots'!D33),0)+IF(OR('Reels'!D148="attack",'Reels'!D148="magic"),CHOOSE('Reels'!D149+1,'Slots'!D29,'Slots'!D30,'Slots'!D31,'Slots'!D32,'Slots'!D33),0)+IF(OR('Reels'!D167="attack",'Reels'!D167="magic"),CHOOSE('Reels'!D168+1,'Slots'!D29,'Slots'!D30,'Slots'!D31,'Slots'!D32,'Slots'!D33),0)</f>
        <v>4</v>
      </c>
      <c r="E575">
        <f>IF('Reels'!D121="heal",'Reels'!D122*'Slots'!D24,0)+IF('Reels'!D148="heal",'Reels'!D149*'Slots'!D24,0)+IF('Reels'!D167="heal",'Reels'!D168*'Slots'!D24,0)</f>
        <v>0</v>
      </c>
      <c r="F575">
        <f>IF('Reels'!D121="block",'Reels'!D122*'Slots'!D25,0)+IF('Reels'!D148="block",'Reels'!D149*'Slots'!D25,0)+IF('Reels'!D167="block",'Reels'!D168*'Slots'!D25,0)</f>
        <v>1</v>
      </c>
      <c r="G575" t="b">
        <f>AND('Reels'!D121&lt;&gt;"blank",'Reels'!D121&lt;&gt;"class",'Reels'!D121='Reels'!D167,'Reels'!D122='Reels'!D168,OR('Reels'!D148="class",AND('Reels'!D148='Reels'!D121,'Reels'!D149='Reels'!D122)))</f>
        <v>0</v>
      </c>
      <c r="H575">
        <f>IF(G575,C575,0)</f>
        <v>0</v>
      </c>
    </row>
    <row r="576" spans="1:8" x14ac:dyDescent="0.25">
      <c r="A576" t="s">
        <v>258</v>
      </c>
      <c r="B576" t="s">
        <v>3421</v>
      </c>
      <c r="C576" s="4">
        <f>('Reels'!D123/('Reels'!D120+'Reels'!D123+'Reels'!D126+'Reels'!D129+'Reels'!D132+'Reels'!D135))*('Reels'!D150/('Reels'!D138+'Reels'!D141+'Reels'!D144+'Reels'!D147+'Reels'!D150+'Reels'!D153+'Reels'!D156))*('Reels'!D172/('Reels'!D160+'Reels'!D163+'Reels'!D166+'Reels'!D169+'Reels'!D172+'Reels'!D175))</f>
        <v>0.00030605374303727736</v>
      </c>
      <c r="D576">
        <f>IF(OR('Reels'!D121="attack",'Reels'!D121="magic"),CHOOSE('Reels'!D122+1,'Slots'!D29,'Slots'!D30,'Slots'!D31,'Slots'!D32,'Slots'!D33),0)+IF(OR('Reels'!D148="attack",'Reels'!D148="magic"),CHOOSE('Reels'!D149+1,'Slots'!D29,'Slots'!D30,'Slots'!D31,'Slots'!D32,'Slots'!D33),0)+IF(OR('Reels'!D170="attack",'Reels'!D170="magic"),CHOOSE('Reels'!D171+1,'Slots'!D29,'Slots'!D30,'Slots'!D31,'Slots'!D32,'Slots'!D33),0)</f>
        <v>4</v>
      </c>
      <c r="E576">
        <f>IF('Reels'!D121="heal",'Reels'!D122*'Slots'!D24,0)+IF('Reels'!D148="heal",'Reels'!D149*'Slots'!D24,0)+IF('Reels'!D170="heal",'Reels'!D171*'Slots'!D24,0)</f>
        <v>0</v>
      </c>
      <c r="F576">
        <f>IF('Reels'!D121="block",'Reels'!D122*'Slots'!D25,0)+IF('Reels'!D148="block",'Reels'!D149*'Slots'!D25,0)+IF('Reels'!D170="block",'Reels'!D171*'Slots'!D25,0)</f>
        <v>2</v>
      </c>
      <c r="G576" t="b">
        <f>AND('Reels'!D121&lt;&gt;"blank",'Reels'!D121&lt;&gt;"class",'Reels'!D121='Reels'!D170,'Reels'!D122='Reels'!D171,OR('Reels'!D148="class",AND('Reels'!D148='Reels'!D121,'Reels'!D149='Reels'!D122)))</f>
        <v>0</v>
      </c>
      <c r="H576">
        <f>IF(G576,C576,0)</f>
        <v>0</v>
      </c>
    </row>
    <row r="577" spans="1:8" x14ac:dyDescent="0.25">
      <c r="A577" t="s">
        <v>258</v>
      </c>
      <c r="B577" t="s">
        <v>3424</v>
      </c>
      <c r="C577" s="4">
        <f>('Reels'!D123/('Reels'!D120+'Reels'!D123+'Reels'!D126+'Reels'!D129+'Reels'!D132+'Reels'!D135))*('Reels'!D150/('Reels'!D138+'Reels'!D141+'Reels'!D144+'Reels'!D147+'Reels'!D150+'Reels'!D153+'Reels'!D156))*('Reels'!D175/('Reels'!D160+'Reels'!D163+'Reels'!D166+'Reels'!D169+'Reels'!D172+'Reels'!D175))</f>
        <v>0.0012242149721491094</v>
      </c>
      <c r="D577">
        <f>IF(OR('Reels'!D121="attack",'Reels'!D121="magic"),CHOOSE('Reels'!D122+1,'Slots'!D29,'Slots'!D30,'Slots'!D31,'Slots'!D32,'Slots'!D33),0)+IF(OR('Reels'!D148="attack",'Reels'!D148="magic"),CHOOSE('Reels'!D149+1,'Slots'!D29,'Slots'!D30,'Slots'!D31,'Slots'!D32,'Slots'!D33),0)+IF(OR('Reels'!D173="attack",'Reels'!D173="magic"),CHOOSE('Reels'!D174+1,'Slots'!D29,'Slots'!D30,'Slots'!D31,'Slots'!D32,'Slots'!D33),0)</f>
        <v>4</v>
      </c>
      <c r="E577">
        <f>IF('Reels'!D121="heal",'Reels'!D122*'Slots'!D24,0)+IF('Reels'!D148="heal",'Reels'!D149*'Slots'!D24,0)+IF('Reels'!D173="heal",'Reels'!D174*'Slots'!D24,0)</f>
        <v>0</v>
      </c>
      <c r="F577">
        <f>IF('Reels'!D121="block",'Reels'!D122*'Slots'!D25,0)+IF('Reels'!D148="block",'Reels'!D149*'Slots'!D25,0)+IF('Reels'!D173="block",'Reels'!D174*'Slots'!D25,0)</f>
        <v>1</v>
      </c>
      <c r="G577" t="b">
        <f>AND('Reels'!D121&lt;&gt;"blank",'Reels'!D121&lt;&gt;"class",'Reels'!D121='Reels'!D173,'Reels'!D122='Reels'!D174,OR('Reels'!D148="class",AND('Reels'!D148='Reels'!D121,'Reels'!D149='Reels'!D122)))</f>
        <v>0</v>
      </c>
      <c r="H577">
        <f>IF(G577,C577,0)</f>
        <v>0</v>
      </c>
    </row>
    <row r="578" spans="1:8" x14ac:dyDescent="0.25">
      <c r="A578" t="s">
        <v>258</v>
      </c>
      <c r="B578" t="s">
        <v>3437</v>
      </c>
      <c r="C578" s="4">
        <f>('Reels'!D123/('Reels'!D120+'Reels'!D123+'Reels'!D126+'Reels'!D129+'Reels'!D132+'Reels'!D135))*('Reels'!D153/('Reels'!D138+'Reels'!D141+'Reels'!D144+'Reels'!D147+'Reels'!D150+'Reels'!D153+'Reels'!D156))*('Reels'!D160/('Reels'!D160+'Reels'!D163+'Reels'!D166+'Reels'!D169+'Reels'!D172+'Reels'!D175))</f>
        <v>0.013466364693640202</v>
      </c>
      <c r="D578">
        <f>IF(OR('Reels'!D121="attack",'Reels'!D121="magic"),CHOOSE('Reels'!D122+1,'Slots'!D29,'Slots'!D30,'Slots'!D31,'Slots'!D32,'Slots'!D33),0)+IF(OR('Reels'!D151="attack",'Reels'!D151="magic"),CHOOSE('Reels'!D152+1,'Slots'!D29,'Slots'!D30,'Slots'!D31,'Slots'!D32,'Slots'!D33),0)+IF(OR('Reels'!D158="attack",'Reels'!D158="magic"),CHOOSE('Reels'!D159+1,'Slots'!D29,'Slots'!D30,'Slots'!D31,'Slots'!D32,'Slots'!D33),0)</f>
        <v>6</v>
      </c>
      <c r="E578">
        <f>IF('Reels'!D121="heal",'Reels'!D122*'Slots'!D24,0)+IF('Reels'!D151="heal",'Reels'!D152*'Slots'!D24,0)+IF('Reels'!D158="heal",'Reels'!D159*'Slots'!D24,0)</f>
        <v>0</v>
      </c>
      <c r="F578">
        <f>IF('Reels'!D121="block",'Reels'!D122*'Slots'!D25,0)+IF('Reels'!D151="block",'Reels'!D152*'Slots'!D25,0)+IF('Reels'!D158="block",'Reels'!D159*'Slots'!D25,0)</f>
        <v>0</v>
      </c>
      <c r="G578" t="b">
        <f>AND('Reels'!D121&lt;&gt;"blank",'Reels'!D121&lt;&gt;"class",'Reels'!D121='Reels'!D158,'Reels'!D122='Reels'!D159,OR('Reels'!D151="class",AND('Reels'!D151='Reels'!D121,'Reels'!D152='Reels'!D122)))</f>
        <v>0</v>
      </c>
      <c r="H578">
        <f>IF(G578,C578,0)</f>
        <v>0</v>
      </c>
    </row>
    <row r="579" spans="1:8" x14ac:dyDescent="0.25">
      <c r="A579" t="s">
        <v>258</v>
      </c>
      <c r="B579" t="s">
        <v>3438</v>
      </c>
      <c r="C579" s="4">
        <f>('Reels'!D123/('Reels'!D120+'Reels'!D123+'Reels'!D126+'Reels'!D129+'Reels'!D132+'Reels'!D135))*('Reels'!D153/('Reels'!D138+'Reels'!D141+'Reels'!D144+'Reels'!D147+'Reels'!D150+'Reels'!D153+'Reels'!D156))*('Reels'!D163/('Reels'!D160+'Reels'!D163+'Reels'!D166+'Reels'!D169+'Reels'!D172+'Reels'!D175))</f>
        <v>0.012242149721491093</v>
      </c>
      <c r="D579">
        <f>IF(OR('Reels'!D121="attack",'Reels'!D121="magic"),CHOOSE('Reels'!D122+1,'Slots'!D29,'Slots'!D30,'Slots'!D31,'Slots'!D32,'Slots'!D33),0)+IF(OR('Reels'!D151="attack",'Reels'!D151="magic"),CHOOSE('Reels'!D152+1,'Slots'!D29,'Slots'!D30,'Slots'!D31,'Slots'!D32,'Slots'!D33),0)+IF(OR('Reels'!D161="attack",'Reels'!D161="magic"),CHOOSE('Reels'!D162+1,'Slots'!D29,'Slots'!D30,'Slots'!D31,'Slots'!D32,'Slots'!D33),0)</f>
        <v>8</v>
      </c>
      <c r="E579">
        <f>IF('Reels'!D121="heal",'Reels'!D122*'Slots'!D24,0)+IF('Reels'!D151="heal",'Reels'!D152*'Slots'!D24,0)+IF('Reels'!D161="heal",'Reels'!D162*'Slots'!D24,0)</f>
        <v>0</v>
      </c>
      <c r="F579">
        <f>IF('Reels'!D121="block",'Reels'!D122*'Slots'!D25,0)+IF('Reels'!D151="block",'Reels'!D152*'Slots'!D25,0)+IF('Reels'!D161="block",'Reels'!D162*'Slots'!D25,0)</f>
        <v>0</v>
      </c>
      <c r="G579" t="b">
        <f>AND('Reels'!D121&lt;&gt;"blank",'Reels'!D121&lt;&gt;"class",'Reels'!D121='Reels'!D161,'Reels'!D122='Reels'!D162,OR('Reels'!D151="class",AND('Reels'!D151='Reels'!D121,'Reels'!D152='Reels'!D122)))</f>
        <v>0</v>
      </c>
      <c r="H579">
        <f>IF(G579,C579,0)</f>
        <v>0</v>
      </c>
    </row>
    <row r="580" spans="1:8" x14ac:dyDescent="0.25">
      <c r="A580" t="s">
        <v>258</v>
      </c>
      <c r="B580" t="s">
        <v>3873</v>
      </c>
      <c r="C580" s="4">
        <f>('Reels'!D123/('Reels'!D120+'Reels'!D123+'Reels'!D126+'Reels'!D129+'Reels'!D132+'Reels'!D135))*('Reels'!D153/('Reels'!D138+'Reels'!D141+'Reels'!D144+'Reels'!D147+'Reels'!D150+'Reels'!D153+'Reels'!D156))*('Reels'!D166/('Reels'!D160+'Reels'!D163+'Reels'!D166+'Reels'!D169+'Reels'!D172+'Reels'!D175))</f>
        <v>0.003672644916447328</v>
      </c>
      <c r="D580">
        <f>IF(OR('Reels'!D121="attack",'Reels'!D121="magic"),CHOOSE('Reels'!D122+1,'Slots'!D29,'Slots'!D30,'Slots'!D31,'Slots'!D32,'Slots'!D33),0)+IF(OR('Reels'!D151="attack",'Reels'!D151="magic"),CHOOSE('Reels'!D152+1,'Slots'!D29,'Slots'!D30,'Slots'!D31,'Slots'!D32,'Slots'!D33),0)+IF(OR('Reels'!D164="attack",'Reels'!D164="magic"),CHOOSE('Reels'!D165+1,'Slots'!D29,'Slots'!D30,'Slots'!D31,'Slots'!D32,'Slots'!D33),0)</f>
        <v>11</v>
      </c>
      <c r="E580">
        <f>IF('Reels'!D121="heal",'Reels'!D122*'Slots'!D24,0)+IF('Reels'!D151="heal",'Reels'!D152*'Slots'!D24,0)+IF('Reels'!D164="heal",'Reels'!D165*'Slots'!D24,0)</f>
        <v>0</v>
      </c>
      <c r="F580">
        <f>IF('Reels'!D121="block",'Reels'!D122*'Slots'!D25,0)+IF('Reels'!D151="block",'Reels'!D152*'Slots'!D25,0)+IF('Reels'!D164="block",'Reels'!D165*'Slots'!D25,0)</f>
        <v>0</v>
      </c>
      <c r="G580" t="b">
        <f>AND('Reels'!D121&lt;&gt;"blank",'Reels'!D121&lt;&gt;"class",'Reels'!D121='Reels'!D164,'Reels'!D122='Reels'!D165,OR('Reels'!D151="class",AND('Reels'!D151='Reels'!D121,'Reels'!D152='Reels'!D122)))</f>
        <v>0</v>
      </c>
      <c r="H580">
        <f>IF(G580,C580,0)</f>
        <v>0</v>
      </c>
    </row>
    <row r="581" spans="1:8" x14ac:dyDescent="0.25">
      <c r="A581" t="s">
        <v>258</v>
      </c>
      <c r="B581" t="s">
        <v>3874</v>
      </c>
      <c r="C581" s="4">
        <f>('Reels'!D123/('Reels'!D120+'Reels'!D123+'Reels'!D126+'Reels'!D129+'Reels'!D132+'Reels'!D135))*('Reels'!D153/('Reels'!D138+'Reels'!D141+'Reels'!D144+'Reels'!D147+'Reels'!D150+'Reels'!D153+'Reels'!D156))*('Reels'!D169/('Reels'!D160+'Reels'!D163+'Reels'!D166+'Reels'!D169+'Reels'!D172+'Reels'!D175))</f>
        <v>0.002448429944298219</v>
      </c>
      <c r="D581">
        <f>IF(OR('Reels'!D121="attack",'Reels'!D121="magic"),CHOOSE('Reels'!D122+1,'Slots'!D29,'Slots'!D30,'Slots'!D31,'Slots'!D32,'Slots'!D33),0)+IF(OR('Reels'!D151="attack",'Reels'!D151="magic"),CHOOSE('Reels'!D152+1,'Slots'!D29,'Slots'!D30,'Slots'!D31,'Slots'!D32,'Slots'!D33),0)+IF(OR('Reels'!D167="attack",'Reels'!D167="magic"),CHOOSE('Reels'!D168+1,'Slots'!D29,'Slots'!D30,'Slots'!D31,'Slots'!D32,'Slots'!D33),0)</f>
        <v>4</v>
      </c>
      <c r="E581">
        <f>IF('Reels'!D121="heal",'Reels'!D122*'Slots'!D24,0)+IF('Reels'!D151="heal",'Reels'!D152*'Slots'!D24,0)+IF('Reels'!D167="heal",'Reels'!D168*'Slots'!D24,0)</f>
        <v>0</v>
      </c>
      <c r="F581">
        <f>IF('Reels'!D121="block",'Reels'!D122*'Slots'!D25,0)+IF('Reels'!D151="block",'Reels'!D152*'Slots'!D25,0)+IF('Reels'!D167="block",'Reels'!D168*'Slots'!D25,0)</f>
        <v>0</v>
      </c>
      <c r="G581" t="b">
        <f>AND('Reels'!D121&lt;&gt;"blank",'Reels'!D121&lt;&gt;"class",'Reels'!D121='Reels'!D167,'Reels'!D122='Reels'!D168,OR('Reels'!D151="class",AND('Reels'!D151='Reels'!D121,'Reels'!D152='Reels'!D122)))</f>
        <v>0</v>
      </c>
      <c r="H581">
        <f>IF(G581,C581,0)</f>
        <v>0</v>
      </c>
    </row>
    <row r="582" spans="1:8" x14ac:dyDescent="0.25">
      <c r="A582" t="s">
        <v>258</v>
      </c>
      <c r="B582" t="s">
        <v>3439</v>
      </c>
      <c r="C582" s="4">
        <f>('Reels'!D123/('Reels'!D120+'Reels'!D123+'Reels'!D126+'Reels'!D129+'Reels'!D132+'Reels'!D135))*('Reels'!D153/('Reels'!D138+'Reels'!D141+'Reels'!D144+'Reels'!D147+'Reels'!D150+'Reels'!D153+'Reels'!D156))*('Reels'!D172/('Reels'!D160+'Reels'!D163+'Reels'!D166+'Reels'!D169+'Reels'!D172+'Reels'!D175))</f>
        <v>0.0012242149721491094</v>
      </c>
      <c r="D582">
        <f>IF(OR('Reels'!D121="attack",'Reels'!D121="magic"),CHOOSE('Reels'!D122+1,'Slots'!D29,'Slots'!D30,'Slots'!D31,'Slots'!D32,'Slots'!D33),0)+IF(OR('Reels'!D151="attack",'Reels'!D151="magic"),CHOOSE('Reels'!D152+1,'Slots'!D29,'Slots'!D30,'Slots'!D31,'Slots'!D32,'Slots'!D33),0)+IF(OR('Reels'!D170="attack",'Reels'!D170="magic"),CHOOSE('Reels'!D171+1,'Slots'!D29,'Slots'!D30,'Slots'!D31,'Slots'!D32,'Slots'!D33),0)</f>
        <v>4</v>
      </c>
      <c r="E582">
        <f>IF('Reels'!D121="heal",'Reels'!D122*'Slots'!D24,0)+IF('Reels'!D151="heal",'Reels'!D152*'Slots'!D24,0)+IF('Reels'!D170="heal",'Reels'!D171*'Slots'!D24,0)</f>
        <v>0</v>
      </c>
      <c r="F582">
        <f>IF('Reels'!D121="block",'Reels'!D122*'Slots'!D25,0)+IF('Reels'!D151="block",'Reels'!D152*'Slots'!D25,0)+IF('Reels'!D170="block",'Reels'!D171*'Slots'!D25,0)</f>
        <v>1</v>
      </c>
      <c r="G582" t="b">
        <f>AND('Reels'!D121&lt;&gt;"blank",'Reels'!D121&lt;&gt;"class",'Reels'!D121='Reels'!D170,'Reels'!D122='Reels'!D171,OR('Reels'!D151="class",AND('Reels'!D151='Reels'!D121,'Reels'!D152='Reels'!D122)))</f>
        <v>0</v>
      </c>
      <c r="H582">
        <f>IF(G582,C582,0)</f>
        <v>0</v>
      </c>
    </row>
    <row r="583" spans="1:8" x14ac:dyDescent="0.25">
      <c r="A583" t="s">
        <v>258</v>
      </c>
      <c r="B583" t="s">
        <v>3442</v>
      </c>
      <c r="C583" s="4">
        <f>('Reels'!D123/('Reels'!D120+'Reels'!D123+'Reels'!D126+'Reels'!D129+'Reels'!D132+'Reels'!D135))*('Reels'!D153/('Reels'!D138+'Reels'!D141+'Reels'!D144+'Reels'!D147+'Reels'!D150+'Reels'!D153+'Reels'!D156))*('Reels'!D175/('Reels'!D160+'Reels'!D163+'Reels'!D166+'Reels'!D169+'Reels'!D172+'Reels'!D175))</f>
        <v>0.004896859888596438</v>
      </c>
      <c r="D583">
        <f>IF(OR('Reels'!D121="attack",'Reels'!D121="magic"),CHOOSE('Reels'!D122+1,'Slots'!D29,'Slots'!D30,'Slots'!D31,'Slots'!D32,'Slots'!D33),0)+IF(OR('Reels'!D151="attack",'Reels'!D151="magic"),CHOOSE('Reels'!D152+1,'Slots'!D29,'Slots'!D30,'Slots'!D31,'Slots'!D32,'Slots'!D33),0)+IF(OR('Reels'!D173="attack",'Reels'!D173="magic"),CHOOSE('Reels'!D174+1,'Slots'!D29,'Slots'!D30,'Slots'!D31,'Slots'!D32,'Slots'!D33),0)</f>
        <v>4</v>
      </c>
      <c r="E583">
        <f>IF('Reels'!D121="heal",'Reels'!D122*'Slots'!D24,0)+IF('Reels'!D151="heal",'Reels'!D152*'Slots'!D24,0)+IF('Reels'!D173="heal",'Reels'!D174*'Slots'!D24,0)</f>
        <v>0</v>
      </c>
      <c r="F583">
        <f>IF('Reels'!D121="block",'Reels'!D122*'Slots'!D25,0)+IF('Reels'!D151="block",'Reels'!D152*'Slots'!D25,0)+IF('Reels'!D173="block",'Reels'!D174*'Slots'!D25,0)</f>
        <v>0</v>
      </c>
      <c r="G583" t="b">
        <f>AND('Reels'!D121&lt;&gt;"blank",'Reels'!D121&lt;&gt;"class",'Reels'!D121='Reels'!D173,'Reels'!D122='Reels'!D174,OR('Reels'!D151="class",AND('Reels'!D151='Reels'!D121,'Reels'!D152='Reels'!D122)))</f>
        <v>0</v>
      </c>
      <c r="H583">
        <f>IF(G583,C583,0)</f>
        <v>0</v>
      </c>
    </row>
    <row r="584" spans="1:8" x14ac:dyDescent="0.25">
      <c r="A584" t="s">
        <v>258</v>
      </c>
      <c r="B584" t="s">
        <v>3443</v>
      </c>
      <c r="C584" s="4">
        <f>('Reels'!D123/('Reels'!D120+'Reels'!D123+'Reels'!D126+'Reels'!D129+'Reels'!D132+'Reels'!D135))*('Reels'!D156/('Reels'!D138+'Reels'!D141+'Reels'!D144+'Reels'!D147+'Reels'!D150+'Reels'!D153+'Reels'!D156))*('Reels'!D160/('Reels'!D160+'Reels'!D163+'Reels'!D166+'Reels'!D169+'Reels'!D172+'Reels'!D175))</f>
        <v>0.010099773520230153</v>
      </c>
      <c r="D584">
        <f>IF(OR('Reels'!D121="attack",'Reels'!D121="magic"),CHOOSE('Reels'!D122+1,'Slots'!D29,'Slots'!D30,'Slots'!D31,'Slots'!D32,'Slots'!D33),0)+IF(OR('Reels'!D154="attack",'Reels'!D154="magic"),CHOOSE('Reels'!D155+1,'Slots'!D29,'Slots'!D30,'Slots'!D31,'Slots'!D32,'Slots'!D33),0)+IF(OR('Reels'!D158="attack",'Reels'!D158="magic"),CHOOSE('Reels'!D159+1,'Slots'!D29,'Slots'!D30,'Slots'!D31,'Slots'!D32,'Slots'!D33),0)</f>
        <v>6</v>
      </c>
      <c r="E584">
        <f>IF('Reels'!D121="heal",'Reels'!D122*'Slots'!D24,0)+IF('Reels'!D154="heal",'Reels'!D155*'Slots'!D24,0)+IF('Reels'!D158="heal",'Reels'!D159*'Slots'!D24,0)</f>
        <v>0</v>
      </c>
      <c r="F584">
        <f>IF('Reels'!D121="block",'Reels'!D122*'Slots'!D25,0)+IF('Reels'!D154="block",'Reels'!D155*'Slots'!D25,0)+IF('Reels'!D158="block",'Reels'!D159*'Slots'!D25,0)</f>
        <v>0</v>
      </c>
      <c r="G584" t="b">
        <f>AND('Reels'!D121&lt;&gt;"blank",'Reels'!D121&lt;&gt;"class",'Reels'!D121='Reels'!D158,'Reels'!D122='Reels'!D159,OR('Reels'!D154="class",AND('Reels'!D154='Reels'!D121,'Reels'!D155='Reels'!D122)))</f>
        <v>0</v>
      </c>
      <c r="H584">
        <f>IF(G584,C584,0)</f>
        <v>0</v>
      </c>
    </row>
    <row r="585" spans="1:8" x14ac:dyDescent="0.25">
      <c r="A585" t="s">
        <v>258</v>
      </c>
      <c r="B585" t="s">
        <v>3444</v>
      </c>
      <c r="C585" s="4">
        <f>('Reels'!D123/('Reels'!D120+'Reels'!D123+'Reels'!D126+'Reels'!D129+'Reels'!D132+'Reels'!D135))*('Reels'!D156/('Reels'!D138+'Reels'!D141+'Reels'!D144+'Reels'!D147+'Reels'!D150+'Reels'!D153+'Reels'!D156))*('Reels'!D163/('Reels'!D160+'Reels'!D163+'Reels'!D166+'Reels'!D169+'Reels'!D172+'Reels'!D175))</f>
        <v>0.009181612291118321</v>
      </c>
      <c r="D585">
        <f>IF(OR('Reels'!D121="attack",'Reels'!D121="magic"),CHOOSE('Reels'!D122+1,'Slots'!D29,'Slots'!D30,'Slots'!D31,'Slots'!D32,'Slots'!D33),0)+IF(OR('Reels'!D154="attack",'Reels'!D154="magic"),CHOOSE('Reels'!D155+1,'Slots'!D29,'Slots'!D30,'Slots'!D31,'Slots'!D32,'Slots'!D33),0)+IF(OR('Reels'!D161="attack",'Reels'!D161="magic"),CHOOSE('Reels'!D162+1,'Slots'!D29,'Slots'!D30,'Slots'!D31,'Slots'!D32,'Slots'!D33),0)</f>
        <v>8</v>
      </c>
      <c r="E585">
        <f>IF('Reels'!D121="heal",'Reels'!D122*'Slots'!D24,0)+IF('Reels'!D154="heal",'Reels'!D155*'Slots'!D24,0)+IF('Reels'!D161="heal",'Reels'!D162*'Slots'!D24,0)</f>
        <v>0</v>
      </c>
      <c r="F585">
        <f>IF('Reels'!D121="block",'Reels'!D122*'Slots'!D25,0)+IF('Reels'!D154="block",'Reels'!D155*'Slots'!D25,0)+IF('Reels'!D161="block",'Reels'!D162*'Slots'!D25,0)</f>
        <v>0</v>
      </c>
      <c r="G585" t="b">
        <f>AND('Reels'!D121&lt;&gt;"blank",'Reels'!D121&lt;&gt;"class",'Reels'!D121='Reels'!D161,'Reels'!D122='Reels'!D162,OR('Reels'!D154="class",AND('Reels'!D154='Reels'!D121,'Reels'!D155='Reels'!D122)))</f>
        <v>1</v>
      </c>
      <c r="H585">
        <f>IF(G585,C585,0)</f>
        <v>0.009181612291118321</v>
      </c>
    </row>
    <row r="586" spans="1:8" x14ac:dyDescent="0.25">
      <c r="A586" t="s">
        <v>258</v>
      </c>
      <c r="B586" t="s">
        <v>3875</v>
      </c>
      <c r="C586" s="4">
        <f>('Reels'!D123/('Reels'!D120+'Reels'!D123+'Reels'!D126+'Reels'!D129+'Reels'!D132+'Reels'!D135))*('Reels'!D156/('Reels'!D138+'Reels'!D141+'Reels'!D144+'Reels'!D147+'Reels'!D150+'Reels'!D153+'Reels'!D156))*('Reels'!D166/('Reels'!D160+'Reels'!D163+'Reels'!D166+'Reels'!D169+'Reels'!D172+'Reels'!D175))</f>
        <v>0.002754483687335496</v>
      </c>
      <c r="D586">
        <f>IF(OR('Reels'!D121="attack",'Reels'!D121="magic"),CHOOSE('Reels'!D122+1,'Slots'!D29,'Slots'!D30,'Slots'!D31,'Slots'!D32,'Slots'!D33),0)+IF(OR('Reels'!D154="attack",'Reels'!D154="magic"),CHOOSE('Reels'!D155+1,'Slots'!D29,'Slots'!D30,'Slots'!D31,'Slots'!D32,'Slots'!D33),0)+IF(OR('Reels'!D164="attack",'Reels'!D164="magic"),CHOOSE('Reels'!D165+1,'Slots'!D29,'Slots'!D30,'Slots'!D31,'Slots'!D32,'Slots'!D33),0)</f>
        <v>11</v>
      </c>
      <c r="E586">
        <f>IF('Reels'!D121="heal",'Reels'!D122*'Slots'!D24,0)+IF('Reels'!D154="heal",'Reels'!D155*'Slots'!D24,0)+IF('Reels'!D164="heal",'Reels'!D165*'Slots'!D24,0)</f>
        <v>0</v>
      </c>
      <c r="F586">
        <f>IF('Reels'!D121="block",'Reels'!D122*'Slots'!D25,0)+IF('Reels'!D154="block",'Reels'!D155*'Slots'!D25,0)+IF('Reels'!D164="block",'Reels'!D165*'Slots'!D25,0)</f>
        <v>0</v>
      </c>
      <c r="G586" t="b">
        <f>AND('Reels'!D121&lt;&gt;"blank",'Reels'!D121&lt;&gt;"class",'Reels'!D121='Reels'!D164,'Reels'!D122='Reels'!D165,OR('Reels'!D154="class",AND('Reels'!D154='Reels'!D121,'Reels'!D155='Reels'!D122)))</f>
        <v>0</v>
      </c>
      <c r="H586">
        <f>IF(G586,C586,0)</f>
        <v>0</v>
      </c>
    </row>
    <row r="587" spans="1:8" x14ac:dyDescent="0.25">
      <c r="A587" t="s">
        <v>258</v>
      </c>
      <c r="B587" t="s">
        <v>3876</v>
      </c>
      <c r="C587" s="4">
        <f>('Reels'!D123/('Reels'!D120+'Reels'!D123+'Reels'!D126+'Reels'!D129+'Reels'!D132+'Reels'!D135))*('Reels'!D156/('Reels'!D138+'Reels'!D141+'Reels'!D144+'Reels'!D147+'Reels'!D150+'Reels'!D153+'Reels'!D156))*('Reels'!D169/('Reels'!D160+'Reels'!D163+'Reels'!D166+'Reels'!D169+'Reels'!D172+'Reels'!D175))</f>
        <v>0.0018363224582236641</v>
      </c>
      <c r="D587">
        <f>IF(OR('Reels'!D121="attack",'Reels'!D121="magic"),CHOOSE('Reels'!D122+1,'Slots'!D29,'Slots'!D30,'Slots'!D31,'Slots'!D32,'Slots'!D33),0)+IF(OR('Reels'!D154="attack",'Reels'!D154="magic"),CHOOSE('Reels'!D155+1,'Slots'!D29,'Slots'!D30,'Slots'!D31,'Slots'!D32,'Slots'!D33),0)+IF(OR('Reels'!D167="attack",'Reels'!D167="magic"),CHOOSE('Reels'!D168+1,'Slots'!D29,'Slots'!D30,'Slots'!D31,'Slots'!D32,'Slots'!D33),0)</f>
        <v>4</v>
      </c>
      <c r="E587">
        <f>IF('Reels'!D121="heal",'Reels'!D122*'Slots'!D24,0)+IF('Reels'!D154="heal",'Reels'!D155*'Slots'!D24,0)+IF('Reels'!D167="heal",'Reels'!D168*'Slots'!D24,0)</f>
        <v>0</v>
      </c>
      <c r="F587">
        <f>IF('Reels'!D121="block",'Reels'!D122*'Slots'!D25,0)+IF('Reels'!D154="block",'Reels'!D155*'Slots'!D25,0)+IF('Reels'!D167="block",'Reels'!D168*'Slots'!D25,0)</f>
        <v>0</v>
      </c>
      <c r="G587" t="b">
        <f>AND('Reels'!D121&lt;&gt;"blank",'Reels'!D121&lt;&gt;"class",'Reels'!D121='Reels'!D167,'Reels'!D122='Reels'!D168,OR('Reels'!D154="class",AND('Reels'!D154='Reels'!D121,'Reels'!D155='Reels'!D122)))</f>
        <v>0</v>
      </c>
      <c r="H587">
        <f>IF(G587,C587,0)</f>
        <v>0</v>
      </c>
    </row>
    <row r="588" spans="1:8" x14ac:dyDescent="0.25">
      <c r="A588" t="s">
        <v>258</v>
      </c>
      <c r="B588" t="s">
        <v>3445</v>
      </c>
      <c r="C588" s="4">
        <f>('Reels'!D123/('Reels'!D120+'Reels'!D123+'Reels'!D126+'Reels'!D129+'Reels'!D132+'Reels'!D135))*('Reels'!D156/('Reels'!D138+'Reels'!D141+'Reels'!D144+'Reels'!D147+'Reels'!D150+'Reels'!D153+'Reels'!D156))*('Reels'!D172/('Reels'!D160+'Reels'!D163+'Reels'!D166+'Reels'!D169+'Reels'!D172+'Reels'!D175))</f>
        <v>0.0009181612291118321</v>
      </c>
      <c r="D588">
        <f>IF(OR('Reels'!D121="attack",'Reels'!D121="magic"),CHOOSE('Reels'!D122+1,'Slots'!D29,'Slots'!D30,'Slots'!D31,'Slots'!D32,'Slots'!D33),0)+IF(OR('Reels'!D154="attack",'Reels'!D154="magic"),CHOOSE('Reels'!D155+1,'Slots'!D29,'Slots'!D30,'Slots'!D31,'Slots'!D32,'Slots'!D33),0)+IF(OR('Reels'!D170="attack",'Reels'!D170="magic"),CHOOSE('Reels'!D171+1,'Slots'!D29,'Slots'!D30,'Slots'!D31,'Slots'!D32,'Slots'!D33),0)</f>
        <v>4</v>
      </c>
      <c r="E588">
        <f>IF('Reels'!D121="heal",'Reels'!D122*'Slots'!D24,0)+IF('Reels'!D154="heal",'Reels'!D155*'Slots'!D24,0)+IF('Reels'!D170="heal",'Reels'!D171*'Slots'!D24,0)</f>
        <v>0</v>
      </c>
      <c r="F588">
        <f>IF('Reels'!D121="block",'Reels'!D122*'Slots'!D25,0)+IF('Reels'!D154="block",'Reels'!D155*'Slots'!D25,0)+IF('Reels'!D170="block",'Reels'!D171*'Slots'!D25,0)</f>
        <v>1</v>
      </c>
      <c r="G588" t="b">
        <f>AND('Reels'!D121&lt;&gt;"blank",'Reels'!D121&lt;&gt;"class",'Reels'!D121='Reels'!D170,'Reels'!D122='Reels'!D171,OR('Reels'!D154="class",AND('Reels'!D154='Reels'!D121,'Reels'!D155='Reels'!D122)))</f>
        <v>0</v>
      </c>
      <c r="H588">
        <f>IF(G588,C588,0)</f>
        <v>0</v>
      </c>
    </row>
    <row r="589" spans="1:8" x14ac:dyDescent="0.25">
      <c r="A589" t="s">
        <v>258</v>
      </c>
      <c r="B589" t="s">
        <v>3448</v>
      </c>
      <c r="C589" s="4">
        <f>('Reels'!D123/('Reels'!D120+'Reels'!D123+'Reels'!D126+'Reels'!D129+'Reels'!D132+'Reels'!D135))*('Reels'!D156/('Reels'!D138+'Reels'!D141+'Reels'!D144+'Reels'!D147+'Reels'!D150+'Reels'!D153+'Reels'!D156))*('Reels'!D175/('Reels'!D160+'Reels'!D163+'Reels'!D166+'Reels'!D169+'Reels'!D172+'Reels'!D175))</f>
        <v>0.0036726449164473283</v>
      </c>
      <c r="D589">
        <f>IF(OR('Reels'!D121="attack",'Reels'!D121="magic"),CHOOSE('Reels'!D122+1,'Slots'!D29,'Slots'!D30,'Slots'!D31,'Slots'!D32,'Slots'!D33),0)+IF(OR('Reels'!D154="attack",'Reels'!D154="magic"),CHOOSE('Reels'!D155+1,'Slots'!D29,'Slots'!D30,'Slots'!D31,'Slots'!D32,'Slots'!D33),0)+IF(OR('Reels'!D173="attack",'Reels'!D173="magic"),CHOOSE('Reels'!D174+1,'Slots'!D29,'Slots'!D30,'Slots'!D31,'Slots'!D32,'Slots'!D33),0)</f>
        <v>4</v>
      </c>
      <c r="E589">
        <f>IF('Reels'!D121="heal",'Reels'!D122*'Slots'!D24,0)+IF('Reels'!D154="heal",'Reels'!D155*'Slots'!D24,0)+IF('Reels'!D173="heal",'Reels'!D174*'Slots'!D24,0)</f>
        <v>0</v>
      </c>
      <c r="F589">
        <f>IF('Reels'!D121="block",'Reels'!D122*'Slots'!D25,0)+IF('Reels'!D154="block",'Reels'!D155*'Slots'!D25,0)+IF('Reels'!D173="block",'Reels'!D174*'Slots'!D25,0)</f>
        <v>0</v>
      </c>
      <c r="G589" t="b">
        <f>AND('Reels'!D121&lt;&gt;"blank",'Reels'!D121&lt;&gt;"class",'Reels'!D121='Reels'!D173,'Reels'!D122='Reels'!D174,OR('Reels'!D154="class",AND('Reels'!D154='Reels'!D121,'Reels'!D155='Reels'!D122)))</f>
        <v>0</v>
      </c>
      <c r="H589">
        <f>IF(G589,C589,0)</f>
        <v>0</v>
      </c>
    </row>
    <row r="590" spans="1:8" x14ac:dyDescent="0.25">
      <c r="A590" t="s">
        <v>258</v>
      </c>
      <c r="B590" t="s">
        <v>3877</v>
      </c>
      <c r="C590" s="4">
        <f>('Reels'!D126/('Reels'!D120+'Reels'!D123+'Reels'!D126+'Reels'!D129+'Reels'!D132+'Reels'!D135))*('Reels'!D138/('Reels'!D138+'Reels'!D141+'Reels'!D144+'Reels'!D147+'Reels'!D150+'Reels'!D153+'Reels'!D156))*('Reels'!D160/('Reels'!D160+'Reels'!D163+'Reels'!D166+'Reels'!D169+'Reels'!D172+'Reels'!D175))</f>
        <v>0.011109750872253169</v>
      </c>
      <c r="D590">
        <f>IF(OR('Reels'!D124="attack",'Reels'!D124="magic"),CHOOSE('Reels'!D125+1,'Slots'!D29,'Slots'!D30,'Slots'!D31,'Slots'!D32,'Slots'!D33),0)+IF(OR('Reels'!D136="attack",'Reels'!D136="magic"),CHOOSE('Reels'!D137+1,'Slots'!D29,'Slots'!D30,'Slots'!D31,'Slots'!D32,'Slots'!D33),0)+IF(OR('Reels'!D158="attack",'Reels'!D158="magic"),CHOOSE('Reels'!D159+1,'Slots'!D29,'Slots'!D30,'Slots'!D31,'Slots'!D32,'Slots'!D33),0)</f>
        <v>11</v>
      </c>
      <c r="E590">
        <f>IF('Reels'!D124="heal",'Reels'!D125*'Slots'!D24,0)+IF('Reels'!D136="heal",'Reels'!D137*'Slots'!D24,0)+IF('Reels'!D158="heal",'Reels'!D159*'Slots'!D24,0)</f>
        <v>0</v>
      </c>
      <c r="F590">
        <f>IF('Reels'!D124="block",'Reels'!D125*'Slots'!D25,0)+IF('Reels'!D136="block",'Reels'!D137*'Slots'!D25,0)+IF('Reels'!D158="block",'Reels'!D159*'Slots'!D25,0)</f>
        <v>0</v>
      </c>
      <c r="G590" t="b">
        <f>AND('Reels'!D124&lt;&gt;"blank",'Reels'!D124&lt;&gt;"class",'Reels'!D124='Reels'!D158,'Reels'!D125='Reels'!D159,OR('Reels'!D136="class",AND('Reels'!D136='Reels'!D124,'Reels'!D137='Reels'!D125)))</f>
        <v>0</v>
      </c>
      <c r="H590">
        <f>IF(G590,C590,0)</f>
        <v>0</v>
      </c>
    </row>
    <row r="591" spans="1:8" x14ac:dyDescent="0.25">
      <c r="A591" t="s">
        <v>258</v>
      </c>
      <c r="B591" t="s">
        <v>3878</v>
      </c>
      <c r="C591" s="4">
        <f>('Reels'!D126/('Reels'!D120+'Reels'!D123+'Reels'!D126+'Reels'!D129+'Reels'!D132+'Reels'!D135))*('Reels'!D138/('Reels'!D138+'Reels'!D141+'Reels'!D144+'Reels'!D147+'Reels'!D150+'Reels'!D153+'Reels'!D156))*('Reels'!D163/('Reels'!D160+'Reels'!D163+'Reels'!D166+'Reels'!D169+'Reels'!D172+'Reels'!D175))</f>
        <v>0.010099773520230153</v>
      </c>
      <c r="D591">
        <f>IF(OR('Reels'!D124="attack",'Reels'!D124="magic"),CHOOSE('Reels'!D125+1,'Slots'!D29,'Slots'!D30,'Slots'!D31,'Slots'!D32,'Slots'!D33),0)+IF(OR('Reels'!D136="attack",'Reels'!D136="magic"),CHOOSE('Reels'!D137+1,'Slots'!D29,'Slots'!D30,'Slots'!D31,'Slots'!D32,'Slots'!D33),0)+IF(OR('Reels'!D161="attack",'Reels'!D161="magic"),CHOOSE('Reels'!D162+1,'Slots'!D29,'Slots'!D30,'Slots'!D31,'Slots'!D32,'Slots'!D33),0)</f>
        <v>13</v>
      </c>
      <c r="E591">
        <f>IF('Reels'!D124="heal",'Reels'!D125*'Slots'!D24,0)+IF('Reels'!D136="heal",'Reels'!D137*'Slots'!D24,0)+IF('Reels'!D161="heal",'Reels'!D162*'Slots'!D24,0)</f>
        <v>0</v>
      </c>
      <c r="F591">
        <f>IF('Reels'!D124="block",'Reels'!D125*'Slots'!D25,0)+IF('Reels'!D136="block",'Reels'!D137*'Slots'!D25,0)+IF('Reels'!D161="block",'Reels'!D162*'Slots'!D25,0)</f>
        <v>0</v>
      </c>
      <c r="G591" t="b">
        <f>AND('Reels'!D124&lt;&gt;"blank",'Reels'!D124&lt;&gt;"class",'Reels'!D124='Reels'!D161,'Reels'!D125='Reels'!D162,OR('Reels'!D136="class",AND('Reels'!D136='Reels'!D124,'Reels'!D137='Reels'!D125)))</f>
        <v>0</v>
      </c>
      <c r="H591">
        <f>IF(G591,C591,0)</f>
        <v>0</v>
      </c>
    </row>
    <row r="592" spans="1:8" x14ac:dyDescent="0.25">
      <c r="A592" t="s">
        <v>258</v>
      </c>
      <c r="B592" t="s">
        <v>3879</v>
      </c>
      <c r="C592" s="4">
        <f>('Reels'!D126/('Reels'!D120+'Reels'!D123+'Reels'!D126+'Reels'!D129+'Reels'!D132+'Reels'!D135))*('Reels'!D138/('Reels'!D138+'Reels'!D141+'Reels'!D144+'Reels'!D147+'Reels'!D150+'Reels'!D153+'Reels'!D156))*('Reels'!D166/('Reels'!D160+'Reels'!D163+'Reels'!D166+'Reels'!D169+'Reels'!D172+'Reels'!D175))</f>
        <v>0.003029932056069046</v>
      </c>
      <c r="D592">
        <f>IF(OR('Reels'!D124="attack",'Reels'!D124="magic"),CHOOSE('Reels'!D125+1,'Slots'!D29,'Slots'!D30,'Slots'!D31,'Slots'!D32,'Slots'!D33),0)+IF(OR('Reels'!D136="attack",'Reels'!D136="magic"),CHOOSE('Reels'!D137+1,'Slots'!D29,'Slots'!D30,'Slots'!D31,'Slots'!D32,'Slots'!D33),0)+IF(OR('Reels'!D164="attack",'Reels'!D164="magic"),CHOOSE('Reels'!D165+1,'Slots'!D29,'Slots'!D30,'Slots'!D31,'Slots'!D32,'Slots'!D33),0)</f>
        <v>16</v>
      </c>
      <c r="E592">
        <f>IF('Reels'!D124="heal",'Reels'!D125*'Slots'!D24,0)+IF('Reels'!D136="heal",'Reels'!D137*'Slots'!D24,0)+IF('Reels'!D164="heal",'Reels'!D165*'Slots'!D24,0)</f>
        <v>0</v>
      </c>
      <c r="F592">
        <f>IF('Reels'!D124="block",'Reels'!D125*'Slots'!D25,0)+IF('Reels'!D136="block",'Reels'!D137*'Slots'!D25,0)+IF('Reels'!D164="block",'Reels'!D165*'Slots'!D25,0)</f>
        <v>0</v>
      </c>
      <c r="G592" t="b">
        <f>AND('Reels'!D124&lt;&gt;"blank",'Reels'!D124&lt;&gt;"class",'Reels'!D124='Reels'!D164,'Reels'!D125='Reels'!D165,OR('Reels'!D136="class",AND('Reels'!D136='Reels'!D124,'Reels'!D137='Reels'!D125)))</f>
        <v>0</v>
      </c>
      <c r="H592">
        <f>IF(G592,C592,0)</f>
        <v>0</v>
      </c>
    </row>
    <row r="593" spans="1:8" x14ac:dyDescent="0.25">
      <c r="A593" t="s">
        <v>258</v>
      </c>
      <c r="B593" t="s">
        <v>3880</v>
      </c>
      <c r="C593" s="4">
        <f>('Reels'!D126/('Reels'!D120+'Reels'!D123+'Reels'!D126+'Reels'!D129+'Reels'!D132+'Reels'!D135))*('Reels'!D138/('Reels'!D138+'Reels'!D141+'Reels'!D144+'Reels'!D147+'Reels'!D150+'Reels'!D153+'Reels'!D156))*('Reels'!D169/('Reels'!D160+'Reels'!D163+'Reels'!D166+'Reels'!D169+'Reels'!D172+'Reels'!D175))</f>
        <v>0.0020199547040460307</v>
      </c>
      <c r="D593">
        <f>IF(OR('Reels'!D124="attack",'Reels'!D124="magic"),CHOOSE('Reels'!D125+1,'Slots'!D29,'Slots'!D30,'Slots'!D31,'Slots'!D32,'Slots'!D33),0)+IF(OR('Reels'!D136="attack",'Reels'!D136="magic"),CHOOSE('Reels'!D137+1,'Slots'!D29,'Slots'!D30,'Slots'!D31,'Slots'!D32,'Slots'!D33),0)+IF(OR('Reels'!D167="attack",'Reels'!D167="magic"),CHOOSE('Reels'!D168+1,'Slots'!D29,'Slots'!D30,'Slots'!D31,'Slots'!D32,'Slots'!D33),0)</f>
        <v>9</v>
      </c>
      <c r="E593">
        <f>IF('Reels'!D124="heal",'Reels'!D125*'Slots'!D24,0)+IF('Reels'!D136="heal",'Reels'!D137*'Slots'!D24,0)+IF('Reels'!D167="heal",'Reels'!D168*'Slots'!D24,0)</f>
        <v>0</v>
      </c>
      <c r="F593">
        <f>IF('Reels'!D124="block",'Reels'!D125*'Slots'!D25,0)+IF('Reels'!D136="block",'Reels'!D137*'Slots'!D25,0)+IF('Reels'!D167="block",'Reels'!D168*'Slots'!D25,0)</f>
        <v>0</v>
      </c>
      <c r="G593" t="b">
        <f>AND('Reels'!D124&lt;&gt;"blank",'Reels'!D124&lt;&gt;"class",'Reels'!D124='Reels'!D167,'Reels'!D125='Reels'!D168,OR('Reels'!D136="class",AND('Reels'!D136='Reels'!D124,'Reels'!D137='Reels'!D125)))</f>
        <v>0</v>
      </c>
      <c r="H593">
        <f>IF(G593,C593,0)</f>
        <v>0</v>
      </c>
    </row>
    <row r="594" spans="1:8" x14ac:dyDescent="0.25">
      <c r="A594" t="s">
        <v>258</v>
      </c>
      <c r="B594" t="s">
        <v>3881</v>
      </c>
      <c r="C594" s="4">
        <f>('Reels'!D126/('Reels'!D120+'Reels'!D123+'Reels'!D126+'Reels'!D129+'Reels'!D132+'Reels'!D135))*('Reels'!D138/('Reels'!D138+'Reels'!D141+'Reels'!D144+'Reels'!D147+'Reels'!D150+'Reels'!D153+'Reels'!D156))*('Reels'!D172/('Reels'!D160+'Reels'!D163+'Reels'!D166+'Reels'!D169+'Reels'!D172+'Reels'!D175))</f>
        <v>0.0010099773520230153</v>
      </c>
      <c r="D594">
        <f>IF(OR('Reels'!D124="attack",'Reels'!D124="magic"),CHOOSE('Reels'!D125+1,'Slots'!D29,'Slots'!D30,'Slots'!D31,'Slots'!D32,'Slots'!D33),0)+IF(OR('Reels'!D136="attack",'Reels'!D136="magic"),CHOOSE('Reels'!D137+1,'Slots'!D29,'Slots'!D30,'Slots'!D31,'Slots'!D32,'Slots'!D33),0)+IF(OR('Reels'!D170="attack",'Reels'!D170="magic"),CHOOSE('Reels'!D171+1,'Slots'!D29,'Slots'!D30,'Slots'!D31,'Slots'!D32,'Slots'!D33),0)</f>
        <v>9</v>
      </c>
      <c r="E594">
        <f>IF('Reels'!D124="heal",'Reels'!D125*'Slots'!D24,0)+IF('Reels'!D136="heal",'Reels'!D137*'Slots'!D24,0)+IF('Reels'!D170="heal",'Reels'!D171*'Slots'!D24,0)</f>
        <v>0</v>
      </c>
      <c r="F594">
        <f>IF('Reels'!D124="block",'Reels'!D125*'Slots'!D25,0)+IF('Reels'!D136="block",'Reels'!D137*'Slots'!D25,0)+IF('Reels'!D170="block",'Reels'!D171*'Slots'!D25,0)</f>
        <v>1</v>
      </c>
      <c r="G594" t="b">
        <f>AND('Reels'!D124&lt;&gt;"blank",'Reels'!D124&lt;&gt;"class",'Reels'!D124='Reels'!D170,'Reels'!D125='Reels'!D171,OR('Reels'!D136="class",AND('Reels'!D136='Reels'!D124,'Reels'!D137='Reels'!D125)))</f>
        <v>0</v>
      </c>
      <c r="H594">
        <f>IF(G594,C594,0)</f>
        <v>0</v>
      </c>
    </row>
    <row r="595" spans="1:8" x14ac:dyDescent="0.25">
      <c r="A595" t="s">
        <v>258</v>
      </c>
      <c r="B595" t="s">
        <v>3882</v>
      </c>
      <c r="C595" s="4">
        <f>('Reels'!D126/('Reels'!D120+'Reels'!D123+'Reels'!D126+'Reels'!D129+'Reels'!D132+'Reels'!D135))*('Reels'!D138/('Reels'!D138+'Reels'!D141+'Reels'!D144+'Reels'!D147+'Reels'!D150+'Reels'!D153+'Reels'!D156))*('Reels'!D175/('Reels'!D160+'Reels'!D163+'Reels'!D166+'Reels'!D169+'Reels'!D172+'Reels'!D175))</f>
        <v>0.004039909408092061</v>
      </c>
      <c r="D595">
        <f>IF(OR('Reels'!D124="attack",'Reels'!D124="magic"),CHOOSE('Reels'!D125+1,'Slots'!D29,'Slots'!D30,'Slots'!D31,'Slots'!D32,'Slots'!D33),0)+IF(OR('Reels'!D136="attack",'Reels'!D136="magic"),CHOOSE('Reels'!D137+1,'Slots'!D29,'Slots'!D30,'Slots'!D31,'Slots'!D32,'Slots'!D33),0)+IF(OR('Reels'!D173="attack",'Reels'!D173="magic"),CHOOSE('Reels'!D174+1,'Slots'!D29,'Slots'!D30,'Slots'!D31,'Slots'!D32,'Slots'!D33),0)</f>
        <v>9</v>
      </c>
      <c r="E595">
        <f>IF('Reels'!D124="heal",'Reels'!D125*'Slots'!D24,0)+IF('Reels'!D136="heal",'Reels'!D137*'Slots'!D24,0)+IF('Reels'!D173="heal",'Reels'!D174*'Slots'!D24,0)</f>
        <v>0</v>
      </c>
      <c r="F595">
        <f>IF('Reels'!D124="block",'Reels'!D125*'Slots'!D25,0)+IF('Reels'!D136="block",'Reels'!D137*'Slots'!D25,0)+IF('Reels'!D173="block",'Reels'!D174*'Slots'!D25,0)</f>
        <v>0</v>
      </c>
      <c r="G595" t="b">
        <f>AND('Reels'!D124&lt;&gt;"blank",'Reels'!D124&lt;&gt;"class",'Reels'!D124='Reels'!D173,'Reels'!D125='Reels'!D174,OR('Reels'!D136="class",AND('Reels'!D136='Reels'!D124,'Reels'!D137='Reels'!D125)))</f>
        <v>0</v>
      </c>
      <c r="H595">
        <f>IF(G595,C595,0)</f>
        <v>0</v>
      </c>
    </row>
    <row r="596" spans="1:8" x14ac:dyDescent="0.25">
      <c r="A596" t="s">
        <v>258</v>
      </c>
      <c r="B596" t="s">
        <v>3883</v>
      </c>
      <c r="C596" s="4">
        <f>('Reels'!D126/('Reels'!D120+'Reels'!D123+'Reels'!D126+'Reels'!D129+'Reels'!D132+'Reels'!D135))*('Reels'!D141/('Reels'!D138+'Reels'!D141+'Reels'!D144+'Reels'!D147+'Reels'!D150+'Reels'!D153+'Reels'!D156))*('Reels'!D160/('Reels'!D160+'Reels'!D163+'Reels'!D166+'Reels'!D169+'Reels'!D172+'Reels'!D175))</f>
        <v>0.010099773520230153</v>
      </c>
      <c r="D596">
        <f>IF(OR('Reels'!D124="attack",'Reels'!D124="magic"),CHOOSE('Reels'!D125+1,'Slots'!D29,'Slots'!D30,'Slots'!D31,'Slots'!D32,'Slots'!D33),0)+IF(OR('Reels'!D139="attack",'Reels'!D139="magic"),CHOOSE('Reels'!D140+1,'Slots'!D29,'Slots'!D30,'Slots'!D31,'Slots'!D32,'Slots'!D33),0)+IF(OR('Reels'!D158="attack",'Reels'!D158="magic"),CHOOSE('Reels'!D159+1,'Slots'!D29,'Slots'!D30,'Slots'!D31,'Slots'!D32,'Slots'!D33),0)</f>
        <v>13</v>
      </c>
      <c r="E596">
        <f>IF('Reels'!D124="heal",'Reels'!D125*'Slots'!D24,0)+IF('Reels'!D139="heal",'Reels'!D140*'Slots'!D24,0)+IF('Reels'!D158="heal",'Reels'!D159*'Slots'!D24,0)</f>
        <v>0</v>
      </c>
      <c r="F596">
        <f>IF('Reels'!D124="block",'Reels'!D125*'Slots'!D25,0)+IF('Reels'!D139="block",'Reels'!D140*'Slots'!D25,0)+IF('Reels'!D158="block",'Reels'!D159*'Slots'!D25,0)</f>
        <v>0</v>
      </c>
      <c r="G596" t="b">
        <f>AND('Reels'!D124&lt;&gt;"blank",'Reels'!D124&lt;&gt;"class",'Reels'!D124='Reels'!D158,'Reels'!D125='Reels'!D159,OR('Reels'!D139="class",AND('Reels'!D139='Reels'!D124,'Reels'!D140='Reels'!D125)))</f>
        <v>0</v>
      </c>
      <c r="H596">
        <f>IF(G596,C596,0)</f>
        <v>0</v>
      </c>
    </row>
    <row r="597" spans="1:8" x14ac:dyDescent="0.25">
      <c r="A597" t="s">
        <v>258</v>
      </c>
      <c r="B597" t="s">
        <v>3884</v>
      </c>
      <c r="C597" s="4">
        <f>('Reels'!D126/('Reels'!D120+'Reels'!D123+'Reels'!D126+'Reels'!D129+'Reels'!D132+'Reels'!D135))*('Reels'!D141/('Reels'!D138+'Reels'!D141+'Reels'!D144+'Reels'!D147+'Reels'!D150+'Reels'!D153+'Reels'!D156))*('Reels'!D163/('Reels'!D160+'Reels'!D163+'Reels'!D166+'Reels'!D169+'Reels'!D172+'Reels'!D175))</f>
        <v>0.009181612291118321</v>
      </c>
      <c r="D597">
        <f>IF(OR('Reels'!D124="attack",'Reels'!D124="magic"),CHOOSE('Reels'!D125+1,'Slots'!D29,'Slots'!D30,'Slots'!D31,'Slots'!D32,'Slots'!D33),0)+IF(OR('Reels'!D139="attack",'Reels'!D139="magic"),CHOOSE('Reels'!D140+1,'Slots'!D29,'Slots'!D30,'Slots'!D31,'Slots'!D32,'Slots'!D33),0)+IF(OR('Reels'!D161="attack",'Reels'!D161="magic"),CHOOSE('Reels'!D162+1,'Slots'!D29,'Slots'!D30,'Slots'!D31,'Slots'!D32,'Slots'!D33),0)</f>
        <v>15</v>
      </c>
      <c r="E597">
        <f>IF('Reels'!D124="heal",'Reels'!D125*'Slots'!D24,0)+IF('Reels'!D139="heal",'Reels'!D140*'Slots'!D24,0)+IF('Reels'!D161="heal",'Reels'!D162*'Slots'!D24,0)</f>
        <v>0</v>
      </c>
      <c r="F597">
        <f>IF('Reels'!D124="block",'Reels'!D125*'Slots'!D25,0)+IF('Reels'!D139="block",'Reels'!D140*'Slots'!D25,0)+IF('Reels'!D161="block",'Reels'!D162*'Slots'!D25,0)</f>
        <v>0</v>
      </c>
      <c r="G597" t="b">
        <f>AND('Reels'!D124&lt;&gt;"blank",'Reels'!D124&lt;&gt;"class",'Reels'!D124='Reels'!D161,'Reels'!D125='Reels'!D162,OR('Reels'!D139="class",AND('Reels'!D139='Reels'!D124,'Reels'!D140='Reels'!D125)))</f>
        <v>0</v>
      </c>
      <c r="H597">
        <f>IF(G597,C597,0)</f>
        <v>0</v>
      </c>
    </row>
    <row r="598" spans="1:8" x14ac:dyDescent="0.25">
      <c r="A598" t="s">
        <v>258</v>
      </c>
      <c r="B598" t="s">
        <v>3885</v>
      </c>
      <c r="C598" s="4">
        <f>('Reels'!D126/('Reels'!D120+'Reels'!D123+'Reels'!D126+'Reels'!D129+'Reels'!D132+'Reels'!D135))*('Reels'!D141/('Reels'!D138+'Reels'!D141+'Reels'!D144+'Reels'!D147+'Reels'!D150+'Reels'!D153+'Reels'!D156))*('Reels'!D166/('Reels'!D160+'Reels'!D163+'Reels'!D166+'Reels'!D169+'Reels'!D172+'Reels'!D175))</f>
        <v>0.002754483687335496</v>
      </c>
      <c r="D598">
        <f>IF(OR('Reels'!D124="attack",'Reels'!D124="magic"),CHOOSE('Reels'!D125+1,'Slots'!D29,'Slots'!D30,'Slots'!D31,'Slots'!D32,'Slots'!D33),0)+IF(OR('Reels'!D139="attack",'Reels'!D139="magic"),CHOOSE('Reels'!D140+1,'Slots'!D29,'Slots'!D30,'Slots'!D31,'Slots'!D32,'Slots'!D33),0)+IF(OR('Reels'!D164="attack",'Reels'!D164="magic"),CHOOSE('Reels'!D165+1,'Slots'!D29,'Slots'!D30,'Slots'!D31,'Slots'!D32,'Slots'!D33),0)</f>
        <v>18</v>
      </c>
      <c r="E598">
        <f>IF('Reels'!D124="heal",'Reels'!D125*'Slots'!D24,0)+IF('Reels'!D139="heal",'Reels'!D140*'Slots'!D24,0)+IF('Reels'!D164="heal",'Reels'!D165*'Slots'!D24,0)</f>
        <v>0</v>
      </c>
      <c r="F598">
        <f>IF('Reels'!D124="block",'Reels'!D125*'Slots'!D25,0)+IF('Reels'!D139="block",'Reels'!D140*'Slots'!D25,0)+IF('Reels'!D164="block",'Reels'!D165*'Slots'!D25,0)</f>
        <v>0</v>
      </c>
      <c r="G598" t="b">
        <f>AND('Reels'!D124&lt;&gt;"blank",'Reels'!D124&lt;&gt;"class",'Reels'!D124='Reels'!D164,'Reels'!D125='Reels'!D165,OR('Reels'!D139="class",AND('Reels'!D139='Reels'!D124,'Reels'!D140='Reels'!D125)))</f>
        <v>0</v>
      </c>
      <c r="H598">
        <f>IF(G598,C598,0)</f>
        <v>0</v>
      </c>
    </row>
    <row r="599" spans="1:8" x14ac:dyDescent="0.25">
      <c r="A599" t="s">
        <v>258</v>
      </c>
      <c r="B599" t="s">
        <v>3886</v>
      </c>
      <c r="C599" s="4">
        <f>('Reels'!D126/('Reels'!D120+'Reels'!D123+'Reels'!D126+'Reels'!D129+'Reels'!D132+'Reels'!D135))*('Reels'!D141/('Reels'!D138+'Reels'!D141+'Reels'!D144+'Reels'!D147+'Reels'!D150+'Reels'!D153+'Reels'!D156))*('Reels'!D169/('Reels'!D160+'Reels'!D163+'Reels'!D166+'Reels'!D169+'Reels'!D172+'Reels'!D175))</f>
        <v>0.0018363224582236641</v>
      </c>
      <c r="D599">
        <f>IF(OR('Reels'!D124="attack",'Reels'!D124="magic"),CHOOSE('Reels'!D125+1,'Slots'!D29,'Slots'!D30,'Slots'!D31,'Slots'!D32,'Slots'!D33),0)+IF(OR('Reels'!D139="attack",'Reels'!D139="magic"),CHOOSE('Reels'!D140+1,'Slots'!D29,'Slots'!D30,'Slots'!D31,'Slots'!D32,'Slots'!D33),0)+IF(OR('Reels'!D167="attack",'Reels'!D167="magic"),CHOOSE('Reels'!D168+1,'Slots'!D29,'Slots'!D30,'Slots'!D31,'Slots'!D32,'Slots'!D33),0)</f>
        <v>11</v>
      </c>
      <c r="E599">
        <f>IF('Reels'!D124="heal",'Reels'!D125*'Slots'!D24,0)+IF('Reels'!D139="heal",'Reels'!D140*'Slots'!D24,0)+IF('Reels'!D167="heal",'Reels'!D168*'Slots'!D24,0)</f>
        <v>0</v>
      </c>
      <c r="F599">
        <f>IF('Reels'!D124="block",'Reels'!D125*'Slots'!D25,0)+IF('Reels'!D139="block",'Reels'!D140*'Slots'!D25,0)+IF('Reels'!D167="block",'Reels'!D168*'Slots'!D25,0)</f>
        <v>0</v>
      </c>
      <c r="G599" t="b">
        <f>AND('Reels'!D124&lt;&gt;"blank",'Reels'!D124&lt;&gt;"class",'Reels'!D124='Reels'!D167,'Reels'!D125='Reels'!D168,OR('Reels'!D139="class",AND('Reels'!D139='Reels'!D124,'Reels'!D140='Reels'!D125)))</f>
        <v>0</v>
      </c>
      <c r="H599">
        <f>IF(G599,C599,0)</f>
        <v>0</v>
      </c>
    </row>
    <row r="600" spans="1:8" x14ac:dyDescent="0.25">
      <c r="A600" t="s">
        <v>258</v>
      </c>
      <c r="B600" t="s">
        <v>3887</v>
      </c>
      <c r="C600" s="4">
        <f>('Reels'!D126/('Reels'!D120+'Reels'!D123+'Reels'!D126+'Reels'!D129+'Reels'!D132+'Reels'!D135))*('Reels'!D141/('Reels'!D138+'Reels'!D141+'Reels'!D144+'Reels'!D147+'Reels'!D150+'Reels'!D153+'Reels'!D156))*('Reels'!D172/('Reels'!D160+'Reels'!D163+'Reels'!D166+'Reels'!D169+'Reels'!D172+'Reels'!D175))</f>
        <v>0.0009181612291118321</v>
      </c>
      <c r="D600">
        <f>IF(OR('Reels'!D124="attack",'Reels'!D124="magic"),CHOOSE('Reels'!D125+1,'Slots'!D29,'Slots'!D30,'Slots'!D31,'Slots'!D32,'Slots'!D33),0)+IF(OR('Reels'!D139="attack",'Reels'!D139="magic"),CHOOSE('Reels'!D140+1,'Slots'!D29,'Slots'!D30,'Slots'!D31,'Slots'!D32,'Slots'!D33),0)+IF(OR('Reels'!D170="attack",'Reels'!D170="magic"),CHOOSE('Reels'!D171+1,'Slots'!D29,'Slots'!D30,'Slots'!D31,'Slots'!D32,'Slots'!D33),0)</f>
        <v>11</v>
      </c>
      <c r="E600">
        <f>IF('Reels'!D124="heal",'Reels'!D125*'Slots'!D24,0)+IF('Reels'!D139="heal",'Reels'!D140*'Slots'!D24,0)+IF('Reels'!D170="heal",'Reels'!D171*'Slots'!D24,0)</f>
        <v>0</v>
      </c>
      <c r="F600">
        <f>IF('Reels'!D124="block",'Reels'!D125*'Slots'!D25,0)+IF('Reels'!D139="block",'Reels'!D140*'Slots'!D25,0)+IF('Reels'!D170="block",'Reels'!D171*'Slots'!D25,0)</f>
        <v>1</v>
      </c>
      <c r="G600" t="b">
        <f>AND('Reels'!D124&lt;&gt;"blank",'Reels'!D124&lt;&gt;"class",'Reels'!D124='Reels'!D170,'Reels'!D125='Reels'!D171,OR('Reels'!D139="class",AND('Reels'!D139='Reels'!D124,'Reels'!D140='Reels'!D125)))</f>
        <v>0</v>
      </c>
      <c r="H600">
        <f>IF(G600,C600,0)</f>
        <v>0</v>
      </c>
    </row>
    <row r="601" spans="1:8" x14ac:dyDescent="0.25">
      <c r="A601" t="s">
        <v>258</v>
      </c>
      <c r="B601" t="s">
        <v>3888</v>
      </c>
      <c r="C601" s="4">
        <f>('Reels'!D126/('Reels'!D120+'Reels'!D123+'Reels'!D126+'Reels'!D129+'Reels'!D132+'Reels'!D135))*('Reels'!D141/('Reels'!D138+'Reels'!D141+'Reels'!D144+'Reels'!D147+'Reels'!D150+'Reels'!D153+'Reels'!D156))*('Reels'!D175/('Reels'!D160+'Reels'!D163+'Reels'!D166+'Reels'!D169+'Reels'!D172+'Reels'!D175))</f>
        <v>0.0036726449164473283</v>
      </c>
      <c r="D601">
        <f>IF(OR('Reels'!D124="attack",'Reels'!D124="magic"),CHOOSE('Reels'!D125+1,'Slots'!D29,'Slots'!D30,'Slots'!D31,'Slots'!D32,'Slots'!D33),0)+IF(OR('Reels'!D139="attack",'Reels'!D139="magic"),CHOOSE('Reels'!D140+1,'Slots'!D29,'Slots'!D30,'Slots'!D31,'Slots'!D32,'Slots'!D33),0)+IF(OR('Reels'!D173="attack",'Reels'!D173="magic"),CHOOSE('Reels'!D174+1,'Slots'!D29,'Slots'!D30,'Slots'!D31,'Slots'!D32,'Slots'!D33),0)</f>
        <v>11</v>
      </c>
      <c r="E601">
        <f>IF('Reels'!D124="heal",'Reels'!D125*'Slots'!D24,0)+IF('Reels'!D139="heal",'Reels'!D140*'Slots'!D24,0)+IF('Reels'!D173="heal",'Reels'!D174*'Slots'!D24,0)</f>
        <v>0</v>
      </c>
      <c r="F601">
        <f>IF('Reels'!D124="block",'Reels'!D125*'Slots'!D25,0)+IF('Reels'!D139="block",'Reels'!D140*'Slots'!D25,0)+IF('Reels'!D173="block",'Reels'!D174*'Slots'!D25,0)</f>
        <v>0</v>
      </c>
      <c r="G601" t="b">
        <f>AND('Reels'!D124&lt;&gt;"blank",'Reels'!D124&lt;&gt;"class",'Reels'!D124='Reels'!D173,'Reels'!D125='Reels'!D174,OR('Reels'!D139="class",AND('Reels'!D139='Reels'!D124,'Reels'!D140='Reels'!D125)))</f>
        <v>0</v>
      </c>
      <c r="H601">
        <f>IF(G601,C601,0)</f>
        <v>0</v>
      </c>
    </row>
    <row r="602" spans="1:8" x14ac:dyDescent="0.25">
      <c r="A602" t="s">
        <v>258</v>
      </c>
      <c r="B602" t="s">
        <v>3889</v>
      </c>
      <c r="C602" s="4">
        <f>('Reels'!D126/('Reels'!D120+'Reels'!D123+'Reels'!D126+'Reels'!D129+'Reels'!D132+'Reels'!D135))*('Reels'!D144/('Reels'!D138+'Reels'!D141+'Reels'!D144+'Reels'!D147+'Reels'!D150+'Reels'!D153+'Reels'!D156))*('Reels'!D160/('Reels'!D160+'Reels'!D163+'Reels'!D166+'Reels'!D169+'Reels'!D172+'Reels'!D175))</f>
        <v>0.003029932056069045</v>
      </c>
      <c r="D602">
        <f>IF(OR('Reels'!D124="attack",'Reels'!D124="magic"),CHOOSE('Reels'!D125+1,'Slots'!D29,'Slots'!D30,'Slots'!D31,'Slots'!D32,'Slots'!D33),0)+IF(OR('Reels'!D142="attack",'Reels'!D142="magic"),CHOOSE('Reels'!D143+1,'Slots'!D29,'Slots'!D30,'Slots'!D31,'Slots'!D32,'Slots'!D33),0)+IF(OR('Reels'!D158="attack",'Reels'!D158="magic"),CHOOSE('Reels'!D159+1,'Slots'!D29,'Slots'!D30,'Slots'!D31,'Slots'!D32,'Slots'!D33),0)</f>
        <v>16</v>
      </c>
      <c r="E602">
        <f>IF('Reels'!D124="heal",'Reels'!D125*'Slots'!D24,0)+IF('Reels'!D142="heal",'Reels'!D143*'Slots'!D24,0)+IF('Reels'!D158="heal",'Reels'!D159*'Slots'!D24,0)</f>
        <v>0</v>
      </c>
      <c r="F602">
        <f>IF('Reels'!D124="block",'Reels'!D125*'Slots'!D25,0)+IF('Reels'!D142="block",'Reels'!D143*'Slots'!D25,0)+IF('Reels'!D158="block",'Reels'!D159*'Slots'!D25,0)</f>
        <v>0</v>
      </c>
      <c r="G602" t="b">
        <f>AND('Reels'!D124&lt;&gt;"blank",'Reels'!D124&lt;&gt;"class",'Reels'!D124='Reels'!D158,'Reels'!D125='Reels'!D159,OR('Reels'!D142="class",AND('Reels'!D142='Reels'!D124,'Reels'!D143='Reels'!D125)))</f>
        <v>0</v>
      </c>
      <c r="H602">
        <f>IF(G602,C602,0)</f>
        <v>0</v>
      </c>
    </row>
    <row r="603" spans="1:8" x14ac:dyDescent="0.25">
      <c r="A603" t="s">
        <v>258</v>
      </c>
      <c r="B603" t="s">
        <v>3890</v>
      </c>
      <c r="C603" s="4">
        <f>('Reels'!D126/('Reels'!D120+'Reels'!D123+'Reels'!D126+'Reels'!D129+'Reels'!D132+'Reels'!D135))*('Reels'!D144/('Reels'!D138+'Reels'!D141+'Reels'!D144+'Reels'!D147+'Reels'!D150+'Reels'!D153+'Reels'!D156))*('Reels'!D163/('Reels'!D160+'Reels'!D163+'Reels'!D166+'Reels'!D169+'Reels'!D172+'Reels'!D175))</f>
        <v>0.0027544836873354957</v>
      </c>
      <c r="D603">
        <f>IF(OR('Reels'!D124="attack",'Reels'!D124="magic"),CHOOSE('Reels'!D125+1,'Slots'!D29,'Slots'!D30,'Slots'!D31,'Slots'!D32,'Slots'!D33),0)+IF(OR('Reels'!D142="attack",'Reels'!D142="magic"),CHOOSE('Reels'!D143+1,'Slots'!D29,'Slots'!D30,'Slots'!D31,'Slots'!D32,'Slots'!D33),0)+IF(OR('Reels'!D161="attack",'Reels'!D161="magic"),CHOOSE('Reels'!D162+1,'Slots'!D29,'Slots'!D30,'Slots'!D31,'Slots'!D32,'Slots'!D33),0)</f>
        <v>18</v>
      </c>
      <c r="E603">
        <f>IF('Reels'!D124="heal",'Reels'!D125*'Slots'!D24,0)+IF('Reels'!D142="heal",'Reels'!D143*'Slots'!D24,0)+IF('Reels'!D161="heal",'Reels'!D162*'Slots'!D24,0)</f>
        <v>0</v>
      </c>
      <c r="F603">
        <f>IF('Reels'!D124="block",'Reels'!D125*'Slots'!D25,0)+IF('Reels'!D142="block",'Reels'!D143*'Slots'!D25,0)+IF('Reels'!D161="block",'Reels'!D162*'Slots'!D25,0)</f>
        <v>0</v>
      </c>
      <c r="G603" t="b">
        <f>AND('Reels'!D124&lt;&gt;"blank",'Reels'!D124&lt;&gt;"class",'Reels'!D124='Reels'!D161,'Reels'!D125='Reels'!D162,OR('Reels'!D142="class",AND('Reels'!D142='Reels'!D124,'Reels'!D143='Reels'!D125)))</f>
        <v>0</v>
      </c>
      <c r="H603">
        <f>IF(G603,C603,0)</f>
        <v>0</v>
      </c>
    </row>
    <row r="604" spans="1:8" x14ac:dyDescent="0.25">
      <c r="A604" t="s">
        <v>258</v>
      </c>
      <c r="B604" t="s">
        <v>3891</v>
      </c>
      <c r="C604" s="4">
        <f>('Reels'!D126/('Reels'!D120+'Reels'!D123+'Reels'!D126+'Reels'!D129+'Reels'!D132+'Reels'!D135))*('Reels'!D144/('Reels'!D138+'Reels'!D141+'Reels'!D144+'Reels'!D147+'Reels'!D150+'Reels'!D153+'Reels'!D156))*('Reels'!D166/('Reels'!D160+'Reels'!D163+'Reels'!D166+'Reels'!D169+'Reels'!D172+'Reels'!D175))</f>
        <v>0.0008263451062006487</v>
      </c>
      <c r="D604">
        <f>IF(OR('Reels'!D124="attack",'Reels'!D124="magic"),CHOOSE('Reels'!D125+1,'Slots'!D29,'Slots'!D30,'Slots'!D31,'Slots'!D32,'Slots'!D33),0)+IF(OR('Reels'!D142="attack",'Reels'!D142="magic"),CHOOSE('Reels'!D143+1,'Slots'!D29,'Slots'!D30,'Slots'!D31,'Slots'!D32,'Slots'!D33),0)+IF(OR('Reels'!D164="attack",'Reels'!D164="magic"),CHOOSE('Reels'!D165+1,'Slots'!D29,'Slots'!D30,'Slots'!D31,'Slots'!D32,'Slots'!D33),0)</f>
        <v>21</v>
      </c>
      <c r="E604">
        <f>IF('Reels'!D124="heal",'Reels'!D125*'Slots'!D24,0)+IF('Reels'!D142="heal",'Reels'!D143*'Slots'!D24,0)+IF('Reels'!D164="heal",'Reels'!D165*'Slots'!D24,0)</f>
        <v>0</v>
      </c>
      <c r="F604">
        <f>IF('Reels'!D124="block",'Reels'!D125*'Slots'!D25,0)+IF('Reels'!D142="block",'Reels'!D143*'Slots'!D25,0)+IF('Reels'!D164="block",'Reels'!D165*'Slots'!D25,0)</f>
        <v>0</v>
      </c>
      <c r="G604" t="b">
        <f>AND('Reels'!D124&lt;&gt;"blank",'Reels'!D124&lt;&gt;"class",'Reels'!D124='Reels'!D164,'Reels'!D125='Reels'!D165,OR('Reels'!D142="class",AND('Reels'!D142='Reels'!D124,'Reels'!D143='Reels'!D125)))</f>
        <v>1</v>
      </c>
      <c r="H604">
        <f>IF(G604,C604,0)</f>
        <v>0.0008263451062006487</v>
      </c>
    </row>
    <row r="605" spans="1:8" x14ac:dyDescent="0.25">
      <c r="A605" t="s">
        <v>258</v>
      </c>
      <c r="B605" t="s">
        <v>3892</v>
      </c>
      <c r="C605" s="4">
        <f>('Reels'!D126/('Reels'!D120+'Reels'!D123+'Reels'!D126+'Reels'!D129+'Reels'!D132+'Reels'!D135))*('Reels'!D144/('Reels'!D138+'Reels'!D141+'Reels'!D144+'Reels'!D147+'Reels'!D150+'Reels'!D153+'Reels'!D156))*('Reels'!D169/('Reels'!D160+'Reels'!D163+'Reels'!D166+'Reels'!D169+'Reels'!D172+'Reels'!D175))</f>
        <v>0.0005508967374670992</v>
      </c>
      <c r="D605">
        <f>IF(OR('Reels'!D124="attack",'Reels'!D124="magic"),CHOOSE('Reels'!D125+1,'Slots'!D29,'Slots'!D30,'Slots'!D31,'Slots'!D32,'Slots'!D33),0)+IF(OR('Reels'!D142="attack",'Reels'!D142="magic"),CHOOSE('Reels'!D143+1,'Slots'!D29,'Slots'!D30,'Slots'!D31,'Slots'!D32,'Slots'!D33),0)+IF(OR('Reels'!D167="attack",'Reels'!D167="magic"),CHOOSE('Reels'!D168+1,'Slots'!D29,'Slots'!D30,'Slots'!D31,'Slots'!D32,'Slots'!D33),0)</f>
        <v>14</v>
      </c>
      <c r="E605">
        <f>IF('Reels'!D124="heal",'Reels'!D125*'Slots'!D24,0)+IF('Reels'!D142="heal",'Reels'!D143*'Slots'!D24,0)+IF('Reels'!D167="heal",'Reels'!D168*'Slots'!D24,0)</f>
        <v>0</v>
      </c>
      <c r="F605">
        <f>IF('Reels'!D124="block",'Reels'!D125*'Slots'!D25,0)+IF('Reels'!D142="block",'Reels'!D143*'Slots'!D25,0)+IF('Reels'!D167="block",'Reels'!D168*'Slots'!D25,0)</f>
        <v>0</v>
      </c>
      <c r="G605" t="b">
        <f>AND('Reels'!D124&lt;&gt;"blank",'Reels'!D124&lt;&gt;"class",'Reels'!D124='Reels'!D167,'Reels'!D125='Reels'!D168,OR('Reels'!D142="class",AND('Reels'!D142='Reels'!D124,'Reels'!D143='Reels'!D125)))</f>
        <v>0</v>
      </c>
      <c r="H605">
        <f>IF(G605,C605,0)</f>
        <v>0</v>
      </c>
    </row>
    <row r="606" spans="1:8" x14ac:dyDescent="0.25">
      <c r="A606" t="s">
        <v>258</v>
      </c>
      <c r="B606" t="s">
        <v>3893</v>
      </c>
      <c r="C606" s="4">
        <f>('Reels'!D126/('Reels'!D120+'Reels'!D123+'Reels'!D126+'Reels'!D129+'Reels'!D132+'Reels'!D135))*('Reels'!D144/('Reels'!D138+'Reels'!D141+'Reels'!D144+'Reels'!D147+'Reels'!D150+'Reels'!D153+'Reels'!D156))*('Reels'!D172/('Reels'!D160+'Reels'!D163+'Reels'!D166+'Reels'!D169+'Reels'!D172+'Reels'!D175))</f>
        <v>0.0002754483687335496</v>
      </c>
      <c r="D606">
        <f>IF(OR('Reels'!D124="attack",'Reels'!D124="magic"),CHOOSE('Reels'!D125+1,'Slots'!D29,'Slots'!D30,'Slots'!D31,'Slots'!D32,'Slots'!D33),0)+IF(OR('Reels'!D142="attack",'Reels'!D142="magic"),CHOOSE('Reels'!D143+1,'Slots'!D29,'Slots'!D30,'Slots'!D31,'Slots'!D32,'Slots'!D33),0)+IF(OR('Reels'!D170="attack",'Reels'!D170="magic"),CHOOSE('Reels'!D171+1,'Slots'!D29,'Slots'!D30,'Slots'!D31,'Slots'!D32,'Slots'!D33),0)</f>
        <v>14</v>
      </c>
      <c r="E606">
        <f>IF('Reels'!D124="heal",'Reels'!D125*'Slots'!D24,0)+IF('Reels'!D142="heal",'Reels'!D143*'Slots'!D24,0)+IF('Reels'!D170="heal",'Reels'!D171*'Slots'!D24,0)</f>
        <v>0</v>
      </c>
      <c r="F606">
        <f>IF('Reels'!D124="block",'Reels'!D125*'Slots'!D25,0)+IF('Reels'!D142="block",'Reels'!D143*'Slots'!D25,0)+IF('Reels'!D170="block",'Reels'!D171*'Slots'!D25,0)</f>
        <v>1</v>
      </c>
      <c r="G606" t="b">
        <f>AND('Reels'!D124&lt;&gt;"blank",'Reels'!D124&lt;&gt;"class",'Reels'!D124='Reels'!D170,'Reels'!D125='Reels'!D171,OR('Reels'!D142="class",AND('Reels'!D142='Reels'!D124,'Reels'!D143='Reels'!D125)))</f>
        <v>0</v>
      </c>
      <c r="H606">
        <f>IF(G606,C606,0)</f>
        <v>0</v>
      </c>
    </row>
    <row r="607" spans="1:8" x14ac:dyDescent="0.25">
      <c r="A607" t="s">
        <v>258</v>
      </c>
      <c r="B607" t="s">
        <v>3894</v>
      </c>
      <c r="C607" s="4">
        <f>('Reels'!D126/('Reels'!D120+'Reels'!D123+'Reels'!D126+'Reels'!D129+'Reels'!D132+'Reels'!D135))*('Reels'!D144/('Reels'!D138+'Reels'!D141+'Reels'!D144+'Reels'!D147+'Reels'!D150+'Reels'!D153+'Reels'!D156))*('Reels'!D175/('Reels'!D160+'Reels'!D163+'Reels'!D166+'Reels'!D169+'Reels'!D172+'Reels'!D175))</f>
        <v>0.0011017934749341983</v>
      </c>
      <c r="D607">
        <f>IF(OR('Reels'!D124="attack",'Reels'!D124="magic"),CHOOSE('Reels'!D125+1,'Slots'!D29,'Slots'!D30,'Slots'!D31,'Slots'!D32,'Slots'!D33),0)+IF(OR('Reels'!D142="attack",'Reels'!D142="magic"),CHOOSE('Reels'!D143+1,'Slots'!D29,'Slots'!D30,'Slots'!D31,'Slots'!D32,'Slots'!D33),0)+IF(OR('Reels'!D173="attack",'Reels'!D173="magic"),CHOOSE('Reels'!D174+1,'Slots'!D29,'Slots'!D30,'Slots'!D31,'Slots'!D32,'Slots'!D33),0)</f>
        <v>14</v>
      </c>
      <c r="E607">
        <f>IF('Reels'!D124="heal",'Reels'!D125*'Slots'!D24,0)+IF('Reels'!D142="heal",'Reels'!D143*'Slots'!D24,0)+IF('Reels'!D173="heal",'Reels'!D174*'Slots'!D24,0)</f>
        <v>0</v>
      </c>
      <c r="F607">
        <f>IF('Reels'!D124="block",'Reels'!D125*'Slots'!D25,0)+IF('Reels'!D142="block",'Reels'!D143*'Slots'!D25,0)+IF('Reels'!D173="block",'Reels'!D174*'Slots'!D25,0)</f>
        <v>0</v>
      </c>
      <c r="G607" t="b">
        <f>AND('Reels'!D124&lt;&gt;"blank",'Reels'!D124&lt;&gt;"class",'Reels'!D124='Reels'!D173,'Reels'!D125='Reels'!D174,OR('Reels'!D142="class",AND('Reels'!D142='Reels'!D124,'Reels'!D143='Reels'!D125)))</f>
        <v>0</v>
      </c>
      <c r="H607">
        <f>IF(G607,C607,0)</f>
        <v>0</v>
      </c>
    </row>
    <row r="608" spans="1:8" x14ac:dyDescent="0.25">
      <c r="A608" t="s">
        <v>258</v>
      </c>
      <c r="B608" t="s">
        <v>3895</v>
      </c>
      <c r="C608" s="4">
        <f>('Reels'!D126/('Reels'!D120+'Reels'!D123+'Reels'!D126+'Reels'!D129+'Reels'!D132+'Reels'!D135))*('Reels'!D147/('Reels'!D138+'Reels'!D141+'Reels'!D144+'Reels'!D147+'Reels'!D150+'Reels'!D153+'Reels'!D156))*('Reels'!D160/('Reels'!D160+'Reels'!D163+'Reels'!D166+'Reels'!D169+'Reels'!D172+'Reels'!D175))</f>
        <v>0.0020199547040460307</v>
      </c>
      <c r="D608">
        <f>IF(OR('Reels'!D124="attack",'Reels'!D124="magic"),CHOOSE('Reels'!D125+1,'Slots'!D29,'Slots'!D30,'Slots'!D31,'Slots'!D32,'Slots'!D33),0)+IF(OR('Reels'!D145="attack",'Reels'!D145="magic"),CHOOSE('Reels'!D146+1,'Slots'!D29,'Slots'!D30,'Slots'!D31,'Slots'!D32,'Slots'!D33),0)+IF(OR('Reels'!D158="attack",'Reels'!D158="magic"),CHOOSE('Reels'!D159+1,'Slots'!D29,'Slots'!D30,'Slots'!D31,'Slots'!D32,'Slots'!D33),0)</f>
        <v>9</v>
      </c>
      <c r="E608">
        <f>IF('Reels'!D124="heal",'Reels'!D125*'Slots'!D24,0)+IF('Reels'!D145="heal",'Reels'!D146*'Slots'!D24,0)+IF('Reels'!D158="heal",'Reels'!D159*'Slots'!D24,0)</f>
        <v>0</v>
      </c>
      <c r="F608">
        <f>IF('Reels'!D124="block",'Reels'!D125*'Slots'!D25,0)+IF('Reels'!D145="block",'Reels'!D146*'Slots'!D25,0)+IF('Reels'!D158="block",'Reels'!D159*'Slots'!D25,0)</f>
        <v>0</v>
      </c>
      <c r="G608" t="b">
        <f>AND('Reels'!D124&lt;&gt;"blank",'Reels'!D124&lt;&gt;"class",'Reels'!D124='Reels'!D158,'Reels'!D125='Reels'!D159,OR('Reels'!D145="class",AND('Reels'!D145='Reels'!D124,'Reels'!D146='Reels'!D125)))</f>
        <v>0</v>
      </c>
      <c r="H608">
        <f>IF(G608,C608,0)</f>
        <v>0</v>
      </c>
    </row>
    <row r="609" spans="1:8" x14ac:dyDescent="0.25">
      <c r="A609" t="s">
        <v>258</v>
      </c>
      <c r="B609" t="s">
        <v>3896</v>
      </c>
      <c r="C609" s="4">
        <f>('Reels'!D126/('Reels'!D120+'Reels'!D123+'Reels'!D126+'Reels'!D129+'Reels'!D132+'Reels'!D135))*('Reels'!D147/('Reels'!D138+'Reels'!D141+'Reels'!D144+'Reels'!D147+'Reels'!D150+'Reels'!D153+'Reels'!D156))*('Reels'!D163/('Reels'!D160+'Reels'!D163+'Reels'!D166+'Reels'!D169+'Reels'!D172+'Reels'!D175))</f>
        <v>0.001836322458223664</v>
      </c>
      <c r="D609">
        <f>IF(OR('Reels'!D124="attack",'Reels'!D124="magic"),CHOOSE('Reels'!D125+1,'Slots'!D29,'Slots'!D30,'Slots'!D31,'Slots'!D32,'Slots'!D33),0)+IF(OR('Reels'!D145="attack",'Reels'!D145="magic"),CHOOSE('Reels'!D146+1,'Slots'!D29,'Slots'!D30,'Slots'!D31,'Slots'!D32,'Slots'!D33),0)+IF(OR('Reels'!D161="attack",'Reels'!D161="magic"),CHOOSE('Reels'!D162+1,'Slots'!D29,'Slots'!D30,'Slots'!D31,'Slots'!D32,'Slots'!D33),0)</f>
        <v>11</v>
      </c>
      <c r="E609">
        <f>IF('Reels'!D124="heal",'Reels'!D125*'Slots'!D24,0)+IF('Reels'!D145="heal",'Reels'!D146*'Slots'!D24,0)+IF('Reels'!D161="heal",'Reels'!D162*'Slots'!D24,0)</f>
        <v>0</v>
      </c>
      <c r="F609">
        <f>IF('Reels'!D124="block",'Reels'!D125*'Slots'!D25,0)+IF('Reels'!D145="block",'Reels'!D146*'Slots'!D25,0)+IF('Reels'!D161="block",'Reels'!D162*'Slots'!D25,0)</f>
        <v>0</v>
      </c>
      <c r="G609" t="b">
        <f>AND('Reels'!D124&lt;&gt;"blank",'Reels'!D124&lt;&gt;"class",'Reels'!D124='Reels'!D161,'Reels'!D125='Reels'!D162,OR('Reels'!D145="class",AND('Reels'!D145='Reels'!D124,'Reels'!D146='Reels'!D125)))</f>
        <v>0</v>
      </c>
      <c r="H609">
        <f>IF(G609,C609,0)</f>
        <v>0</v>
      </c>
    </row>
    <row r="610" spans="1:8" x14ac:dyDescent="0.25">
      <c r="A610" t="s">
        <v>258</v>
      </c>
      <c r="B610" t="s">
        <v>3897</v>
      </c>
      <c r="C610" s="4">
        <f>('Reels'!D126/('Reels'!D120+'Reels'!D123+'Reels'!D126+'Reels'!D129+'Reels'!D132+'Reels'!D135))*('Reels'!D147/('Reels'!D138+'Reels'!D141+'Reels'!D144+'Reels'!D147+'Reels'!D150+'Reels'!D153+'Reels'!D156))*('Reels'!D166/('Reels'!D160+'Reels'!D163+'Reels'!D166+'Reels'!D169+'Reels'!D172+'Reels'!D175))</f>
        <v>0.0005508967374670993</v>
      </c>
      <c r="D610">
        <f>IF(OR('Reels'!D124="attack",'Reels'!D124="magic"),CHOOSE('Reels'!D125+1,'Slots'!D29,'Slots'!D30,'Slots'!D31,'Slots'!D32,'Slots'!D33),0)+IF(OR('Reels'!D145="attack",'Reels'!D145="magic"),CHOOSE('Reels'!D146+1,'Slots'!D29,'Slots'!D30,'Slots'!D31,'Slots'!D32,'Slots'!D33),0)+IF(OR('Reels'!D164="attack",'Reels'!D164="magic"),CHOOSE('Reels'!D165+1,'Slots'!D29,'Slots'!D30,'Slots'!D31,'Slots'!D32,'Slots'!D33),0)</f>
        <v>14</v>
      </c>
      <c r="E610">
        <f>IF('Reels'!D124="heal",'Reels'!D125*'Slots'!D24,0)+IF('Reels'!D145="heal",'Reels'!D146*'Slots'!D24,0)+IF('Reels'!D164="heal",'Reels'!D165*'Slots'!D24,0)</f>
        <v>0</v>
      </c>
      <c r="F610">
        <f>IF('Reels'!D124="block",'Reels'!D125*'Slots'!D25,0)+IF('Reels'!D145="block",'Reels'!D146*'Slots'!D25,0)+IF('Reels'!D164="block",'Reels'!D165*'Slots'!D25,0)</f>
        <v>0</v>
      </c>
      <c r="G610" t="b">
        <f>AND('Reels'!D124&lt;&gt;"blank",'Reels'!D124&lt;&gt;"class",'Reels'!D124='Reels'!D164,'Reels'!D125='Reels'!D165,OR('Reels'!D145="class",AND('Reels'!D145='Reels'!D124,'Reels'!D146='Reels'!D125)))</f>
        <v>0</v>
      </c>
      <c r="H610">
        <f>IF(G610,C610,0)</f>
        <v>0</v>
      </c>
    </row>
    <row r="611" spans="1:8" x14ac:dyDescent="0.25">
      <c r="A611" t="s">
        <v>258</v>
      </c>
      <c r="B611" t="s">
        <v>3898</v>
      </c>
      <c r="C611" s="4">
        <f>('Reels'!D126/('Reels'!D120+'Reels'!D123+'Reels'!D126+'Reels'!D129+'Reels'!D132+'Reels'!D135))*('Reels'!D147/('Reels'!D138+'Reels'!D141+'Reels'!D144+'Reels'!D147+'Reels'!D150+'Reels'!D153+'Reels'!D156))*('Reels'!D169/('Reels'!D160+'Reels'!D163+'Reels'!D166+'Reels'!D169+'Reels'!D172+'Reels'!D175))</f>
        <v>0.0003672644916447328</v>
      </c>
      <c r="D611">
        <f>IF(OR('Reels'!D124="attack",'Reels'!D124="magic"),CHOOSE('Reels'!D125+1,'Slots'!D29,'Slots'!D30,'Slots'!D31,'Slots'!D32,'Slots'!D33),0)+IF(OR('Reels'!D145="attack",'Reels'!D145="magic"),CHOOSE('Reels'!D146+1,'Slots'!D29,'Slots'!D30,'Slots'!D31,'Slots'!D32,'Slots'!D33),0)+IF(OR('Reels'!D167="attack",'Reels'!D167="magic"),CHOOSE('Reels'!D168+1,'Slots'!D29,'Slots'!D30,'Slots'!D31,'Slots'!D32,'Slots'!D33),0)</f>
        <v>7</v>
      </c>
      <c r="E611">
        <f>IF('Reels'!D124="heal",'Reels'!D125*'Slots'!D24,0)+IF('Reels'!D145="heal",'Reels'!D146*'Slots'!D24,0)+IF('Reels'!D167="heal",'Reels'!D168*'Slots'!D24,0)</f>
        <v>0</v>
      </c>
      <c r="F611">
        <f>IF('Reels'!D124="block",'Reels'!D125*'Slots'!D25,0)+IF('Reels'!D145="block",'Reels'!D146*'Slots'!D25,0)+IF('Reels'!D167="block",'Reels'!D168*'Slots'!D25,0)</f>
        <v>0</v>
      </c>
      <c r="G611" t="b">
        <f>AND('Reels'!D124&lt;&gt;"blank",'Reels'!D124&lt;&gt;"class",'Reels'!D124='Reels'!D167,'Reels'!D125='Reels'!D168,OR('Reels'!D145="class",AND('Reels'!D145='Reels'!D124,'Reels'!D146='Reels'!D125)))</f>
        <v>0</v>
      </c>
      <c r="H611">
        <f>IF(G611,C611,0)</f>
        <v>0</v>
      </c>
    </row>
    <row r="612" spans="1:8" x14ac:dyDescent="0.25">
      <c r="A612" t="s">
        <v>258</v>
      </c>
      <c r="B612" t="s">
        <v>3899</v>
      </c>
      <c r="C612" s="4">
        <f>('Reels'!D126/('Reels'!D120+'Reels'!D123+'Reels'!D126+'Reels'!D129+'Reels'!D132+'Reels'!D135))*('Reels'!D147/('Reels'!D138+'Reels'!D141+'Reels'!D144+'Reels'!D147+'Reels'!D150+'Reels'!D153+'Reels'!D156))*('Reels'!D172/('Reels'!D160+'Reels'!D163+'Reels'!D166+'Reels'!D169+'Reels'!D172+'Reels'!D175))</f>
        <v>0.0001836322458223664</v>
      </c>
      <c r="D612">
        <f>IF(OR('Reels'!D124="attack",'Reels'!D124="magic"),CHOOSE('Reels'!D125+1,'Slots'!D29,'Slots'!D30,'Slots'!D31,'Slots'!D32,'Slots'!D33),0)+IF(OR('Reels'!D145="attack",'Reels'!D145="magic"),CHOOSE('Reels'!D146+1,'Slots'!D29,'Slots'!D30,'Slots'!D31,'Slots'!D32,'Slots'!D33),0)+IF(OR('Reels'!D170="attack",'Reels'!D170="magic"),CHOOSE('Reels'!D171+1,'Slots'!D29,'Slots'!D30,'Slots'!D31,'Slots'!D32,'Slots'!D33),0)</f>
        <v>7</v>
      </c>
      <c r="E612">
        <f>IF('Reels'!D124="heal",'Reels'!D125*'Slots'!D24,0)+IF('Reels'!D145="heal",'Reels'!D146*'Slots'!D24,0)+IF('Reels'!D170="heal",'Reels'!D171*'Slots'!D24,0)</f>
        <v>0</v>
      </c>
      <c r="F612">
        <f>IF('Reels'!D124="block",'Reels'!D125*'Slots'!D25,0)+IF('Reels'!D145="block",'Reels'!D146*'Slots'!D25,0)+IF('Reels'!D170="block",'Reels'!D171*'Slots'!D25,0)</f>
        <v>1</v>
      </c>
      <c r="G612" t="b">
        <f>AND('Reels'!D124&lt;&gt;"blank",'Reels'!D124&lt;&gt;"class",'Reels'!D124='Reels'!D170,'Reels'!D125='Reels'!D171,OR('Reels'!D145="class",AND('Reels'!D145='Reels'!D124,'Reels'!D146='Reels'!D125)))</f>
        <v>0</v>
      </c>
      <c r="H612">
        <f>IF(G612,C612,0)</f>
        <v>0</v>
      </c>
    </row>
    <row r="613" spans="1:8" x14ac:dyDescent="0.25">
      <c r="A613" t="s">
        <v>258</v>
      </c>
      <c r="B613" t="s">
        <v>3900</v>
      </c>
      <c r="C613" s="4">
        <f>('Reels'!D126/('Reels'!D120+'Reels'!D123+'Reels'!D126+'Reels'!D129+'Reels'!D132+'Reels'!D135))*('Reels'!D147/('Reels'!D138+'Reels'!D141+'Reels'!D144+'Reels'!D147+'Reels'!D150+'Reels'!D153+'Reels'!D156))*('Reels'!D175/('Reels'!D160+'Reels'!D163+'Reels'!D166+'Reels'!D169+'Reels'!D172+'Reels'!D175))</f>
        <v>0.0007345289832894656</v>
      </c>
      <c r="D613">
        <f>IF(OR('Reels'!D124="attack",'Reels'!D124="magic"),CHOOSE('Reels'!D125+1,'Slots'!D29,'Slots'!D30,'Slots'!D31,'Slots'!D32,'Slots'!D33),0)+IF(OR('Reels'!D145="attack",'Reels'!D145="magic"),CHOOSE('Reels'!D146+1,'Slots'!D29,'Slots'!D30,'Slots'!D31,'Slots'!D32,'Slots'!D33),0)+IF(OR('Reels'!D173="attack",'Reels'!D173="magic"),CHOOSE('Reels'!D174+1,'Slots'!D29,'Slots'!D30,'Slots'!D31,'Slots'!D32,'Slots'!D33),0)</f>
        <v>7</v>
      </c>
      <c r="E613">
        <f>IF('Reels'!D124="heal",'Reels'!D125*'Slots'!D24,0)+IF('Reels'!D145="heal",'Reels'!D146*'Slots'!D24,0)+IF('Reels'!D173="heal",'Reels'!D174*'Slots'!D24,0)</f>
        <v>0</v>
      </c>
      <c r="F613">
        <f>IF('Reels'!D124="block",'Reels'!D125*'Slots'!D25,0)+IF('Reels'!D145="block",'Reels'!D146*'Slots'!D25,0)+IF('Reels'!D173="block",'Reels'!D174*'Slots'!D25,0)</f>
        <v>0</v>
      </c>
      <c r="G613" t="b">
        <f>AND('Reels'!D124&lt;&gt;"blank",'Reels'!D124&lt;&gt;"class",'Reels'!D124='Reels'!D173,'Reels'!D125='Reels'!D174,OR('Reels'!D145="class",AND('Reels'!D145='Reels'!D124,'Reels'!D146='Reels'!D125)))</f>
        <v>0</v>
      </c>
      <c r="H613">
        <f>IF(G613,C613,0)</f>
        <v>0</v>
      </c>
    </row>
    <row r="614" spans="1:8" x14ac:dyDescent="0.25">
      <c r="A614" t="s">
        <v>258</v>
      </c>
      <c r="B614" t="s">
        <v>3901</v>
      </c>
      <c r="C614" s="4">
        <f>('Reels'!D126/('Reels'!D120+'Reels'!D123+'Reels'!D126+'Reels'!D129+'Reels'!D132+'Reels'!D135))*('Reels'!D150/('Reels'!D138+'Reels'!D141+'Reels'!D144+'Reels'!D147+'Reels'!D150+'Reels'!D153+'Reels'!D156))*('Reels'!D160/('Reels'!D160+'Reels'!D163+'Reels'!D166+'Reels'!D169+'Reels'!D172+'Reels'!D175))</f>
        <v>0.0010099773520230153</v>
      </c>
      <c r="D614">
        <f>IF(OR('Reels'!D124="attack",'Reels'!D124="magic"),CHOOSE('Reels'!D125+1,'Slots'!D29,'Slots'!D30,'Slots'!D31,'Slots'!D32,'Slots'!D33),0)+IF(OR('Reels'!D148="attack",'Reels'!D148="magic"),CHOOSE('Reels'!D149+1,'Slots'!D29,'Slots'!D30,'Slots'!D31,'Slots'!D32,'Slots'!D33),0)+IF(OR('Reels'!D158="attack",'Reels'!D158="magic"),CHOOSE('Reels'!D159+1,'Slots'!D29,'Slots'!D30,'Slots'!D31,'Slots'!D32,'Slots'!D33),0)</f>
        <v>9</v>
      </c>
      <c r="E614">
        <f>IF('Reels'!D124="heal",'Reels'!D125*'Slots'!D24,0)+IF('Reels'!D148="heal",'Reels'!D149*'Slots'!D24,0)+IF('Reels'!D158="heal",'Reels'!D159*'Slots'!D24,0)</f>
        <v>0</v>
      </c>
      <c r="F614">
        <f>IF('Reels'!D124="block",'Reels'!D125*'Slots'!D25,0)+IF('Reels'!D148="block",'Reels'!D149*'Slots'!D25,0)+IF('Reels'!D158="block",'Reels'!D159*'Slots'!D25,0)</f>
        <v>1</v>
      </c>
      <c r="G614" t="b">
        <f>AND('Reels'!D124&lt;&gt;"blank",'Reels'!D124&lt;&gt;"class",'Reels'!D124='Reels'!D158,'Reels'!D125='Reels'!D159,OR('Reels'!D148="class",AND('Reels'!D148='Reels'!D124,'Reels'!D149='Reels'!D125)))</f>
        <v>0</v>
      </c>
      <c r="H614">
        <f>IF(G614,C614,0)</f>
        <v>0</v>
      </c>
    </row>
    <row r="615" spans="1:8" x14ac:dyDescent="0.25">
      <c r="A615" t="s">
        <v>258</v>
      </c>
      <c r="B615" t="s">
        <v>3902</v>
      </c>
      <c r="C615" s="4">
        <f>('Reels'!D126/('Reels'!D120+'Reels'!D123+'Reels'!D126+'Reels'!D129+'Reels'!D132+'Reels'!D135))*('Reels'!D150/('Reels'!D138+'Reels'!D141+'Reels'!D144+'Reels'!D147+'Reels'!D150+'Reels'!D153+'Reels'!D156))*('Reels'!D163/('Reels'!D160+'Reels'!D163+'Reels'!D166+'Reels'!D169+'Reels'!D172+'Reels'!D175))</f>
        <v>0.000918161229111832</v>
      </c>
      <c r="D615">
        <f>IF(OR('Reels'!D124="attack",'Reels'!D124="magic"),CHOOSE('Reels'!D125+1,'Slots'!D29,'Slots'!D30,'Slots'!D31,'Slots'!D32,'Slots'!D33),0)+IF(OR('Reels'!D148="attack",'Reels'!D148="magic"),CHOOSE('Reels'!D149+1,'Slots'!D29,'Slots'!D30,'Slots'!D31,'Slots'!D32,'Slots'!D33),0)+IF(OR('Reels'!D161="attack",'Reels'!D161="magic"),CHOOSE('Reels'!D162+1,'Slots'!D29,'Slots'!D30,'Slots'!D31,'Slots'!D32,'Slots'!D33),0)</f>
        <v>11</v>
      </c>
      <c r="E615">
        <f>IF('Reels'!D124="heal",'Reels'!D125*'Slots'!D24,0)+IF('Reels'!D148="heal",'Reels'!D149*'Slots'!D24,0)+IF('Reels'!D161="heal",'Reels'!D162*'Slots'!D24,0)</f>
        <v>0</v>
      </c>
      <c r="F615">
        <f>IF('Reels'!D124="block",'Reels'!D125*'Slots'!D25,0)+IF('Reels'!D148="block",'Reels'!D149*'Slots'!D25,0)+IF('Reels'!D161="block",'Reels'!D162*'Slots'!D25,0)</f>
        <v>1</v>
      </c>
      <c r="G615" t="b">
        <f>AND('Reels'!D124&lt;&gt;"blank",'Reels'!D124&lt;&gt;"class",'Reels'!D124='Reels'!D161,'Reels'!D125='Reels'!D162,OR('Reels'!D148="class",AND('Reels'!D148='Reels'!D124,'Reels'!D149='Reels'!D125)))</f>
        <v>0</v>
      </c>
      <c r="H615">
        <f>IF(G615,C615,0)</f>
        <v>0</v>
      </c>
    </row>
    <row r="616" spans="1:8" x14ac:dyDescent="0.25">
      <c r="A616" t="s">
        <v>258</v>
      </c>
      <c r="B616" t="s">
        <v>3903</v>
      </c>
      <c r="C616" s="4">
        <f>('Reels'!D126/('Reels'!D120+'Reels'!D123+'Reels'!D126+'Reels'!D129+'Reels'!D132+'Reels'!D135))*('Reels'!D150/('Reels'!D138+'Reels'!D141+'Reels'!D144+'Reels'!D147+'Reels'!D150+'Reels'!D153+'Reels'!D156))*('Reels'!D166/('Reels'!D160+'Reels'!D163+'Reels'!D166+'Reels'!D169+'Reels'!D172+'Reels'!D175))</f>
        <v>0.00027544836873354963</v>
      </c>
      <c r="D616">
        <f>IF(OR('Reels'!D124="attack",'Reels'!D124="magic"),CHOOSE('Reels'!D125+1,'Slots'!D29,'Slots'!D30,'Slots'!D31,'Slots'!D32,'Slots'!D33),0)+IF(OR('Reels'!D148="attack",'Reels'!D148="magic"),CHOOSE('Reels'!D149+1,'Slots'!D29,'Slots'!D30,'Slots'!D31,'Slots'!D32,'Slots'!D33),0)+IF(OR('Reels'!D164="attack",'Reels'!D164="magic"),CHOOSE('Reels'!D165+1,'Slots'!D29,'Slots'!D30,'Slots'!D31,'Slots'!D32,'Slots'!D33),0)</f>
        <v>14</v>
      </c>
      <c r="E616">
        <f>IF('Reels'!D124="heal",'Reels'!D125*'Slots'!D24,0)+IF('Reels'!D148="heal",'Reels'!D149*'Slots'!D24,0)+IF('Reels'!D164="heal",'Reels'!D165*'Slots'!D24,0)</f>
        <v>0</v>
      </c>
      <c r="F616">
        <f>IF('Reels'!D124="block",'Reels'!D125*'Slots'!D25,0)+IF('Reels'!D148="block",'Reels'!D149*'Slots'!D25,0)+IF('Reels'!D164="block",'Reels'!D165*'Slots'!D25,0)</f>
        <v>1</v>
      </c>
      <c r="G616" t="b">
        <f>AND('Reels'!D124&lt;&gt;"blank",'Reels'!D124&lt;&gt;"class",'Reels'!D124='Reels'!D164,'Reels'!D125='Reels'!D165,OR('Reels'!D148="class",AND('Reels'!D148='Reels'!D124,'Reels'!D149='Reels'!D125)))</f>
        <v>0</v>
      </c>
      <c r="H616">
        <f>IF(G616,C616,0)</f>
        <v>0</v>
      </c>
    </row>
    <row r="617" spans="1:8" x14ac:dyDescent="0.25">
      <c r="A617" t="s">
        <v>258</v>
      </c>
      <c r="B617" t="s">
        <v>3904</v>
      </c>
      <c r="C617" s="4">
        <f>('Reels'!D126/('Reels'!D120+'Reels'!D123+'Reels'!D126+'Reels'!D129+'Reels'!D132+'Reels'!D135))*('Reels'!D150/('Reels'!D138+'Reels'!D141+'Reels'!D144+'Reels'!D147+'Reels'!D150+'Reels'!D153+'Reels'!D156))*('Reels'!D169/('Reels'!D160+'Reels'!D163+'Reels'!D166+'Reels'!D169+'Reels'!D172+'Reels'!D175))</f>
        <v>0.0001836322458223664</v>
      </c>
      <c r="D617">
        <f>IF(OR('Reels'!D124="attack",'Reels'!D124="magic"),CHOOSE('Reels'!D125+1,'Slots'!D29,'Slots'!D30,'Slots'!D31,'Slots'!D32,'Slots'!D33),0)+IF(OR('Reels'!D148="attack",'Reels'!D148="magic"),CHOOSE('Reels'!D149+1,'Slots'!D29,'Slots'!D30,'Slots'!D31,'Slots'!D32,'Slots'!D33),0)+IF(OR('Reels'!D167="attack",'Reels'!D167="magic"),CHOOSE('Reels'!D168+1,'Slots'!D29,'Slots'!D30,'Slots'!D31,'Slots'!D32,'Slots'!D33),0)</f>
        <v>7</v>
      </c>
      <c r="E617">
        <f>IF('Reels'!D124="heal",'Reels'!D125*'Slots'!D24,0)+IF('Reels'!D148="heal",'Reels'!D149*'Slots'!D24,0)+IF('Reels'!D167="heal",'Reels'!D168*'Slots'!D24,0)</f>
        <v>0</v>
      </c>
      <c r="F617">
        <f>IF('Reels'!D124="block",'Reels'!D125*'Slots'!D25,0)+IF('Reels'!D148="block",'Reels'!D149*'Slots'!D25,0)+IF('Reels'!D167="block",'Reels'!D168*'Slots'!D25,0)</f>
        <v>1</v>
      </c>
      <c r="G617" t="b">
        <f>AND('Reels'!D124&lt;&gt;"blank",'Reels'!D124&lt;&gt;"class",'Reels'!D124='Reels'!D167,'Reels'!D125='Reels'!D168,OR('Reels'!D148="class",AND('Reels'!D148='Reels'!D124,'Reels'!D149='Reels'!D125)))</f>
        <v>0</v>
      </c>
      <c r="H617">
        <f>IF(G617,C617,0)</f>
        <v>0</v>
      </c>
    </row>
    <row r="618" spans="1:8" x14ac:dyDescent="0.25">
      <c r="A618" t="s">
        <v>258</v>
      </c>
      <c r="B618" t="s">
        <v>3905</v>
      </c>
      <c r="C618" s="4">
        <f>('Reels'!D126/('Reels'!D120+'Reels'!D123+'Reels'!D126+'Reels'!D129+'Reels'!D132+'Reels'!D135))*('Reels'!D150/('Reels'!D138+'Reels'!D141+'Reels'!D144+'Reels'!D147+'Reels'!D150+'Reels'!D153+'Reels'!D156))*('Reels'!D172/('Reels'!D160+'Reels'!D163+'Reels'!D166+'Reels'!D169+'Reels'!D172+'Reels'!D175))</f>
        <v>0.0000918161229111832</v>
      </c>
      <c r="D618">
        <f>IF(OR('Reels'!D124="attack",'Reels'!D124="magic"),CHOOSE('Reels'!D125+1,'Slots'!D29,'Slots'!D30,'Slots'!D31,'Slots'!D32,'Slots'!D33),0)+IF(OR('Reels'!D148="attack",'Reels'!D148="magic"),CHOOSE('Reels'!D149+1,'Slots'!D29,'Slots'!D30,'Slots'!D31,'Slots'!D32,'Slots'!D33),0)+IF(OR('Reels'!D170="attack",'Reels'!D170="magic"),CHOOSE('Reels'!D171+1,'Slots'!D29,'Slots'!D30,'Slots'!D31,'Slots'!D32,'Slots'!D33),0)</f>
        <v>7</v>
      </c>
      <c r="E618">
        <f>IF('Reels'!D124="heal",'Reels'!D125*'Slots'!D24,0)+IF('Reels'!D148="heal",'Reels'!D149*'Slots'!D24,0)+IF('Reels'!D170="heal",'Reels'!D171*'Slots'!D24,0)</f>
        <v>0</v>
      </c>
      <c r="F618">
        <f>IF('Reels'!D124="block",'Reels'!D125*'Slots'!D25,0)+IF('Reels'!D148="block",'Reels'!D149*'Slots'!D25,0)+IF('Reels'!D170="block",'Reels'!D171*'Slots'!D25,0)</f>
        <v>2</v>
      </c>
      <c r="G618" t="b">
        <f>AND('Reels'!D124&lt;&gt;"blank",'Reels'!D124&lt;&gt;"class",'Reels'!D124='Reels'!D170,'Reels'!D125='Reels'!D171,OR('Reels'!D148="class",AND('Reels'!D148='Reels'!D124,'Reels'!D149='Reels'!D125)))</f>
        <v>0</v>
      </c>
      <c r="H618">
        <f>IF(G618,C618,0)</f>
        <v>0</v>
      </c>
    </row>
    <row r="619" spans="1:8" x14ac:dyDescent="0.25">
      <c r="A619" t="s">
        <v>258</v>
      </c>
      <c r="B619" t="s">
        <v>3906</v>
      </c>
      <c r="C619" s="4">
        <f>('Reels'!D126/('Reels'!D120+'Reels'!D123+'Reels'!D126+'Reels'!D129+'Reels'!D132+'Reels'!D135))*('Reels'!D150/('Reels'!D138+'Reels'!D141+'Reels'!D144+'Reels'!D147+'Reels'!D150+'Reels'!D153+'Reels'!D156))*('Reels'!D175/('Reels'!D160+'Reels'!D163+'Reels'!D166+'Reels'!D169+'Reels'!D172+'Reels'!D175))</f>
        <v>0.0003672644916447328</v>
      </c>
      <c r="D619">
        <f>IF(OR('Reels'!D124="attack",'Reels'!D124="magic"),CHOOSE('Reels'!D125+1,'Slots'!D29,'Slots'!D30,'Slots'!D31,'Slots'!D32,'Slots'!D33),0)+IF(OR('Reels'!D148="attack",'Reels'!D148="magic"),CHOOSE('Reels'!D149+1,'Slots'!D29,'Slots'!D30,'Slots'!D31,'Slots'!D32,'Slots'!D33),0)+IF(OR('Reels'!D173="attack",'Reels'!D173="magic"),CHOOSE('Reels'!D174+1,'Slots'!D29,'Slots'!D30,'Slots'!D31,'Slots'!D32,'Slots'!D33),0)</f>
        <v>7</v>
      </c>
      <c r="E619">
        <f>IF('Reels'!D124="heal",'Reels'!D125*'Slots'!D24,0)+IF('Reels'!D148="heal",'Reels'!D149*'Slots'!D24,0)+IF('Reels'!D173="heal",'Reels'!D174*'Slots'!D24,0)</f>
        <v>0</v>
      </c>
      <c r="F619">
        <f>IF('Reels'!D124="block",'Reels'!D125*'Slots'!D25,0)+IF('Reels'!D148="block",'Reels'!D149*'Slots'!D25,0)+IF('Reels'!D173="block",'Reels'!D174*'Slots'!D25,0)</f>
        <v>1</v>
      </c>
      <c r="G619" t="b">
        <f>AND('Reels'!D124&lt;&gt;"blank",'Reels'!D124&lt;&gt;"class",'Reels'!D124='Reels'!D173,'Reels'!D125='Reels'!D174,OR('Reels'!D148="class",AND('Reels'!D148='Reels'!D124,'Reels'!D149='Reels'!D125)))</f>
        <v>0</v>
      </c>
      <c r="H619">
        <f>IF(G619,C619,0)</f>
        <v>0</v>
      </c>
    </row>
    <row r="620" spans="1:8" x14ac:dyDescent="0.25">
      <c r="A620" t="s">
        <v>258</v>
      </c>
      <c r="B620" t="s">
        <v>3907</v>
      </c>
      <c r="C620" s="4">
        <f>('Reels'!D126/('Reels'!D120+'Reels'!D123+'Reels'!D126+'Reels'!D129+'Reels'!D132+'Reels'!D135))*('Reels'!D153/('Reels'!D138+'Reels'!D141+'Reels'!D144+'Reels'!D147+'Reels'!D150+'Reels'!D153+'Reels'!D156))*('Reels'!D160/('Reels'!D160+'Reels'!D163+'Reels'!D166+'Reels'!D169+'Reels'!D172+'Reels'!D175))</f>
        <v>0.004039909408092061</v>
      </c>
      <c r="D620">
        <f>IF(OR('Reels'!D124="attack",'Reels'!D124="magic"),CHOOSE('Reels'!D125+1,'Slots'!D29,'Slots'!D30,'Slots'!D31,'Slots'!D32,'Slots'!D33),0)+IF(OR('Reels'!D151="attack",'Reels'!D151="magic"),CHOOSE('Reels'!D152+1,'Slots'!D29,'Slots'!D30,'Slots'!D31,'Slots'!D32,'Slots'!D33),0)+IF(OR('Reels'!D158="attack",'Reels'!D158="magic"),CHOOSE('Reels'!D159+1,'Slots'!D29,'Slots'!D30,'Slots'!D31,'Slots'!D32,'Slots'!D33),0)</f>
        <v>9</v>
      </c>
      <c r="E620">
        <f>IF('Reels'!D124="heal",'Reels'!D125*'Slots'!D24,0)+IF('Reels'!D151="heal",'Reels'!D152*'Slots'!D24,0)+IF('Reels'!D158="heal",'Reels'!D159*'Slots'!D24,0)</f>
        <v>0</v>
      </c>
      <c r="F620">
        <f>IF('Reels'!D124="block",'Reels'!D125*'Slots'!D25,0)+IF('Reels'!D151="block",'Reels'!D152*'Slots'!D25,0)+IF('Reels'!D158="block",'Reels'!D159*'Slots'!D25,0)</f>
        <v>0</v>
      </c>
      <c r="G620" t="b">
        <f>AND('Reels'!D124&lt;&gt;"blank",'Reels'!D124&lt;&gt;"class",'Reels'!D124='Reels'!D158,'Reels'!D125='Reels'!D159,OR('Reels'!D151="class",AND('Reels'!D151='Reels'!D124,'Reels'!D152='Reels'!D125)))</f>
        <v>0</v>
      </c>
      <c r="H620">
        <f>IF(G620,C620,0)</f>
        <v>0</v>
      </c>
    </row>
    <row r="621" spans="1:8" x14ac:dyDescent="0.25">
      <c r="A621" t="s">
        <v>258</v>
      </c>
      <c r="B621" t="s">
        <v>3908</v>
      </c>
      <c r="C621" s="4">
        <f>('Reels'!D126/('Reels'!D120+'Reels'!D123+'Reels'!D126+'Reels'!D129+'Reels'!D132+'Reels'!D135))*('Reels'!D153/('Reels'!D138+'Reels'!D141+'Reels'!D144+'Reels'!D147+'Reels'!D150+'Reels'!D153+'Reels'!D156))*('Reels'!D163/('Reels'!D160+'Reels'!D163+'Reels'!D166+'Reels'!D169+'Reels'!D172+'Reels'!D175))</f>
        <v>0.003672644916447328</v>
      </c>
      <c r="D621">
        <f>IF(OR('Reels'!D124="attack",'Reels'!D124="magic"),CHOOSE('Reels'!D125+1,'Slots'!D29,'Slots'!D30,'Slots'!D31,'Slots'!D32,'Slots'!D33),0)+IF(OR('Reels'!D151="attack",'Reels'!D151="magic"),CHOOSE('Reels'!D152+1,'Slots'!D29,'Slots'!D30,'Slots'!D31,'Slots'!D32,'Slots'!D33),0)+IF(OR('Reels'!D161="attack",'Reels'!D161="magic"),CHOOSE('Reels'!D162+1,'Slots'!D29,'Slots'!D30,'Slots'!D31,'Slots'!D32,'Slots'!D33),0)</f>
        <v>11</v>
      </c>
      <c r="E621">
        <f>IF('Reels'!D124="heal",'Reels'!D125*'Slots'!D24,0)+IF('Reels'!D151="heal",'Reels'!D152*'Slots'!D24,0)+IF('Reels'!D161="heal",'Reels'!D162*'Slots'!D24,0)</f>
        <v>0</v>
      </c>
      <c r="F621">
        <f>IF('Reels'!D124="block",'Reels'!D125*'Slots'!D25,0)+IF('Reels'!D151="block",'Reels'!D152*'Slots'!D25,0)+IF('Reels'!D161="block",'Reels'!D162*'Slots'!D25,0)</f>
        <v>0</v>
      </c>
      <c r="G621" t="b">
        <f>AND('Reels'!D124&lt;&gt;"blank",'Reels'!D124&lt;&gt;"class",'Reels'!D124='Reels'!D161,'Reels'!D125='Reels'!D162,OR('Reels'!D151="class",AND('Reels'!D151='Reels'!D124,'Reels'!D152='Reels'!D125)))</f>
        <v>0</v>
      </c>
      <c r="H621">
        <f>IF(G621,C621,0)</f>
        <v>0</v>
      </c>
    </row>
    <row r="622" spans="1:8" x14ac:dyDescent="0.25">
      <c r="A622" t="s">
        <v>258</v>
      </c>
      <c r="B622" t="s">
        <v>3909</v>
      </c>
      <c r="C622" s="4">
        <f>('Reels'!D126/('Reels'!D120+'Reels'!D123+'Reels'!D126+'Reels'!D129+'Reels'!D132+'Reels'!D135))*('Reels'!D153/('Reels'!D138+'Reels'!D141+'Reels'!D144+'Reels'!D147+'Reels'!D150+'Reels'!D153+'Reels'!D156))*('Reels'!D166/('Reels'!D160+'Reels'!D163+'Reels'!D166+'Reels'!D169+'Reels'!D172+'Reels'!D175))</f>
        <v>0.0011017934749341985</v>
      </c>
      <c r="D622">
        <f>IF(OR('Reels'!D124="attack",'Reels'!D124="magic"),CHOOSE('Reels'!D125+1,'Slots'!D29,'Slots'!D30,'Slots'!D31,'Slots'!D32,'Slots'!D33),0)+IF(OR('Reels'!D151="attack",'Reels'!D151="magic"),CHOOSE('Reels'!D152+1,'Slots'!D29,'Slots'!D30,'Slots'!D31,'Slots'!D32,'Slots'!D33),0)+IF(OR('Reels'!D164="attack",'Reels'!D164="magic"),CHOOSE('Reels'!D165+1,'Slots'!D29,'Slots'!D30,'Slots'!D31,'Slots'!D32,'Slots'!D33),0)</f>
        <v>14</v>
      </c>
      <c r="E622">
        <f>IF('Reels'!D124="heal",'Reels'!D125*'Slots'!D24,0)+IF('Reels'!D151="heal",'Reels'!D152*'Slots'!D24,0)+IF('Reels'!D164="heal",'Reels'!D165*'Slots'!D24,0)</f>
        <v>0</v>
      </c>
      <c r="F622">
        <f>IF('Reels'!D124="block",'Reels'!D125*'Slots'!D25,0)+IF('Reels'!D151="block",'Reels'!D152*'Slots'!D25,0)+IF('Reels'!D164="block",'Reels'!D165*'Slots'!D25,0)</f>
        <v>0</v>
      </c>
      <c r="G622" t="b">
        <f>AND('Reels'!D124&lt;&gt;"blank",'Reels'!D124&lt;&gt;"class",'Reels'!D124='Reels'!D164,'Reels'!D125='Reels'!D165,OR('Reels'!D151="class",AND('Reels'!D151='Reels'!D124,'Reels'!D152='Reels'!D125)))</f>
        <v>0</v>
      </c>
      <c r="H622">
        <f>IF(G622,C622,0)</f>
        <v>0</v>
      </c>
    </row>
    <row r="623" spans="1:8" x14ac:dyDescent="0.25">
      <c r="A623" t="s">
        <v>258</v>
      </c>
      <c r="B623" t="s">
        <v>3910</v>
      </c>
      <c r="C623" s="4">
        <f>('Reels'!D126/('Reels'!D120+'Reels'!D123+'Reels'!D126+'Reels'!D129+'Reels'!D132+'Reels'!D135))*('Reels'!D153/('Reels'!D138+'Reels'!D141+'Reels'!D144+'Reels'!D147+'Reels'!D150+'Reels'!D153+'Reels'!D156))*('Reels'!D169/('Reels'!D160+'Reels'!D163+'Reels'!D166+'Reels'!D169+'Reels'!D172+'Reels'!D175))</f>
        <v>0.0007345289832894656</v>
      </c>
      <c r="D623">
        <f>IF(OR('Reels'!D124="attack",'Reels'!D124="magic"),CHOOSE('Reels'!D125+1,'Slots'!D29,'Slots'!D30,'Slots'!D31,'Slots'!D32,'Slots'!D33),0)+IF(OR('Reels'!D151="attack",'Reels'!D151="magic"),CHOOSE('Reels'!D152+1,'Slots'!D29,'Slots'!D30,'Slots'!D31,'Slots'!D32,'Slots'!D33),0)+IF(OR('Reels'!D167="attack",'Reels'!D167="magic"),CHOOSE('Reels'!D168+1,'Slots'!D29,'Slots'!D30,'Slots'!D31,'Slots'!D32,'Slots'!D33),0)</f>
        <v>7</v>
      </c>
      <c r="E623">
        <f>IF('Reels'!D124="heal",'Reels'!D125*'Slots'!D24,0)+IF('Reels'!D151="heal",'Reels'!D152*'Slots'!D24,0)+IF('Reels'!D167="heal",'Reels'!D168*'Slots'!D24,0)</f>
        <v>0</v>
      </c>
      <c r="F623">
        <f>IF('Reels'!D124="block",'Reels'!D125*'Slots'!D25,0)+IF('Reels'!D151="block",'Reels'!D152*'Slots'!D25,0)+IF('Reels'!D167="block",'Reels'!D168*'Slots'!D25,0)</f>
        <v>0</v>
      </c>
      <c r="G623" t="b">
        <f>AND('Reels'!D124&lt;&gt;"blank",'Reels'!D124&lt;&gt;"class",'Reels'!D124='Reels'!D167,'Reels'!D125='Reels'!D168,OR('Reels'!D151="class",AND('Reels'!D151='Reels'!D124,'Reels'!D152='Reels'!D125)))</f>
        <v>0</v>
      </c>
      <c r="H623">
        <f>IF(G623,C623,0)</f>
        <v>0</v>
      </c>
    </row>
    <row r="624" spans="1:8" x14ac:dyDescent="0.25">
      <c r="A624" t="s">
        <v>258</v>
      </c>
      <c r="B624" t="s">
        <v>3911</v>
      </c>
      <c r="C624" s="4">
        <f>('Reels'!D126/('Reels'!D120+'Reels'!D123+'Reels'!D126+'Reels'!D129+'Reels'!D132+'Reels'!D135))*('Reels'!D153/('Reels'!D138+'Reels'!D141+'Reels'!D144+'Reels'!D147+'Reels'!D150+'Reels'!D153+'Reels'!D156))*('Reels'!D172/('Reels'!D160+'Reels'!D163+'Reels'!D166+'Reels'!D169+'Reels'!D172+'Reels'!D175))</f>
        <v>0.0003672644916447328</v>
      </c>
      <c r="D624">
        <f>IF(OR('Reels'!D124="attack",'Reels'!D124="magic"),CHOOSE('Reels'!D125+1,'Slots'!D29,'Slots'!D30,'Slots'!D31,'Slots'!D32,'Slots'!D33),0)+IF(OR('Reels'!D151="attack",'Reels'!D151="magic"),CHOOSE('Reels'!D152+1,'Slots'!D29,'Slots'!D30,'Slots'!D31,'Slots'!D32,'Slots'!D33),0)+IF(OR('Reels'!D170="attack",'Reels'!D170="magic"),CHOOSE('Reels'!D171+1,'Slots'!D29,'Slots'!D30,'Slots'!D31,'Slots'!D32,'Slots'!D33),0)</f>
        <v>7</v>
      </c>
      <c r="E624">
        <f>IF('Reels'!D124="heal",'Reels'!D125*'Slots'!D24,0)+IF('Reels'!D151="heal",'Reels'!D152*'Slots'!D24,0)+IF('Reels'!D170="heal",'Reels'!D171*'Slots'!D24,0)</f>
        <v>0</v>
      </c>
      <c r="F624">
        <f>IF('Reels'!D124="block",'Reels'!D125*'Slots'!D25,0)+IF('Reels'!D151="block",'Reels'!D152*'Slots'!D25,0)+IF('Reels'!D170="block",'Reels'!D171*'Slots'!D25,0)</f>
        <v>1</v>
      </c>
      <c r="G624" t="b">
        <f>AND('Reels'!D124&lt;&gt;"blank",'Reels'!D124&lt;&gt;"class",'Reels'!D124='Reels'!D170,'Reels'!D125='Reels'!D171,OR('Reels'!D151="class",AND('Reels'!D151='Reels'!D124,'Reels'!D152='Reels'!D125)))</f>
        <v>0</v>
      </c>
      <c r="H624">
        <f>IF(G624,C624,0)</f>
        <v>0</v>
      </c>
    </row>
    <row r="625" spans="1:8" x14ac:dyDescent="0.25">
      <c r="A625" t="s">
        <v>258</v>
      </c>
      <c r="B625" t="s">
        <v>3912</v>
      </c>
      <c r="C625" s="4">
        <f>('Reels'!D126/('Reels'!D120+'Reels'!D123+'Reels'!D126+'Reels'!D129+'Reels'!D132+'Reels'!D135))*('Reels'!D153/('Reels'!D138+'Reels'!D141+'Reels'!D144+'Reels'!D147+'Reels'!D150+'Reels'!D153+'Reels'!D156))*('Reels'!D175/('Reels'!D160+'Reels'!D163+'Reels'!D166+'Reels'!D169+'Reels'!D172+'Reels'!D175))</f>
        <v>0.0014690579665789312</v>
      </c>
      <c r="D625">
        <f>IF(OR('Reels'!D124="attack",'Reels'!D124="magic"),CHOOSE('Reels'!D125+1,'Slots'!D29,'Slots'!D30,'Slots'!D31,'Slots'!D32,'Slots'!D33),0)+IF(OR('Reels'!D151="attack",'Reels'!D151="magic"),CHOOSE('Reels'!D152+1,'Slots'!D29,'Slots'!D30,'Slots'!D31,'Slots'!D32,'Slots'!D33),0)+IF(OR('Reels'!D173="attack",'Reels'!D173="magic"),CHOOSE('Reels'!D174+1,'Slots'!D29,'Slots'!D30,'Slots'!D31,'Slots'!D32,'Slots'!D33),0)</f>
        <v>7</v>
      </c>
      <c r="E625">
        <f>IF('Reels'!D124="heal",'Reels'!D125*'Slots'!D24,0)+IF('Reels'!D151="heal",'Reels'!D152*'Slots'!D24,0)+IF('Reels'!D173="heal",'Reels'!D174*'Slots'!D24,0)</f>
        <v>0</v>
      </c>
      <c r="F625">
        <f>IF('Reels'!D124="block",'Reels'!D125*'Slots'!D25,0)+IF('Reels'!D151="block",'Reels'!D152*'Slots'!D25,0)+IF('Reels'!D173="block",'Reels'!D174*'Slots'!D25,0)</f>
        <v>0</v>
      </c>
      <c r="G625" t="b">
        <f>AND('Reels'!D124&lt;&gt;"blank",'Reels'!D124&lt;&gt;"class",'Reels'!D124='Reels'!D173,'Reels'!D125='Reels'!D174,OR('Reels'!D151="class",AND('Reels'!D151='Reels'!D124,'Reels'!D152='Reels'!D125)))</f>
        <v>0</v>
      </c>
      <c r="H625">
        <f>IF(G625,C625,0)</f>
        <v>0</v>
      </c>
    </row>
    <row r="626" spans="1:8" x14ac:dyDescent="0.25">
      <c r="A626" t="s">
        <v>258</v>
      </c>
      <c r="B626" t="s">
        <v>3913</v>
      </c>
      <c r="C626" s="4">
        <f>('Reels'!D126/('Reels'!D120+'Reels'!D123+'Reels'!D126+'Reels'!D129+'Reels'!D132+'Reels'!D135))*('Reels'!D156/('Reels'!D138+'Reels'!D141+'Reels'!D144+'Reels'!D147+'Reels'!D150+'Reels'!D153+'Reels'!D156))*('Reels'!D160/('Reels'!D160+'Reels'!D163+'Reels'!D166+'Reels'!D169+'Reels'!D172+'Reels'!D175))</f>
        <v>0.003029932056069045</v>
      </c>
      <c r="D626">
        <f>IF(OR('Reels'!D124="attack",'Reels'!D124="magic"),CHOOSE('Reels'!D125+1,'Slots'!D29,'Slots'!D30,'Slots'!D31,'Slots'!D32,'Slots'!D33),0)+IF(OR('Reels'!D154="attack",'Reels'!D154="magic"),CHOOSE('Reels'!D155+1,'Slots'!D29,'Slots'!D30,'Slots'!D31,'Slots'!D32,'Slots'!D33),0)+IF(OR('Reels'!D158="attack",'Reels'!D158="magic"),CHOOSE('Reels'!D159+1,'Slots'!D29,'Slots'!D30,'Slots'!D31,'Slots'!D32,'Slots'!D33),0)</f>
        <v>9</v>
      </c>
      <c r="E626">
        <f>IF('Reels'!D124="heal",'Reels'!D125*'Slots'!D24,0)+IF('Reels'!D154="heal",'Reels'!D155*'Slots'!D24,0)+IF('Reels'!D158="heal",'Reels'!D159*'Slots'!D24,0)</f>
        <v>0</v>
      </c>
      <c r="F626">
        <f>IF('Reels'!D124="block",'Reels'!D125*'Slots'!D25,0)+IF('Reels'!D154="block",'Reels'!D155*'Slots'!D25,0)+IF('Reels'!D158="block",'Reels'!D159*'Slots'!D25,0)</f>
        <v>0</v>
      </c>
      <c r="G626" t="b">
        <f>AND('Reels'!D124&lt;&gt;"blank",'Reels'!D124&lt;&gt;"class",'Reels'!D124='Reels'!D158,'Reels'!D125='Reels'!D159,OR('Reels'!D154="class",AND('Reels'!D154='Reels'!D124,'Reels'!D155='Reels'!D125)))</f>
        <v>0</v>
      </c>
      <c r="H626">
        <f>IF(G626,C626,0)</f>
        <v>0</v>
      </c>
    </row>
    <row r="627" spans="1:8" x14ac:dyDescent="0.25">
      <c r="A627" t="s">
        <v>258</v>
      </c>
      <c r="B627" t="s">
        <v>3914</v>
      </c>
      <c r="C627" s="4">
        <f>('Reels'!D126/('Reels'!D120+'Reels'!D123+'Reels'!D126+'Reels'!D129+'Reels'!D132+'Reels'!D135))*('Reels'!D156/('Reels'!D138+'Reels'!D141+'Reels'!D144+'Reels'!D147+'Reels'!D150+'Reels'!D153+'Reels'!D156))*('Reels'!D163/('Reels'!D160+'Reels'!D163+'Reels'!D166+'Reels'!D169+'Reels'!D172+'Reels'!D175))</f>
        <v>0.0027544836873354957</v>
      </c>
      <c r="D627">
        <f>IF(OR('Reels'!D124="attack",'Reels'!D124="magic"),CHOOSE('Reels'!D125+1,'Slots'!D29,'Slots'!D30,'Slots'!D31,'Slots'!D32,'Slots'!D33),0)+IF(OR('Reels'!D154="attack",'Reels'!D154="magic"),CHOOSE('Reels'!D155+1,'Slots'!D29,'Slots'!D30,'Slots'!D31,'Slots'!D32,'Slots'!D33),0)+IF(OR('Reels'!D161="attack",'Reels'!D161="magic"),CHOOSE('Reels'!D162+1,'Slots'!D29,'Slots'!D30,'Slots'!D31,'Slots'!D32,'Slots'!D33),0)</f>
        <v>11</v>
      </c>
      <c r="E627">
        <f>IF('Reels'!D124="heal",'Reels'!D125*'Slots'!D24,0)+IF('Reels'!D154="heal",'Reels'!D155*'Slots'!D24,0)+IF('Reels'!D161="heal",'Reels'!D162*'Slots'!D24,0)</f>
        <v>0</v>
      </c>
      <c r="F627">
        <f>IF('Reels'!D124="block",'Reels'!D125*'Slots'!D25,0)+IF('Reels'!D154="block",'Reels'!D155*'Slots'!D25,0)+IF('Reels'!D161="block",'Reels'!D162*'Slots'!D25,0)</f>
        <v>0</v>
      </c>
      <c r="G627" t="b">
        <f>AND('Reels'!D124&lt;&gt;"blank",'Reels'!D124&lt;&gt;"class",'Reels'!D124='Reels'!D161,'Reels'!D125='Reels'!D162,OR('Reels'!D154="class",AND('Reels'!D154='Reels'!D124,'Reels'!D155='Reels'!D125)))</f>
        <v>0</v>
      </c>
      <c r="H627">
        <f>IF(G627,C627,0)</f>
        <v>0</v>
      </c>
    </row>
    <row r="628" spans="1:8" x14ac:dyDescent="0.25">
      <c r="A628" t="s">
        <v>258</v>
      </c>
      <c r="B628" t="s">
        <v>3915</v>
      </c>
      <c r="C628" s="4">
        <f>('Reels'!D126/('Reels'!D120+'Reels'!D123+'Reels'!D126+'Reels'!D129+'Reels'!D132+'Reels'!D135))*('Reels'!D156/('Reels'!D138+'Reels'!D141+'Reels'!D144+'Reels'!D147+'Reels'!D150+'Reels'!D153+'Reels'!D156))*('Reels'!D166/('Reels'!D160+'Reels'!D163+'Reels'!D166+'Reels'!D169+'Reels'!D172+'Reels'!D175))</f>
        <v>0.0008263451062006487</v>
      </c>
      <c r="D628">
        <f>IF(OR('Reels'!D124="attack",'Reels'!D124="magic"),CHOOSE('Reels'!D125+1,'Slots'!D29,'Slots'!D30,'Slots'!D31,'Slots'!D32,'Slots'!D33),0)+IF(OR('Reels'!D154="attack",'Reels'!D154="magic"),CHOOSE('Reels'!D155+1,'Slots'!D29,'Slots'!D30,'Slots'!D31,'Slots'!D32,'Slots'!D33),0)+IF(OR('Reels'!D164="attack",'Reels'!D164="magic"),CHOOSE('Reels'!D165+1,'Slots'!D29,'Slots'!D30,'Slots'!D31,'Slots'!D32,'Slots'!D33),0)</f>
        <v>14</v>
      </c>
      <c r="E628">
        <f>IF('Reels'!D124="heal",'Reels'!D125*'Slots'!D24,0)+IF('Reels'!D154="heal",'Reels'!D155*'Slots'!D24,0)+IF('Reels'!D164="heal",'Reels'!D165*'Slots'!D24,0)</f>
        <v>0</v>
      </c>
      <c r="F628">
        <f>IF('Reels'!D124="block",'Reels'!D125*'Slots'!D25,0)+IF('Reels'!D154="block",'Reels'!D155*'Slots'!D25,0)+IF('Reels'!D164="block",'Reels'!D165*'Slots'!D25,0)</f>
        <v>0</v>
      </c>
      <c r="G628" t="b">
        <f>AND('Reels'!D124&lt;&gt;"blank",'Reels'!D124&lt;&gt;"class",'Reels'!D124='Reels'!D164,'Reels'!D125='Reels'!D165,OR('Reels'!D154="class",AND('Reels'!D154='Reels'!D124,'Reels'!D155='Reels'!D125)))</f>
        <v>1</v>
      </c>
      <c r="H628">
        <f>IF(G628,C628,0)</f>
        <v>0.0008263451062006487</v>
      </c>
    </row>
    <row r="629" spans="1:8" x14ac:dyDescent="0.25">
      <c r="A629" t="s">
        <v>258</v>
      </c>
      <c r="B629" t="s">
        <v>3916</v>
      </c>
      <c r="C629" s="4">
        <f>('Reels'!D126/('Reels'!D120+'Reels'!D123+'Reels'!D126+'Reels'!D129+'Reels'!D132+'Reels'!D135))*('Reels'!D156/('Reels'!D138+'Reels'!D141+'Reels'!D144+'Reels'!D147+'Reels'!D150+'Reels'!D153+'Reels'!D156))*('Reels'!D169/('Reels'!D160+'Reels'!D163+'Reels'!D166+'Reels'!D169+'Reels'!D172+'Reels'!D175))</f>
        <v>0.0005508967374670992</v>
      </c>
      <c r="D629">
        <f>IF(OR('Reels'!D124="attack",'Reels'!D124="magic"),CHOOSE('Reels'!D125+1,'Slots'!D29,'Slots'!D30,'Slots'!D31,'Slots'!D32,'Slots'!D33),0)+IF(OR('Reels'!D154="attack",'Reels'!D154="magic"),CHOOSE('Reels'!D155+1,'Slots'!D29,'Slots'!D30,'Slots'!D31,'Slots'!D32,'Slots'!D33),0)+IF(OR('Reels'!D167="attack",'Reels'!D167="magic"),CHOOSE('Reels'!D168+1,'Slots'!D29,'Slots'!D30,'Slots'!D31,'Slots'!D32,'Slots'!D33),0)</f>
        <v>7</v>
      </c>
      <c r="E629">
        <f>IF('Reels'!D124="heal",'Reels'!D125*'Slots'!D24,0)+IF('Reels'!D154="heal",'Reels'!D155*'Slots'!D24,0)+IF('Reels'!D167="heal",'Reels'!D168*'Slots'!D24,0)</f>
        <v>0</v>
      </c>
      <c r="F629">
        <f>IF('Reels'!D124="block",'Reels'!D125*'Slots'!D25,0)+IF('Reels'!D154="block",'Reels'!D155*'Slots'!D25,0)+IF('Reels'!D167="block",'Reels'!D168*'Slots'!D25,0)</f>
        <v>0</v>
      </c>
      <c r="G629" t="b">
        <f>AND('Reels'!D124&lt;&gt;"blank",'Reels'!D124&lt;&gt;"class",'Reels'!D124='Reels'!D167,'Reels'!D125='Reels'!D168,OR('Reels'!D154="class",AND('Reels'!D154='Reels'!D124,'Reels'!D155='Reels'!D125)))</f>
        <v>0</v>
      </c>
      <c r="H629">
        <f>IF(G629,C629,0)</f>
        <v>0</v>
      </c>
    </row>
    <row r="630" spans="1:8" x14ac:dyDescent="0.25">
      <c r="A630" t="s">
        <v>258</v>
      </c>
      <c r="B630" t="s">
        <v>3917</v>
      </c>
      <c r="C630" s="4">
        <f>('Reels'!D126/('Reels'!D120+'Reels'!D123+'Reels'!D126+'Reels'!D129+'Reels'!D132+'Reels'!D135))*('Reels'!D156/('Reels'!D138+'Reels'!D141+'Reels'!D144+'Reels'!D147+'Reels'!D150+'Reels'!D153+'Reels'!D156))*('Reels'!D172/('Reels'!D160+'Reels'!D163+'Reels'!D166+'Reels'!D169+'Reels'!D172+'Reels'!D175))</f>
        <v>0.0002754483687335496</v>
      </c>
      <c r="D630">
        <f>IF(OR('Reels'!D124="attack",'Reels'!D124="magic"),CHOOSE('Reels'!D125+1,'Slots'!D29,'Slots'!D30,'Slots'!D31,'Slots'!D32,'Slots'!D33),0)+IF(OR('Reels'!D154="attack",'Reels'!D154="magic"),CHOOSE('Reels'!D155+1,'Slots'!D29,'Slots'!D30,'Slots'!D31,'Slots'!D32,'Slots'!D33),0)+IF(OR('Reels'!D170="attack",'Reels'!D170="magic"),CHOOSE('Reels'!D171+1,'Slots'!D29,'Slots'!D30,'Slots'!D31,'Slots'!D32,'Slots'!D33),0)</f>
        <v>7</v>
      </c>
      <c r="E630">
        <f>IF('Reels'!D124="heal",'Reels'!D125*'Slots'!D24,0)+IF('Reels'!D154="heal",'Reels'!D155*'Slots'!D24,0)+IF('Reels'!D170="heal",'Reels'!D171*'Slots'!D24,0)</f>
        <v>0</v>
      </c>
      <c r="F630">
        <f>IF('Reels'!D124="block",'Reels'!D125*'Slots'!D25,0)+IF('Reels'!D154="block",'Reels'!D155*'Slots'!D25,0)+IF('Reels'!D170="block",'Reels'!D171*'Slots'!D25,0)</f>
        <v>1</v>
      </c>
      <c r="G630" t="b">
        <f>AND('Reels'!D124&lt;&gt;"blank",'Reels'!D124&lt;&gt;"class",'Reels'!D124='Reels'!D170,'Reels'!D125='Reels'!D171,OR('Reels'!D154="class",AND('Reels'!D154='Reels'!D124,'Reels'!D155='Reels'!D125)))</f>
        <v>0</v>
      </c>
      <c r="H630">
        <f>IF(G630,C630,0)</f>
        <v>0</v>
      </c>
    </row>
    <row r="631" spans="1:8" x14ac:dyDescent="0.25">
      <c r="A631" t="s">
        <v>258</v>
      </c>
      <c r="B631" t="s">
        <v>3918</v>
      </c>
      <c r="C631" s="4">
        <f>('Reels'!D126/('Reels'!D120+'Reels'!D123+'Reels'!D126+'Reels'!D129+'Reels'!D132+'Reels'!D135))*('Reels'!D156/('Reels'!D138+'Reels'!D141+'Reels'!D144+'Reels'!D147+'Reels'!D150+'Reels'!D153+'Reels'!D156))*('Reels'!D175/('Reels'!D160+'Reels'!D163+'Reels'!D166+'Reels'!D169+'Reels'!D172+'Reels'!D175))</f>
        <v>0.0011017934749341983</v>
      </c>
      <c r="D631">
        <f>IF(OR('Reels'!D124="attack",'Reels'!D124="magic"),CHOOSE('Reels'!D125+1,'Slots'!D29,'Slots'!D30,'Slots'!D31,'Slots'!D32,'Slots'!D33),0)+IF(OR('Reels'!D154="attack",'Reels'!D154="magic"),CHOOSE('Reels'!D155+1,'Slots'!D29,'Slots'!D30,'Slots'!D31,'Slots'!D32,'Slots'!D33),0)+IF(OR('Reels'!D173="attack",'Reels'!D173="magic"),CHOOSE('Reels'!D174+1,'Slots'!D29,'Slots'!D30,'Slots'!D31,'Slots'!D32,'Slots'!D33),0)</f>
        <v>7</v>
      </c>
      <c r="E631">
        <f>IF('Reels'!D124="heal",'Reels'!D125*'Slots'!D24,0)+IF('Reels'!D154="heal",'Reels'!D155*'Slots'!D24,0)+IF('Reels'!D173="heal",'Reels'!D174*'Slots'!D24,0)</f>
        <v>0</v>
      </c>
      <c r="F631">
        <f>IF('Reels'!D124="block",'Reels'!D125*'Slots'!D25,0)+IF('Reels'!D154="block",'Reels'!D155*'Slots'!D25,0)+IF('Reels'!D173="block",'Reels'!D174*'Slots'!D25,0)</f>
        <v>0</v>
      </c>
      <c r="G631" t="b">
        <f>AND('Reels'!D124&lt;&gt;"blank",'Reels'!D124&lt;&gt;"class",'Reels'!D124='Reels'!D173,'Reels'!D125='Reels'!D174,OR('Reels'!D154="class",AND('Reels'!D154='Reels'!D124,'Reels'!D155='Reels'!D125)))</f>
        <v>0</v>
      </c>
      <c r="H631">
        <f>IF(G631,C631,0)</f>
        <v>0</v>
      </c>
    </row>
    <row r="632" spans="1:8" x14ac:dyDescent="0.25">
      <c r="A632" t="s">
        <v>258</v>
      </c>
      <c r="B632" t="s">
        <v>3919</v>
      </c>
      <c r="C632" s="4">
        <f>('Reels'!D129/('Reels'!D120+'Reels'!D123+'Reels'!D126+'Reels'!D129+'Reels'!D132+'Reels'!D135))*('Reels'!D138/('Reels'!D138+'Reels'!D141+'Reels'!D144+'Reels'!D147+'Reels'!D150+'Reels'!D153+'Reels'!D156))*('Reels'!D160/('Reels'!D160+'Reels'!D163+'Reels'!D166+'Reels'!D169+'Reels'!D172+'Reels'!D175))</f>
        <v>0.007406500581502112</v>
      </c>
      <c r="D632">
        <f>IF(OR('Reels'!D127="attack",'Reels'!D127="magic"),CHOOSE('Reels'!D128+1,'Slots'!D29,'Slots'!D30,'Slots'!D31,'Slots'!D32,'Slots'!D33),0)+IF(OR('Reels'!D136="attack",'Reels'!D136="magic"),CHOOSE('Reels'!D137+1,'Slots'!D29,'Slots'!D30,'Slots'!D31,'Slots'!D32,'Slots'!D33),0)+IF(OR('Reels'!D158="attack",'Reels'!D158="magic"),CHOOSE('Reels'!D159+1,'Slots'!D29,'Slots'!D30,'Slots'!D31,'Slots'!D32,'Slots'!D33),0)</f>
        <v>4</v>
      </c>
      <c r="E632">
        <f>IF('Reels'!D127="heal",'Reels'!D128*'Slots'!D24,0)+IF('Reels'!D136="heal",'Reels'!D137*'Slots'!D24,0)+IF('Reels'!D158="heal",'Reels'!D159*'Slots'!D24,0)</f>
        <v>0</v>
      </c>
      <c r="F632">
        <f>IF('Reels'!D127="block",'Reels'!D128*'Slots'!D25,0)+IF('Reels'!D136="block",'Reels'!D137*'Slots'!D25,0)+IF('Reels'!D158="block",'Reels'!D159*'Slots'!D25,0)</f>
        <v>0</v>
      </c>
      <c r="G632" t="b">
        <f>AND('Reels'!D127&lt;&gt;"blank",'Reels'!D127&lt;&gt;"class",'Reels'!D127='Reels'!D158,'Reels'!D128='Reels'!D159,OR('Reels'!D136="class",AND('Reels'!D136='Reels'!D127,'Reels'!D137='Reels'!D128)))</f>
        <v>0</v>
      </c>
      <c r="H632">
        <f>IF(G632,C632,0)</f>
        <v>0</v>
      </c>
    </row>
    <row r="633" spans="1:8" x14ac:dyDescent="0.25">
      <c r="A633" t="s">
        <v>258</v>
      </c>
      <c r="B633" t="s">
        <v>3920</v>
      </c>
      <c r="C633" s="4">
        <f>('Reels'!D129/('Reels'!D120+'Reels'!D123+'Reels'!D126+'Reels'!D129+'Reels'!D132+'Reels'!D135))*('Reels'!D138/('Reels'!D138+'Reels'!D141+'Reels'!D144+'Reels'!D147+'Reels'!D150+'Reels'!D153+'Reels'!D156))*('Reels'!D163/('Reels'!D160+'Reels'!D163+'Reels'!D166+'Reels'!D169+'Reels'!D172+'Reels'!D175))</f>
        <v>0.006733182346820102</v>
      </c>
      <c r="D633">
        <f>IF(OR('Reels'!D127="attack",'Reels'!D127="magic"),CHOOSE('Reels'!D128+1,'Slots'!D29,'Slots'!D30,'Slots'!D31,'Slots'!D32,'Slots'!D33),0)+IF(OR('Reels'!D136="attack",'Reels'!D136="magic"),CHOOSE('Reels'!D137+1,'Slots'!D29,'Slots'!D30,'Slots'!D31,'Slots'!D32,'Slots'!D33),0)+IF(OR('Reels'!D161="attack",'Reels'!D161="magic"),CHOOSE('Reels'!D162+1,'Slots'!D29,'Slots'!D30,'Slots'!D31,'Slots'!D32,'Slots'!D33),0)</f>
        <v>6</v>
      </c>
      <c r="E633">
        <f>IF('Reels'!D127="heal",'Reels'!D128*'Slots'!D24,0)+IF('Reels'!D136="heal",'Reels'!D137*'Slots'!D24,0)+IF('Reels'!D161="heal",'Reels'!D162*'Slots'!D24,0)</f>
        <v>0</v>
      </c>
      <c r="F633">
        <f>IF('Reels'!D127="block",'Reels'!D128*'Slots'!D25,0)+IF('Reels'!D136="block",'Reels'!D137*'Slots'!D25,0)+IF('Reels'!D161="block",'Reels'!D162*'Slots'!D25,0)</f>
        <v>0</v>
      </c>
      <c r="G633" t="b">
        <f>AND('Reels'!D127&lt;&gt;"blank",'Reels'!D127&lt;&gt;"class",'Reels'!D127='Reels'!D161,'Reels'!D128='Reels'!D162,OR('Reels'!D136="class",AND('Reels'!D136='Reels'!D127,'Reels'!D137='Reels'!D128)))</f>
        <v>0</v>
      </c>
      <c r="H633">
        <f>IF(G633,C633,0)</f>
        <v>0</v>
      </c>
    </row>
    <row r="634" spans="1:8" x14ac:dyDescent="0.25">
      <c r="A634" t="s">
        <v>258</v>
      </c>
      <c r="B634" t="s">
        <v>3921</v>
      </c>
      <c r="C634" s="4">
        <f>('Reels'!D129/('Reels'!D120+'Reels'!D123+'Reels'!D126+'Reels'!D129+'Reels'!D132+'Reels'!D135))*('Reels'!D138/('Reels'!D138+'Reels'!D141+'Reels'!D144+'Reels'!D147+'Reels'!D150+'Reels'!D153+'Reels'!D156))*('Reels'!D166/('Reels'!D160+'Reels'!D163+'Reels'!D166+'Reels'!D169+'Reels'!D172+'Reels'!D175))</f>
        <v>0.0020199547040460307</v>
      </c>
      <c r="D634">
        <f>IF(OR('Reels'!D127="attack",'Reels'!D127="magic"),CHOOSE('Reels'!D128+1,'Slots'!D29,'Slots'!D30,'Slots'!D31,'Slots'!D32,'Slots'!D33),0)+IF(OR('Reels'!D136="attack",'Reels'!D136="magic"),CHOOSE('Reels'!D137+1,'Slots'!D29,'Slots'!D30,'Slots'!D31,'Slots'!D32,'Slots'!D33),0)+IF(OR('Reels'!D164="attack",'Reels'!D164="magic"),CHOOSE('Reels'!D165+1,'Slots'!D29,'Slots'!D30,'Slots'!D31,'Slots'!D32,'Slots'!D33),0)</f>
        <v>9</v>
      </c>
      <c r="E634">
        <f>IF('Reels'!D127="heal",'Reels'!D128*'Slots'!D24,0)+IF('Reels'!D136="heal",'Reels'!D137*'Slots'!D24,0)+IF('Reels'!D164="heal",'Reels'!D165*'Slots'!D24,0)</f>
        <v>0</v>
      </c>
      <c r="F634">
        <f>IF('Reels'!D127="block",'Reels'!D128*'Slots'!D25,0)+IF('Reels'!D136="block",'Reels'!D137*'Slots'!D25,0)+IF('Reels'!D164="block",'Reels'!D165*'Slots'!D25,0)</f>
        <v>0</v>
      </c>
      <c r="G634" t="b">
        <f>AND('Reels'!D127&lt;&gt;"blank",'Reels'!D127&lt;&gt;"class",'Reels'!D127='Reels'!D164,'Reels'!D128='Reels'!D165,OR('Reels'!D136="class",AND('Reels'!D136='Reels'!D127,'Reels'!D137='Reels'!D128)))</f>
        <v>0</v>
      </c>
      <c r="H634">
        <f>IF(G634,C634,0)</f>
        <v>0</v>
      </c>
    </row>
    <row r="635" spans="1:8" x14ac:dyDescent="0.25">
      <c r="A635" t="s">
        <v>258</v>
      </c>
      <c r="B635" t="s">
        <v>3922</v>
      </c>
      <c r="C635" s="4">
        <f>('Reels'!D129/('Reels'!D120+'Reels'!D123+'Reels'!D126+'Reels'!D129+'Reels'!D132+'Reels'!D135))*('Reels'!D138/('Reels'!D138+'Reels'!D141+'Reels'!D144+'Reels'!D147+'Reels'!D150+'Reels'!D153+'Reels'!D156))*('Reels'!D169/('Reels'!D160+'Reels'!D163+'Reels'!D166+'Reels'!D169+'Reels'!D172+'Reels'!D175))</f>
        <v>0.0013466364693640203</v>
      </c>
      <c r="D635">
        <f>IF(OR('Reels'!D127="attack",'Reels'!D127="magic"),CHOOSE('Reels'!D128+1,'Slots'!D29,'Slots'!D30,'Slots'!D31,'Slots'!D32,'Slots'!D33),0)+IF(OR('Reels'!D136="attack",'Reels'!D136="magic"),CHOOSE('Reels'!D137+1,'Slots'!D29,'Slots'!D30,'Slots'!D31,'Slots'!D32,'Slots'!D33),0)+IF(OR('Reels'!D167="attack",'Reels'!D167="magic"),CHOOSE('Reels'!D168+1,'Slots'!D29,'Slots'!D30,'Slots'!D31,'Slots'!D32,'Slots'!D33),0)</f>
        <v>2</v>
      </c>
      <c r="E635">
        <f>IF('Reels'!D127="heal",'Reels'!D128*'Slots'!D24,0)+IF('Reels'!D136="heal",'Reels'!D137*'Slots'!D24,0)+IF('Reels'!D167="heal",'Reels'!D168*'Slots'!D24,0)</f>
        <v>0</v>
      </c>
      <c r="F635">
        <f>IF('Reels'!D127="block",'Reels'!D128*'Slots'!D25,0)+IF('Reels'!D136="block",'Reels'!D137*'Slots'!D25,0)+IF('Reels'!D167="block",'Reels'!D168*'Slots'!D25,0)</f>
        <v>0</v>
      </c>
      <c r="G635" t="b">
        <f>AND('Reels'!D127&lt;&gt;"blank",'Reels'!D127&lt;&gt;"class",'Reels'!D127='Reels'!D167,'Reels'!D128='Reels'!D168,OR('Reels'!D136="class",AND('Reels'!D136='Reels'!D127,'Reels'!D137='Reels'!D128)))</f>
        <v>0</v>
      </c>
      <c r="H635">
        <f>IF(G635,C635,0)</f>
        <v>0</v>
      </c>
    </row>
    <row r="636" spans="1:8" x14ac:dyDescent="0.25">
      <c r="A636" t="s">
        <v>258</v>
      </c>
      <c r="B636" t="s">
        <v>3923</v>
      </c>
      <c r="C636" s="4">
        <f>('Reels'!D129/('Reels'!D120+'Reels'!D123+'Reels'!D126+'Reels'!D129+'Reels'!D132+'Reels'!D135))*('Reels'!D138/('Reels'!D138+'Reels'!D141+'Reels'!D144+'Reels'!D147+'Reels'!D150+'Reels'!D153+'Reels'!D156))*('Reels'!D172/('Reels'!D160+'Reels'!D163+'Reels'!D166+'Reels'!D169+'Reels'!D172+'Reels'!D175))</f>
        <v>0.0006733182346820102</v>
      </c>
      <c r="D636">
        <f>IF(OR('Reels'!D127="attack",'Reels'!D127="magic"),CHOOSE('Reels'!D128+1,'Slots'!D29,'Slots'!D30,'Slots'!D31,'Slots'!D32,'Slots'!D33),0)+IF(OR('Reels'!D136="attack",'Reels'!D136="magic"),CHOOSE('Reels'!D137+1,'Slots'!D29,'Slots'!D30,'Slots'!D31,'Slots'!D32,'Slots'!D33),0)+IF(OR('Reels'!D170="attack",'Reels'!D170="magic"),CHOOSE('Reels'!D171+1,'Slots'!D29,'Slots'!D30,'Slots'!D31,'Slots'!D32,'Slots'!D33),0)</f>
        <v>2</v>
      </c>
      <c r="E636">
        <f>IF('Reels'!D127="heal",'Reels'!D128*'Slots'!D24,0)+IF('Reels'!D136="heal",'Reels'!D137*'Slots'!D24,0)+IF('Reels'!D170="heal",'Reels'!D171*'Slots'!D24,0)</f>
        <v>0</v>
      </c>
      <c r="F636">
        <f>IF('Reels'!D127="block",'Reels'!D128*'Slots'!D25,0)+IF('Reels'!D136="block",'Reels'!D137*'Slots'!D25,0)+IF('Reels'!D170="block",'Reels'!D171*'Slots'!D25,0)</f>
        <v>1</v>
      </c>
      <c r="G636" t="b">
        <f>AND('Reels'!D127&lt;&gt;"blank",'Reels'!D127&lt;&gt;"class",'Reels'!D127='Reels'!D170,'Reels'!D128='Reels'!D171,OR('Reels'!D136="class",AND('Reels'!D136='Reels'!D127,'Reels'!D137='Reels'!D128)))</f>
        <v>0</v>
      </c>
      <c r="H636">
        <f>IF(G636,C636,0)</f>
        <v>0</v>
      </c>
    </row>
    <row r="637" spans="1:8" x14ac:dyDescent="0.25">
      <c r="A637" t="s">
        <v>258</v>
      </c>
      <c r="B637" t="s">
        <v>3924</v>
      </c>
      <c r="C637" s="4">
        <f>('Reels'!D129/('Reels'!D120+'Reels'!D123+'Reels'!D126+'Reels'!D129+'Reels'!D132+'Reels'!D135))*('Reels'!D138/('Reels'!D138+'Reels'!D141+'Reels'!D144+'Reels'!D147+'Reels'!D150+'Reels'!D153+'Reels'!D156))*('Reels'!D175/('Reels'!D160+'Reels'!D163+'Reels'!D166+'Reels'!D169+'Reels'!D172+'Reels'!D175))</f>
        <v>0.0026932729387280406</v>
      </c>
      <c r="D637">
        <f>IF(OR('Reels'!D127="attack",'Reels'!D127="magic"),CHOOSE('Reels'!D128+1,'Slots'!D29,'Slots'!D30,'Slots'!D31,'Slots'!D32,'Slots'!D33),0)+IF(OR('Reels'!D136="attack",'Reels'!D136="magic"),CHOOSE('Reels'!D137+1,'Slots'!D29,'Slots'!D30,'Slots'!D31,'Slots'!D32,'Slots'!D33),0)+IF(OR('Reels'!D173="attack",'Reels'!D173="magic"),CHOOSE('Reels'!D174+1,'Slots'!D29,'Slots'!D30,'Slots'!D31,'Slots'!D32,'Slots'!D33),0)</f>
        <v>2</v>
      </c>
      <c r="E637">
        <f>IF('Reels'!D127="heal",'Reels'!D128*'Slots'!D24,0)+IF('Reels'!D136="heal",'Reels'!D137*'Slots'!D24,0)+IF('Reels'!D173="heal",'Reels'!D174*'Slots'!D24,0)</f>
        <v>0</v>
      </c>
      <c r="F637">
        <f>IF('Reels'!D127="block",'Reels'!D128*'Slots'!D25,0)+IF('Reels'!D136="block",'Reels'!D137*'Slots'!D25,0)+IF('Reels'!D173="block",'Reels'!D174*'Slots'!D25,0)</f>
        <v>0</v>
      </c>
      <c r="G637" t="b">
        <f>AND('Reels'!D127&lt;&gt;"blank",'Reels'!D127&lt;&gt;"class",'Reels'!D127='Reels'!D173,'Reels'!D128='Reels'!D174,OR('Reels'!D136="class",AND('Reels'!D136='Reels'!D127,'Reels'!D137='Reels'!D128)))</f>
        <v>0</v>
      </c>
      <c r="H637">
        <f>IF(G637,C637,0)</f>
        <v>0</v>
      </c>
    </row>
    <row r="638" spans="1:8" x14ac:dyDescent="0.25">
      <c r="A638" t="s">
        <v>258</v>
      </c>
      <c r="B638" t="s">
        <v>3925</v>
      </c>
      <c r="C638" s="4">
        <f>('Reels'!D129/('Reels'!D120+'Reels'!D123+'Reels'!D126+'Reels'!D129+'Reels'!D132+'Reels'!D135))*('Reels'!D141/('Reels'!D138+'Reels'!D141+'Reels'!D144+'Reels'!D147+'Reels'!D150+'Reels'!D153+'Reels'!D156))*('Reels'!D160/('Reels'!D160+'Reels'!D163+'Reels'!D166+'Reels'!D169+'Reels'!D172+'Reels'!D175))</f>
        <v>0.006733182346820101</v>
      </c>
      <c r="D638">
        <f>IF(OR('Reels'!D127="attack",'Reels'!D127="magic"),CHOOSE('Reels'!D128+1,'Slots'!D29,'Slots'!D30,'Slots'!D31,'Slots'!D32,'Slots'!D33),0)+IF(OR('Reels'!D139="attack",'Reels'!D139="magic"),CHOOSE('Reels'!D140+1,'Slots'!D29,'Slots'!D30,'Slots'!D31,'Slots'!D32,'Slots'!D33),0)+IF(OR('Reels'!D158="attack",'Reels'!D158="magic"),CHOOSE('Reels'!D159+1,'Slots'!D29,'Slots'!D30,'Slots'!D31,'Slots'!D32,'Slots'!D33),0)</f>
        <v>6</v>
      </c>
      <c r="E638">
        <f>IF('Reels'!D127="heal",'Reels'!D128*'Slots'!D24,0)+IF('Reels'!D139="heal",'Reels'!D140*'Slots'!D24,0)+IF('Reels'!D158="heal",'Reels'!D159*'Slots'!D24,0)</f>
        <v>0</v>
      </c>
      <c r="F638">
        <f>IF('Reels'!D127="block",'Reels'!D128*'Slots'!D25,0)+IF('Reels'!D139="block",'Reels'!D140*'Slots'!D25,0)+IF('Reels'!D158="block",'Reels'!D159*'Slots'!D25,0)</f>
        <v>0</v>
      </c>
      <c r="G638" t="b">
        <f>AND('Reels'!D127&lt;&gt;"blank",'Reels'!D127&lt;&gt;"class",'Reels'!D127='Reels'!D158,'Reels'!D128='Reels'!D159,OR('Reels'!D139="class",AND('Reels'!D139='Reels'!D127,'Reels'!D140='Reels'!D128)))</f>
        <v>0</v>
      </c>
      <c r="H638">
        <f>IF(G638,C638,0)</f>
        <v>0</v>
      </c>
    </row>
    <row r="639" spans="1:8" x14ac:dyDescent="0.25">
      <c r="A639" t="s">
        <v>258</v>
      </c>
      <c r="B639" t="s">
        <v>3926</v>
      </c>
      <c r="C639" s="4">
        <f>('Reels'!D129/('Reels'!D120+'Reels'!D123+'Reels'!D126+'Reels'!D129+'Reels'!D132+'Reels'!D135))*('Reels'!D141/('Reels'!D138+'Reels'!D141+'Reels'!D144+'Reels'!D147+'Reels'!D150+'Reels'!D153+'Reels'!D156))*('Reels'!D163/('Reels'!D160+'Reels'!D163+'Reels'!D166+'Reels'!D169+'Reels'!D172+'Reels'!D175))</f>
        <v>0.006121074860745547</v>
      </c>
      <c r="D639">
        <f>IF(OR('Reels'!D127="attack",'Reels'!D127="magic"),CHOOSE('Reels'!D128+1,'Slots'!D29,'Slots'!D30,'Slots'!D31,'Slots'!D32,'Slots'!D33),0)+IF(OR('Reels'!D139="attack",'Reels'!D139="magic"),CHOOSE('Reels'!D140+1,'Slots'!D29,'Slots'!D30,'Slots'!D31,'Slots'!D32,'Slots'!D33),0)+IF(OR('Reels'!D161="attack",'Reels'!D161="magic"),CHOOSE('Reels'!D162+1,'Slots'!D29,'Slots'!D30,'Slots'!D31,'Slots'!D32,'Slots'!D33),0)</f>
        <v>8</v>
      </c>
      <c r="E639">
        <f>IF('Reels'!D127="heal",'Reels'!D128*'Slots'!D24,0)+IF('Reels'!D139="heal",'Reels'!D140*'Slots'!D24,0)+IF('Reels'!D161="heal",'Reels'!D162*'Slots'!D24,0)</f>
        <v>0</v>
      </c>
      <c r="F639">
        <f>IF('Reels'!D127="block",'Reels'!D128*'Slots'!D25,0)+IF('Reels'!D139="block",'Reels'!D140*'Slots'!D25,0)+IF('Reels'!D161="block",'Reels'!D162*'Slots'!D25,0)</f>
        <v>0</v>
      </c>
      <c r="G639" t="b">
        <f>AND('Reels'!D127&lt;&gt;"blank",'Reels'!D127&lt;&gt;"class",'Reels'!D127='Reels'!D161,'Reels'!D128='Reels'!D162,OR('Reels'!D139="class",AND('Reels'!D139='Reels'!D127,'Reels'!D140='Reels'!D128)))</f>
        <v>0</v>
      </c>
      <c r="H639">
        <f>IF(G639,C639,0)</f>
        <v>0</v>
      </c>
    </row>
    <row r="640" spans="1:8" x14ac:dyDescent="0.25">
      <c r="A640" t="s">
        <v>258</v>
      </c>
      <c r="B640" t="s">
        <v>3927</v>
      </c>
      <c r="C640" s="4">
        <f>('Reels'!D129/('Reels'!D120+'Reels'!D123+'Reels'!D126+'Reels'!D129+'Reels'!D132+'Reels'!D135))*('Reels'!D141/('Reels'!D138+'Reels'!D141+'Reels'!D144+'Reels'!D147+'Reels'!D150+'Reels'!D153+'Reels'!D156))*('Reels'!D166/('Reels'!D160+'Reels'!D163+'Reels'!D166+'Reels'!D169+'Reels'!D172+'Reels'!D175))</f>
        <v>0.001836322458223664</v>
      </c>
      <c r="D640">
        <f>IF(OR('Reels'!D127="attack",'Reels'!D127="magic"),CHOOSE('Reels'!D128+1,'Slots'!D29,'Slots'!D30,'Slots'!D31,'Slots'!D32,'Slots'!D33),0)+IF(OR('Reels'!D139="attack",'Reels'!D139="magic"),CHOOSE('Reels'!D140+1,'Slots'!D29,'Slots'!D30,'Slots'!D31,'Slots'!D32,'Slots'!D33),0)+IF(OR('Reels'!D164="attack",'Reels'!D164="magic"),CHOOSE('Reels'!D165+1,'Slots'!D29,'Slots'!D30,'Slots'!D31,'Slots'!D32,'Slots'!D33),0)</f>
        <v>11</v>
      </c>
      <c r="E640">
        <f>IF('Reels'!D127="heal",'Reels'!D128*'Slots'!D24,0)+IF('Reels'!D139="heal",'Reels'!D140*'Slots'!D24,0)+IF('Reels'!D164="heal",'Reels'!D165*'Slots'!D24,0)</f>
        <v>0</v>
      </c>
      <c r="F640">
        <f>IF('Reels'!D127="block",'Reels'!D128*'Slots'!D25,0)+IF('Reels'!D139="block",'Reels'!D140*'Slots'!D25,0)+IF('Reels'!D164="block",'Reels'!D165*'Slots'!D25,0)</f>
        <v>0</v>
      </c>
      <c r="G640" t="b">
        <f>AND('Reels'!D127&lt;&gt;"blank",'Reels'!D127&lt;&gt;"class",'Reels'!D127='Reels'!D164,'Reels'!D128='Reels'!D165,OR('Reels'!D139="class",AND('Reels'!D139='Reels'!D127,'Reels'!D140='Reels'!D128)))</f>
        <v>0</v>
      </c>
      <c r="H640">
        <f>IF(G640,C640,0)</f>
        <v>0</v>
      </c>
    </row>
    <row r="641" spans="1:8" x14ac:dyDescent="0.25">
      <c r="A641" t="s">
        <v>258</v>
      </c>
      <c r="B641" t="s">
        <v>3928</v>
      </c>
      <c r="C641" s="4">
        <f>('Reels'!D129/('Reels'!D120+'Reels'!D123+'Reels'!D126+'Reels'!D129+'Reels'!D132+'Reels'!D135))*('Reels'!D141/('Reels'!D138+'Reels'!D141+'Reels'!D144+'Reels'!D147+'Reels'!D150+'Reels'!D153+'Reels'!D156))*('Reels'!D169/('Reels'!D160+'Reels'!D163+'Reels'!D166+'Reels'!D169+'Reels'!D172+'Reels'!D175))</f>
        <v>0.0012242149721491094</v>
      </c>
      <c r="D641">
        <f>IF(OR('Reels'!D127="attack",'Reels'!D127="magic"),CHOOSE('Reels'!D128+1,'Slots'!D29,'Slots'!D30,'Slots'!D31,'Slots'!D32,'Slots'!D33),0)+IF(OR('Reels'!D139="attack",'Reels'!D139="magic"),CHOOSE('Reels'!D140+1,'Slots'!D29,'Slots'!D30,'Slots'!D31,'Slots'!D32,'Slots'!D33),0)+IF(OR('Reels'!D167="attack",'Reels'!D167="magic"),CHOOSE('Reels'!D168+1,'Slots'!D29,'Slots'!D30,'Slots'!D31,'Slots'!D32,'Slots'!D33),0)</f>
        <v>4</v>
      </c>
      <c r="E641">
        <f>IF('Reels'!D127="heal",'Reels'!D128*'Slots'!D24,0)+IF('Reels'!D139="heal",'Reels'!D140*'Slots'!D24,0)+IF('Reels'!D167="heal",'Reels'!D168*'Slots'!D24,0)</f>
        <v>0</v>
      </c>
      <c r="F641">
        <f>IF('Reels'!D127="block",'Reels'!D128*'Slots'!D25,0)+IF('Reels'!D139="block",'Reels'!D140*'Slots'!D25,0)+IF('Reels'!D167="block",'Reels'!D168*'Slots'!D25,0)</f>
        <v>0</v>
      </c>
      <c r="G641" t="b">
        <f>AND('Reels'!D127&lt;&gt;"blank",'Reels'!D127&lt;&gt;"class",'Reels'!D127='Reels'!D167,'Reels'!D128='Reels'!D168,OR('Reels'!D139="class",AND('Reels'!D139='Reels'!D127,'Reels'!D140='Reels'!D128)))</f>
        <v>0</v>
      </c>
      <c r="H641">
        <f>IF(G641,C641,0)</f>
        <v>0</v>
      </c>
    </row>
    <row r="642" spans="1:8" x14ac:dyDescent="0.25">
      <c r="A642" t="s">
        <v>258</v>
      </c>
      <c r="B642" t="s">
        <v>3929</v>
      </c>
      <c r="C642" s="4">
        <f>('Reels'!D129/('Reels'!D120+'Reels'!D123+'Reels'!D126+'Reels'!D129+'Reels'!D132+'Reels'!D135))*('Reels'!D141/('Reels'!D138+'Reels'!D141+'Reels'!D144+'Reels'!D147+'Reels'!D150+'Reels'!D153+'Reels'!D156))*('Reels'!D172/('Reels'!D160+'Reels'!D163+'Reels'!D166+'Reels'!D169+'Reels'!D172+'Reels'!D175))</f>
        <v>0.0006121074860745547</v>
      </c>
      <c r="D642">
        <f>IF(OR('Reels'!D127="attack",'Reels'!D127="magic"),CHOOSE('Reels'!D128+1,'Slots'!D29,'Slots'!D30,'Slots'!D31,'Slots'!D32,'Slots'!D33),0)+IF(OR('Reels'!D139="attack",'Reels'!D139="magic"),CHOOSE('Reels'!D140+1,'Slots'!D29,'Slots'!D30,'Slots'!D31,'Slots'!D32,'Slots'!D33),0)+IF(OR('Reels'!D170="attack",'Reels'!D170="magic"),CHOOSE('Reels'!D171+1,'Slots'!D29,'Slots'!D30,'Slots'!D31,'Slots'!D32,'Slots'!D33),0)</f>
        <v>4</v>
      </c>
      <c r="E642">
        <f>IF('Reels'!D127="heal",'Reels'!D128*'Slots'!D24,0)+IF('Reels'!D139="heal",'Reels'!D140*'Slots'!D24,0)+IF('Reels'!D170="heal",'Reels'!D171*'Slots'!D24,0)</f>
        <v>0</v>
      </c>
      <c r="F642">
        <f>IF('Reels'!D127="block",'Reels'!D128*'Slots'!D25,0)+IF('Reels'!D139="block",'Reels'!D140*'Slots'!D25,0)+IF('Reels'!D170="block",'Reels'!D171*'Slots'!D25,0)</f>
        <v>1</v>
      </c>
      <c r="G642" t="b">
        <f>AND('Reels'!D127&lt;&gt;"blank",'Reels'!D127&lt;&gt;"class",'Reels'!D127='Reels'!D170,'Reels'!D128='Reels'!D171,OR('Reels'!D139="class",AND('Reels'!D139='Reels'!D127,'Reels'!D140='Reels'!D128)))</f>
        <v>0</v>
      </c>
      <c r="H642">
        <f>IF(G642,C642,0)</f>
        <v>0</v>
      </c>
    </row>
    <row r="643" spans="1:8" x14ac:dyDescent="0.25">
      <c r="A643" t="s">
        <v>258</v>
      </c>
      <c r="B643" t="s">
        <v>3930</v>
      </c>
      <c r="C643" s="4">
        <f>('Reels'!D129/('Reels'!D120+'Reels'!D123+'Reels'!D126+'Reels'!D129+'Reels'!D132+'Reels'!D135))*('Reels'!D141/('Reels'!D138+'Reels'!D141+'Reels'!D144+'Reels'!D147+'Reels'!D150+'Reels'!D153+'Reels'!D156))*('Reels'!D175/('Reels'!D160+'Reels'!D163+'Reels'!D166+'Reels'!D169+'Reels'!D172+'Reels'!D175))</f>
        <v>0.002448429944298219</v>
      </c>
      <c r="D643">
        <f>IF(OR('Reels'!D127="attack",'Reels'!D127="magic"),CHOOSE('Reels'!D128+1,'Slots'!D29,'Slots'!D30,'Slots'!D31,'Slots'!D32,'Slots'!D33),0)+IF(OR('Reels'!D139="attack",'Reels'!D139="magic"),CHOOSE('Reels'!D140+1,'Slots'!D29,'Slots'!D30,'Slots'!D31,'Slots'!D32,'Slots'!D33),0)+IF(OR('Reels'!D173="attack",'Reels'!D173="magic"),CHOOSE('Reels'!D174+1,'Slots'!D29,'Slots'!D30,'Slots'!D31,'Slots'!D32,'Slots'!D33),0)</f>
        <v>4</v>
      </c>
      <c r="E643">
        <f>IF('Reels'!D127="heal",'Reels'!D128*'Slots'!D24,0)+IF('Reels'!D139="heal",'Reels'!D140*'Slots'!D24,0)+IF('Reels'!D173="heal",'Reels'!D174*'Slots'!D24,0)</f>
        <v>0</v>
      </c>
      <c r="F643">
        <f>IF('Reels'!D127="block",'Reels'!D128*'Slots'!D25,0)+IF('Reels'!D139="block",'Reels'!D140*'Slots'!D25,0)+IF('Reels'!D173="block",'Reels'!D174*'Slots'!D25,0)</f>
        <v>0</v>
      </c>
      <c r="G643" t="b">
        <f>AND('Reels'!D127&lt;&gt;"blank",'Reels'!D127&lt;&gt;"class",'Reels'!D127='Reels'!D173,'Reels'!D128='Reels'!D174,OR('Reels'!D139="class",AND('Reels'!D139='Reels'!D127,'Reels'!D140='Reels'!D128)))</f>
        <v>0</v>
      </c>
      <c r="H643">
        <f>IF(G643,C643,0)</f>
        <v>0</v>
      </c>
    </row>
    <row r="644" spans="1:8" x14ac:dyDescent="0.25">
      <c r="A644" t="s">
        <v>258</v>
      </c>
      <c r="B644" t="s">
        <v>3931</v>
      </c>
      <c r="C644" s="4">
        <f>('Reels'!D129/('Reels'!D120+'Reels'!D123+'Reels'!D126+'Reels'!D129+'Reels'!D132+'Reels'!D135))*('Reels'!D144/('Reels'!D138+'Reels'!D141+'Reels'!D144+'Reels'!D147+'Reels'!D150+'Reels'!D153+'Reels'!D156))*('Reels'!D160/('Reels'!D160+'Reels'!D163+'Reels'!D166+'Reels'!D169+'Reels'!D172+'Reels'!D175))</f>
        <v>0.0020199547040460307</v>
      </c>
      <c r="D644">
        <f>IF(OR('Reels'!D127="attack",'Reels'!D127="magic"),CHOOSE('Reels'!D128+1,'Slots'!D29,'Slots'!D30,'Slots'!D31,'Slots'!D32,'Slots'!D33),0)+IF(OR('Reels'!D142="attack",'Reels'!D142="magic"),CHOOSE('Reels'!D143+1,'Slots'!D29,'Slots'!D30,'Slots'!D31,'Slots'!D32,'Slots'!D33),0)+IF(OR('Reels'!D158="attack",'Reels'!D158="magic"),CHOOSE('Reels'!D159+1,'Slots'!D29,'Slots'!D30,'Slots'!D31,'Slots'!D32,'Slots'!D33),0)</f>
        <v>9</v>
      </c>
      <c r="E644">
        <f>IF('Reels'!D127="heal",'Reels'!D128*'Slots'!D24,0)+IF('Reels'!D142="heal",'Reels'!D143*'Slots'!D24,0)+IF('Reels'!D158="heal",'Reels'!D159*'Slots'!D24,0)</f>
        <v>0</v>
      </c>
      <c r="F644">
        <f>IF('Reels'!D127="block",'Reels'!D128*'Slots'!D25,0)+IF('Reels'!D142="block",'Reels'!D143*'Slots'!D25,0)+IF('Reels'!D158="block",'Reels'!D159*'Slots'!D25,0)</f>
        <v>0</v>
      </c>
      <c r="G644" t="b">
        <f>AND('Reels'!D127&lt;&gt;"blank",'Reels'!D127&lt;&gt;"class",'Reels'!D127='Reels'!D158,'Reels'!D128='Reels'!D159,OR('Reels'!D142="class",AND('Reels'!D142='Reels'!D127,'Reels'!D143='Reels'!D128)))</f>
        <v>0</v>
      </c>
      <c r="H644">
        <f>IF(G644,C644,0)</f>
        <v>0</v>
      </c>
    </row>
    <row r="645" spans="1:8" x14ac:dyDescent="0.25">
      <c r="A645" t="s">
        <v>258</v>
      </c>
      <c r="B645" t="s">
        <v>3932</v>
      </c>
      <c r="C645" s="4">
        <f>('Reels'!D129/('Reels'!D120+'Reels'!D123+'Reels'!D126+'Reels'!D129+'Reels'!D132+'Reels'!D135))*('Reels'!D144/('Reels'!D138+'Reels'!D141+'Reels'!D144+'Reels'!D147+'Reels'!D150+'Reels'!D153+'Reels'!D156))*('Reels'!D163/('Reels'!D160+'Reels'!D163+'Reels'!D166+'Reels'!D169+'Reels'!D172+'Reels'!D175))</f>
        <v>0.001836322458223664</v>
      </c>
      <c r="D645">
        <f>IF(OR('Reels'!D127="attack",'Reels'!D127="magic"),CHOOSE('Reels'!D128+1,'Slots'!D29,'Slots'!D30,'Slots'!D31,'Slots'!D32,'Slots'!D33),0)+IF(OR('Reels'!D142="attack",'Reels'!D142="magic"),CHOOSE('Reels'!D143+1,'Slots'!D29,'Slots'!D30,'Slots'!D31,'Slots'!D32,'Slots'!D33),0)+IF(OR('Reels'!D161="attack",'Reels'!D161="magic"),CHOOSE('Reels'!D162+1,'Slots'!D29,'Slots'!D30,'Slots'!D31,'Slots'!D32,'Slots'!D33),0)</f>
        <v>11</v>
      </c>
      <c r="E645">
        <f>IF('Reels'!D127="heal",'Reels'!D128*'Slots'!D24,0)+IF('Reels'!D142="heal",'Reels'!D143*'Slots'!D24,0)+IF('Reels'!D161="heal",'Reels'!D162*'Slots'!D24,0)</f>
        <v>0</v>
      </c>
      <c r="F645">
        <f>IF('Reels'!D127="block",'Reels'!D128*'Slots'!D25,0)+IF('Reels'!D142="block",'Reels'!D143*'Slots'!D25,0)+IF('Reels'!D161="block",'Reels'!D162*'Slots'!D25,0)</f>
        <v>0</v>
      </c>
      <c r="G645" t="b">
        <f>AND('Reels'!D127&lt;&gt;"blank",'Reels'!D127&lt;&gt;"class",'Reels'!D127='Reels'!D161,'Reels'!D128='Reels'!D162,OR('Reels'!D142="class",AND('Reels'!D142='Reels'!D127,'Reels'!D143='Reels'!D128)))</f>
        <v>0</v>
      </c>
      <c r="H645">
        <f>IF(G645,C645,0)</f>
        <v>0</v>
      </c>
    </row>
    <row r="646" spans="1:8" x14ac:dyDescent="0.25">
      <c r="A646" t="s">
        <v>258</v>
      </c>
      <c r="B646" t="s">
        <v>3933</v>
      </c>
      <c r="C646" s="4">
        <f>('Reels'!D129/('Reels'!D120+'Reels'!D123+'Reels'!D126+'Reels'!D129+'Reels'!D132+'Reels'!D135))*('Reels'!D144/('Reels'!D138+'Reels'!D141+'Reels'!D144+'Reels'!D147+'Reels'!D150+'Reels'!D153+'Reels'!D156))*('Reels'!D166/('Reels'!D160+'Reels'!D163+'Reels'!D166+'Reels'!D169+'Reels'!D172+'Reels'!D175))</f>
        <v>0.0005508967374670993</v>
      </c>
      <c r="D646">
        <f>IF(OR('Reels'!D127="attack",'Reels'!D127="magic"),CHOOSE('Reels'!D128+1,'Slots'!D29,'Slots'!D30,'Slots'!D31,'Slots'!D32,'Slots'!D33),0)+IF(OR('Reels'!D142="attack",'Reels'!D142="magic"),CHOOSE('Reels'!D143+1,'Slots'!D29,'Slots'!D30,'Slots'!D31,'Slots'!D32,'Slots'!D33),0)+IF(OR('Reels'!D164="attack",'Reels'!D164="magic"),CHOOSE('Reels'!D165+1,'Slots'!D29,'Slots'!D30,'Slots'!D31,'Slots'!D32,'Slots'!D33),0)</f>
        <v>14</v>
      </c>
      <c r="E646">
        <f>IF('Reels'!D127="heal",'Reels'!D128*'Slots'!D24,0)+IF('Reels'!D142="heal",'Reels'!D143*'Slots'!D24,0)+IF('Reels'!D164="heal",'Reels'!D165*'Slots'!D24,0)</f>
        <v>0</v>
      </c>
      <c r="F646">
        <f>IF('Reels'!D127="block",'Reels'!D128*'Slots'!D25,0)+IF('Reels'!D142="block",'Reels'!D143*'Slots'!D25,0)+IF('Reels'!D164="block",'Reels'!D165*'Slots'!D25,0)</f>
        <v>0</v>
      </c>
      <c r="G646" t="b">
        <f>AND('Reels'!D127&lt;&gt;"blank",'Reels'!D127&lt;&gt;"class",'Reels'!D127='Reels'!D164,'Reels'!D128='Reels'!D165,OR('Reels'!D142="class",AND('Reels'!D142='Reels'!D127,'Reels'!D143='Reels'!D128)))</f>
        <v>0</v>
      </c>
      <c r="H646">
        <f>IF(G646,C646,0)</f>
        <v>0</v>
      </c>
    </row>
    <row r="647" spans="1:8" x14ac:dyDescent="0.25">
      <c r="A647" t="s">
        <v>258</v>
      </c>
      <c r="B647" t="s">
        <v>3934</v>
      </c>
      <c r="C647" s="4">
        <f>('Reels'!D129/('Reels'!D120+'Reels'!D123+'Reels'!D126+'Reels'!D129+'Reels'!D132+'Reels'!D135))*('Reels'!D144/('Reels'!D138+'Reels'!D141+'Reels'!D144+'Reels'!D147+'Reels'!D150+'Reels'!D153+'Reels'!D156))*('Reels'!D169/('Reels'!D160+'Reels'!D163+'Reels'!D166+'Reels'!D169+'Reels'!D172+'Reels'!D175))</f>
        <v>0.0003672644916447328</v>
      </c>
      <c r="D647">
        <f>IF(OR('Reels'!D127="attack",'Reels'!D127="magic"),CHOOSE('Reels'!D128+1,'Slots'!D29,'Slots'!D30,'Slots'!D31,'Slots'!D32,'Slots'!D33),0)+IF(OR('Reels'!D142="attack",'Reels'!D142="magic"),CHOOSE('Reels'!D143+1,'Slots'!D29,'Slots'!D30,'Slots'!D31,'Slots'!D32,'Slots'!D33),0)+IF(OR('Reels'!D167="attack",'Reels'!D167="magic"),CHOOSE('Reels'!D168+1,'Slots'!D29,'Slots'!D30,'Slots'!D31,'Slots'!D32,'Slots'!D33),0)</f>
        <v>7</v>
      </c>
      <c r="E647">
        <f>IF('Reels'!D127="heal",'Reels'!D128*'Slots'!D24,0)+IF('Reels'!D142="heal",'Reels'!D143*'Slots'!D24,0)+IF('Reels'!D167="heal",'Reels'!D168*'Slots'!D24,0)</f>
        <v>0</v>
      </c>
      <c r="F647">
        <f>IF('Reels'!D127="block",'Reels'!D128*'Slots'!D25,0)+IF('Reels'!D142="block",'Reels'!D143*'Slots'!D25,0)+IF('Reels'!D167="block",'Reels'!D168*'Slots'!D25,0)</f>
        <v>0</v>
      </c>
      <c r="G647" t="b">
        <f>AND('Reels'!D127&lt;&gt;"blank",'Reels'!D127&lt;&gt;"class",'Reels'!D127='Reels'!D167,'Reels'!D128='Reels'!D168,OR('Reels'!D142="class",AND('Reels'!D142='Reels'!D127,'Reels'!D143='Reels'!D128)))</f>
        <v>0</v>
      </c>
      <c r="H647">
        <f>IF(G647,C647,0)</f>
        <v>0</v>
      </c>
    </row>
    <row r="648" spans="1:8" x14ac:dyDescent="0.25">
      <c r="A648" t="s">
        <v>258</v>
      </c>
      <c r="B648" t="s">
        <v>3935</v>
      </c>
      <c r="C648" s="4">
        <f>('Reels'!D129/('Reels'!D120+'Reels'!D123+'Reels'!D126+'Reels'!D129+'Reels'!D132+'Reels'!D135))*('Reels'!D144/('Reels'!D138+'Reels'!D141+'Reels'!D144+'Reels'!D147+'Reels'!D150+'Reels'!D153+'Reels'!D156))*('Reels'!D172/('Reels'!D160+'Reels'!D163+'Reels'!D166+'Reels'!D169+'Reels'!D172+'Reels'!D175))</f>
        <v>0.0001836322458223664</v>
      </c>
      <c r="D648">
        <f>IF(OR('Reels'!D127="attack",'Reels'!D127="magic"),CHOOSE('Reels'!D128+1,'Slots'!D29,'Slots'!D30,'Slots'!D31,'Slots'!D32,'Slots'!D33),0)+IF(OR('Reels'!D142="attack",'Reels'!D142="magic"),CHOOSE('Reels'!D143+1,'Slots'!D29,'Slots'!D30,'Slots'!D31,'Slots'!D32,'Slots'!D33),0)+IF(OR('Reels'!D170="attack",'Reels'!D170="magic"),CHOOSE('Reels'!D171+1,'Slots'!D29,'Slots'!D30,'Slots'!D31,'Slots'!D32,'Slots'!D33),0)</f>
        <v>7</v>
      </c>
      <c r="E648">
        <f>IF('Reels'!D127="heal",'Reels'!D128*'Slots'!D24,0)+IF('Reels'!D142="heal",'Reels'!D143*'Slots'!D24,0)+IF('Reels'!D170="heal",'Reels'!D171*'Slots'!D24,0)</f>
        <v>0</v>
      </c>
      <c r="F648">
        <f>IF('Reels'!D127="block",'Reels'!D128*'Slots'!D25,0)+IF('Reels'!D142="block",'Reels'!D143*'Slots'!D25,0)+IF('Reels'!D170="block",'Reels'!D171*'Slots'!D25,0)</f>
        <v>1</v>
      </c>
      <c r="G648" t="b">
        <f>AND('Reels'!D127&lt;&gt;"blank",'Reels'!D127&lt;&gt;"class",'Reels'!D127='Reels'!D170,'Reels'!D128='Reels'!D171,OR('Reels'!D142="class",AND('Reels'!D142='Reels'!D127,'Reels'!D143='Reels'!D128)))</f>
        <v>0</v>
      </c>
      <c r="H648">
        <f>IF(G648,C648,0)</f>
        <v>0</v>
      </c>
    </row>
    <row r="649" spans="1:8" x14ac:dyDescent="0.25">
      <c r="A649" t="s">
        <v>258</v>
      </c>
      <c r="B649" t="s">
        <v>3936</v>
      </c>
      <c r="C649" s="4">
        <f>('Reels'!D129/('Reels'!D120+'Reels'!D123+'Reels'!D126+'Reels'!D129+'Reels'!D132+'Reels'!D135))*('Reels'!D144/('Reels'!D138+'Reels'!D141+'Reels'!D144+'Reels'!D147+'Reels'!D150+'Reels'!D153+'Reels'!D156))*('Reels'!D175/('Reels'!D160+'Reels'!D163+'Reels'!D166+'Reels'!D169+'Reels'!D172+'Reels'!D175))</f>
        <v>0.0007345289832894656</v>
      </c>
      <c r="D649">
        <f>IF(OR('Reels'!D127="attack",'Reels'!D127="magic"),CHOOSE('Reels'!D128+1,'Slots'!D29,'Slots'!D30,'Slots'!D31,'Slots'!D32,'Slots'!D33),0)+IF(OR('Reels'!D142="attack",'Reels'!D142="magic"),CHOOSE('Reels'!D143+1,'Slots'!D29,'Slots'!D30,'Slots'!D31,'Slots'!D32,'Slots'!D33),0)+IF(OR('Reels'!D173="attack",'Reels'!D173="magic"),CHOOSE('Reels'!D174+1,'Slots'!D29,'Slots'!D30,'Slots'!D31,'Slots'!D32,'Slots'!D33),0)</f>
        <v>7</v>
      </c>
      <c r="E649">
        <f>IF('Reels'!D127="heal",'Reels'!D128*'Slots'!D24,0)+IF('Reels'!D142="heal",'Reels'!D143*'Slots'!D24,0)+IF('Reels'!D173="heal",'Reels'!D174*'Slots'!D24,0)</f>
        <v>0</v>
      </c>
      <c r="F649">
        <f>IF('Reels'!D127="block",'Reels'!D128*'Slots'!D25,0)+IF('Reels'!D142="block",'Reels'!D143*'Slots'!D25,0)+IF('Reels'!D173="block",'Reels'!D174*'Slots'!D25,0)</f>
        <v>0</v>
      </c>
      <c r="G649" t="b">
        <f>AND('Reels'!D127&lt;&gt;"blank",'Reels'!D127&lt;&gt;"class",'Reels'!D127='Reels'!D173,'Reels'!D128='Reels'!D174,OR('Reels'!D142="class",AND('Reels'!D142='Reels'!D127,'Reels'!D143='Reels'!D128)))</f>
        <v>0</v>
      </c>
      <c r="H649">
        <f>IF(G649,C649,0)</f>
        <v>0</v>
      </c>
    </row>
    <row r="650" spans="1:8" x14ac:dyDescent="0.25">
      <c r="A650" t="s">
        <v>258</v>
      </c>
      <c r="B650" t="s">
        <v>3937</v>
      </c>
      <c r="C650" s="4">
        <f>('Reels'!D129/('Reels'!D120+'Reels'!D123+'Reels'!D126+'Reels'!D129+'Reels'!D132+'Reels'!D135))*('Reels'!D147/('Reels'!D138+'Reels'!D141+'Reels'!D144+'Reels'!D147+'Reels'!D150+'Reels'!D153+'Reels'!D156))*('Reels'!D160/('Reels'!D160+'Reels'!D163+'Reels'!D166+'Reels'!D169+'Reels'!D172+'Reels'!D175))</f>
        <v>0.0013466364693640203</v>
      </c>
      <c r="D650">
        <f>IF(OR('Reels'!D127="attack",'Reels'!D127="magic"),CHOOSE('Reels'!D128+1,'Slots'!D29,'Slots'!D30,'Slots'!D31,'Slots'!D32,'Slots'!D33),0)+IF(OR('Reels'!D145="attack",'Reels'!D145="magic"),CHOOSE('Reels'!D146+1,'Slots'!D29,'Slots'!D30,'Slots'!D31,'Slots'!D32,'Slots'!D33),0)+IF(OR('Reels'!D158="attack",'Reels'!D158="magic"),CHOOSE('Reels'!D159+1,'Slots'!D29,'Slots'!D30,'Slots'!D31,'Slots'!D32,'Slots'!D33),0)</f>
        <v>2</v>
      </c>
      <c r="E650">
        <f>IF('Reels'!D127="heal",'Reels'!D128*'Slots'!D24,0)+IF('Reels'!D145="heal",'Reels'!D146*'Slots'!D24,0)+IF('Reels'!D158="heal",'Reels'!D159*'Slots'!D24,0)</f>
        <v>0</v>
      </c>
      <c r="F650">
        <f>IF('Reels'!D127="block",'Reels'!D128*'Slots'!D25,0)+IF('Reels'!D145="block",'Reels'!D146*'Slots'!D25,0)+IF('Reels'!D158="block",'Reels'!D159*'Slots'!D25,0)</f>
        <v>0</v>
      </c>
      <c r="G650" t="b">
        <f>AND('Reels'!D127&lt;&gt;"blank",'Reels'!D127&lt;&gt;"class",'Reels'!D127='Reels'!D158,'Reels'!D128='Reels'!D159,OR('Reels'!D145="class",AND('Reels'!D145='Reels'!D127,'Reels'!D146='Reels'!D128)))</f>
        <v>0</v>
      </c>
      <c r="H650">
        <f>IF(G650,C650,0)</f>
        <v>0</v>
      </c>
    </row>
    <row r="651" spans="1:8" x14ac:dyDescent="0.25">
      <c r="A651" t="s">
        <v>258</v>
      </c>
      <c r="B651" t="s">
        <v>3938</v>
      </c>
      <c r="C651" s="4">
        <f>('Reels'!D129/('Reels'!D120+'Reels'!D123+'Reels'!D126+'Reels'!D129+'Reels'!D132+'Reels'!D135))*('Reels'!D147/('Reels'!D138+'Reels'!D141+'Reels'!D144+'Reels'!D147+'Reels'!D150+'Reels'!D153+'Reels'!D156))*('Reels'!D163/('Reels'!D160+'Reels'!D163+'Reels'!D166+'Reels'!D169+'Reels'!D172+'Reels'!D175))</f>
        <v>0.0012242149721491094</v>
      </c>
      <c r="D651">
        <f>IF(OR('Reels'!D127="attack",'Reels'!D127="magic"),CHOOSE('Reels'!D128+1,'Slots'!D29,'Slots'!D30,'Slots'!D31,'Slots'!D32,'Slots'!D33),0)+IF(OR('Reels'!D145="attack",'Reels'!D145="magic"),CHOOSE('Reels'!D146+1,'Slots'!D29,'Slots'!D30,'Slots'!D31,'Slots'!D32,'Slots'!D33),0)+IF(OR('Reels'!D161="attack",'Reels'!D161="magic"),CHOOSE('Reels'!D162+1,'Slots'!D29,'Slots'!D30,'Slots'!D31,'Slots'!D32,'Slots'!D33),0)</f>
        <v>4</v>
      </c>
      <c r="E651">
        <f>IF('Reels'!D127="heal",'Reels'!D128*'Slots'!D24,0)+IF('Reels'!D145="heal",'Reels'!D146*'Slots'!D24,0)+IF('Reels'!D161="heal",'Reels'!D162*'Slots'!D24,0)</f>
        <v>0</v>
      </c>
      <c r="F651">
        <f>IF('Reels'!D127="block",'Reels'!D128*'Slots'!D25,0)+IF('Reels'!D145="block",'Reels'!D146*'Slots'!D25,0)+IF('Reels'!D161="block",'Reels'!D162*'Slots'!D25,0)</f>
        <v>0</v>
      </c>
      <c r="G651" t="b">
        <f>AND('Reels'!D127&lt;&gt;"blank",'Reels'!D127&lt;&gt;"class",'Reels'!D127='Reels'!D161,'Reels'!D128='Reels'!D162,OR('Reels'!D145="class",AND('Reels'!D145='Reels'!D127,'Reels'!D146='Reels'!D128)))</f>
        <v>0</v>
      </c>
      <c r="H651">
        <f>IF(G651,C651,0)</f>
        <v>0</v>
      </c>
    </row>
    <row r="652" spans="1:8" x14ac:dyDescent="0.25">
      <c r="A652" t="s">
        <v>258</v>
      </c>
      <c r="B652" t="s">
        <v>3939</v>
      </c>
      <c r="C652" s="4">
        <f>('Reels'!D129/('Reels'!D120+'Reels'!D123+'Reels'!D126+'Reels'!D129+'Reels'!D132+'Reels'!D135))*('Reels'!D147/('Reels'!D138+'Reels'!D141+'Reels'!D144+'Reels'!D147+'Reels'!D150+'Reels'!D153+'Reels'!D156))*('Reels'!D166/('Reels'!D160+'Reels'!D163+'Reels'!D166+'Reels'!D169+'Reels'!D172+'Reels'!D175))</f>
        <v>0.0003672644916447328</v>
      </c>
      <c r="D652">
        <f>IF(OR('Reels'!D127="attack",'Reels'!D127="magic"),CHOOSE('Reels'!D128+1,'Slots'!D29,'Slots'!D30,'Slots'!D31,'Slots'!D32,'Slots'!D33),0)+IF(OR('Reels'!D145="attack",'Reels'!D145="magic"),CHOOSE('Reels'!D146+1,'Slots'!D29,'Slots'!D30,'Slots'!D31,'Slots'!D32,'Slots'!D33),0)+IF(OR('Reels'!D164="attack",'Reels'!D164="magic"),CHOOSE('Reels'!D165+1,'Slots'!D29,'Slots'!D30,'Slots'!D31,'Slots'!D32,'Slots'!D33),0)</f>
        <v>7</v>
      </c>
      <c r="E652">
        <f>IF('Reels'!D127="heal",'Reels'!D128*'Slots'!D24,0)+IF('Reels'!D145="heal",'Reels'!D146*'Slots'!D24,0)+IF('Reels'!D164="heal",'Reels'!D165*'Slots'!D24,0)</f>
        <v>0</v>
      </c>
      <c r="F652">
        <f>IF('Reels'!D127="block",'Reels'!D128*'Slots'!D25,0)+IF('Reels'!D145="block",'Reels'!D146*'Slots'!D25,0)+IF('Reels'!D164="block",'Reels'!D165*'Slots'!D25,0)</f>
        <v>0</v>
      </c>
      <c r="G652" t="b">
        <f>AND('Reels'!D127&lt;&gt;"blank",'Reels'!D127&lt;&gt;"class",'Reels'!D127='Reels'!D164,'Reels'!D128='Reels'!D165,OR('Reels'!D145="class",AND('Reels'!D145='Reels'!D127,'Reels'!D146='Reels'!D128)))</f>
        <v>0</v>
      </c>
      <c r="H652">
        <f>IF(G652,C652,0)</f>
        <v>0</v>
      </c>
    </row>
    <row r="653" spans="1:8" x14ac:dyDescent="0.25">
      <c r="A653" t="s">
        <v>258</v>
      </c>
      <c r="B653" t="s">
        <v>3940</v>
      </c>
      <c r="C653" s="4">
        <f>('Reels'!D129/('Reels'!D120+'Reels'!D123+'Reels'!D126+'Reels'!D129+'Reels'!D132+'Reels'!D135))*('Reels'!D147/('Reels'!D138+'Reels'!D141+'Reels'!D144+'Reels'!D147+'Reels'!D150+'Reels'!D153+'Reels'!D156))*('Reels'!D169/('Reels'!D160+'Reels'!D163+'Reels'!D166+'Reels'!D169+'Reels'!D172+'Reels'!D175))</f>
        <v>0.0002448429944298219</v>
      </c>
      <c r="D653">
        <f>IF(OR('Reels'!D127="attack",'Reels'!D127="magic"),CHOOSE('Reels'!D128+1,'Slots'!D29,'Slots'!D30,'Slots'!D31,'Slots'!D32,'Slots'!D33),0)+IF(OR('Reels'!D145="attack",'Reels'!D145="magic"),CHOOSE('Reels'!D146+1,'Slots'!D29,'Slots'!D30,'Slots'!D31,'Slots'!D32,'Slots'!D33),0)+IF(OR('Reels'!D167="attack",'Reels'!D167="magic"),CHOOSE('Reels'!D168+1,'Slots'!D29,'Slots'!D30,'Slots'!D31,'Slots'!D32,'Slots'!D33),0)</f>
        <v>0</v>
      </c>
      <c r="E653">
        <f>IF('Reels'!D127="heal",'Reels'!D128*'Slots'!D24,0)+IF('Reels'!D145="heal",'Reels'!D146*'Slots'!D24,0)+IF('Reels'!D167="heal",'Reels'!D168*'Slots'!D24,0)</f>
        <v>0</v>
      </c>
      <c r="F653">
        <f>IF('Reels'!D127="block",'Reels'!D128*'Slots'!D25,0)+IF('Reels'!D145="block",'Reels'!D146*'Slots'!D25,0)+IF('Reels'!D167="block",'Reels'!D168*'Slots'!D25,0)</f>
        <v>0</v>
      </c>
      <c r="G653" t="b">
        <f>AND('Reels'!D127&lt;&gt;"blank",'Reels'!D127&lt;&gt;"class",'Reels'!D127='Reels'!D167,'Reels'!D128='Reels'!D168,OR('Reels'!D145="class",AND('Reels'!D145='Reels'!D127,'Reels'!D146='Reels'!D128)))</f>
        <v>1</v>
      </c>
      <c r="H653">
        <f>IF(G653,C653,0)</f>
        <v>0.0002448429944298219</v>
      </c>
    </row>
    <row r="654" spans="1:8" x14ac:dyDescent="0.25">
      <c r="A654" t="s">
        <v>258</v>
      </c>
      <c r="B654" t="s">
        <v>3941</v>
      </c>
      <c r="C654" s="4">
        <f>('Reels'!D129/('Reels'!D120+'Reels'!D123+'Reels'!D126+'Reels'!D129+'Reels'!D132+'Reels'!D135))*('Reels'!D147/('Reels'!D138+'Reels'!D141+'Reels'!D144+'Reels'!D147+'Reels'!D150+'Reels'!D153+'Reels'!D156))*('Reels'!D172/('Reels'!D160+'Reels'!D163+'Reels'!D166+'Reels'!D169+'Reels'!D172+'Reels'!D175))</f>
        <v>0.00012242149721491095</v>
      </c>
      <c r="D654">
        <f>IF(OR('Reels'!D127="attack",'Reels'!D127="magic"),CHOOSE('Reels'!D128+1,'Slots'!D29,'Slots'!D30,'Slots'!D31,'Slots'!D32,'Slots'!D33),0)+IF(OR('Reels'!D145="attack",'Reels'!D145="magic"),CHOOSE('Reels'!D146+1,'Slots'!D29,'Slots'!D30,'Slots'!D31,'Slots'!D32,'Slots'!D33),0)+IF(OR('Reels'!D170="attack",'Reels'!D170="magic"),CHOOSE('Reels'!D171+1,'Slots'!D29,'Slots'!D30,'Slots'!D31,'Slots'!D32,'Slots'!D33),0)</f>
        <v>0</v>
      </c>
      <c r="E654">
        <f>IF('Reels'!D127="heal",'Reels'!D128*'Slots'!D24,0)+IF('Reels'!D145="heal",'Reels'!D146*'Slots'!D24,0)+IF('Reels'!D170="heal",'Reels'!D171*'Slots'!D24,0)</f>
        <v>0</v>
      </c>
      <c r="F654">
        <f>IF('Reels'!D127="block",'Reels'!D128*'Slots'!D25,0)+IF('Reels'!D145="block",'Reels'!D146*'Slots'!D25,0)+IF('Reels'!D170="block",'Reels'!D171*'Slots'!D25,0)</f>
        <v>1</v>
      </c>
      <c r="G654" t="b">
        <f>AND('Reels'!D127&lt;&gt;"blank",'Reels'!D127&lt;&gt;"class",'Reels'!D127='Reels'!D170,'Reels'!D128='Reels'!D171,OR('Reels'!D145="class",AND('Reels'!D145='Reels'!D127,'Reels'!D146='Reels'!D128)))</f>
        <v>0</v>
      </c>
      <c r="H654">
        <f>IF(G654,C654,0)</f>
        <v>0</v>
      </c>
    </row>
    <row r="655" spans="1:8" x14ac:dyDescent="0.25">
      <c r="A655" t="s">
        <v>258</v>
      </c>
      <c r="B655" t="s">
        <v>3942</v>
      </c>
      <c r="C655" s="4">
        <f>('Reels'!D129/('Reels'!D120+'Reels'!D123+'Reels'!D126+'Reels'!D129+'Reels'!D132+'Reels'!D135))*('Reels'!D147/('Reels'!D138+'Reels'!D141+'Reels'!D144+'Reels'!D147+'Reels'!D150+'Reels'!D153+'Reels'!D156))*('Reels'!D175/('Reels'!D160+'Reels'!D163+'Reels'!D166+'Reels'!D169+'Reels'!D172+'Reels'!D175))</f>
        <v>0.0004896859888596438</v>
      </c>
      <c r="D655">
        <f>IF(OR('Reels'!D127="attack",'Reels'!D127="magic"),CHOOSE('Reels'!D128+1,'Slots'!D29,'Slots'!D30,'Slots'!D31,'Slots'!D32,'Slots'!D33),0)+IF(OR('Reels'!D145="attack",'Reels'!D145="magic"),CHOOSE('Reels'!D146+1,'Slots'!D29,'Slots'!D30,'Slots'!D31,'Slots'!D32,'Slots'!D33),0)+IF(OR('Reels'!D173="attack",'Reels'!D173="magic"),CHOOSE('Reels'!D174+1,'Slots'!D29,'Slots'!D30,'Slots'!D31,'Slots'!D32,'Slots'!D33),0)</f>
        <v>0</v>
      </c>
      <c r="E655">
        <f>IF('Reels'!D127="heal",'Reels'!D128*'Slots'!D24,0)+IF('Reels'!D145="heal",'Reels'!D146*'Slots'!D24,0)+IF('Reels'!D173="heal",'Reels'!D174*'Slots'!D24,0)</f>
        <v>0</v>
      </c>
      <c r="F655">
        <f>IF('Reels'!D127="block",'Reels'!D128*'Slots'!D25,0)+IF('Reels'!D145="block",'Reels'!D146*'Slots'!D25,0)+IF('Reels'!D173="block",'Reels'!D174*'Slots'!D25,0)</f>
        <v>0</v>
      </c>
      <c r="G655" t="b">
        <f>AND('Reels'!D127&lt;&gt;"blank",'Reels'!D127&lt;&gt;"class",'Reels'!D127='Reels'!D173,'Reels'!D128='Reels'!D174,OR('Reels'!D145="class",AND('Reels'!D145='Reels'!D127,'Reels'!D146='Reels'!D128)))</f>
        <v>0</v>
      </c>
      <c r="H655">
        <f>IF(G655,C655,0)</f>
        <v>0</v>
      </c>
    </row>
    <row r="656" spans="1:8" x14ac:dyDescent="0.25">
      <c r="A656" t="s">
        <v>258</v>
      </c>
      <c r="B656" t="s">
        <v>3943</v>
      </c>
      <c r="C656" s="4">
        <f>('Reels'!D129/('Reels'!D120+'Reels'!D123+'Reels'!D126+'Reels'!D129+'Reels'!D132+'Reels'!D135))*('Reels'!D150/('Reels'!D138+'Reels'!D141+'Reels'!D144+'Reels'!D147+'Reels'!D150+'Reels'!D153+'Reels'!D156))*('Reels'!D160/('Reels'!D160+'Reels'!D163+'Reels'!D166+'Reels'!D169+'Reels'!D172+'Reels'!D175))</f>
        <v>0.0006733182346820102</v>
      </c>
      <c r="D656">
        <f>IF(OR('Reels'!D127="attack",'Reels'!D127="magic"),CHOOSE('Reels'!D128+1,'Slots'!D29,'Slots'!D30,'Slots'!D31,'Slots'!D32,'Slots'!D33),0)+IF(OR('Reels'!D148="attack",'Reels'!D148="magic"),CHOOSE('Reels'!D149+1,'Slots'!D29,'Slots'!D30,'Slots'!D31,'Slots'!D32,'Slots'!D33),0)+IF(OR('Reels'!D158="attack",'Reels'!D158="magic"),CHOOSE('Reels'!D159+1,'Slots'!D29,'Slots'!D30,'Slots'!D31,'Slots'!D32,'Slots'!D33),0)</f>
        <v>2</v>
      </c>
      <c r="E656">
        <f>IF('Reels'!D127="heal",'Reels'!D128*'Slots'!D24,0)+IF('Reels'!D148="heal",'Reels'!D149*'Slots'!D24,0)+IF('Reels'!D158="heal",'Reels'!D159*'Slots'!D24,0)</f>
        <v>0</v>
      </c>
      <c r="F656">
        <f>IF('Reels'!D127="block",'Reels'!D128*'Slots'!D25,0)+IF('Reels'!D148="block",'Reels'!D149*'Slots'!D25,0)+IF('Reels'!D158="block",'Reels'!D159*'Slots'!D25,0)</f>
        <v>1</v>
      </c>
      <c r="G656" t="b">
        <f>AND('Reels'!D127&lt;&gt;"blank",'Reels'!D127&lt;&gt;"class",'Reels'!D127='Reels'!D158,'Reels'!D128='Reels'!D159,OR('Reels'!D148="class",AND('Reels'!D148='Reels'!D127,'Reels'!D149='Reels'!D128)))</f>
        <v>0</v>
      </c>
      <c r="H656">
        <f>IF(G656,C656,0)</f>
        <v>0</v>
      </c>
    </row>
    <row r="657" spans="1:8" x14ac:dyDescent="0.25">
      <c r="A657" t="s">
        <v>258</v>
      </c>
      <c r="B657" t="s">
        <v>3944</v>
      </c>
      <c r="C657" s="4">
        <f>('Reels'!D129/('Reels'!D120+'Reels'!D123+'Reels'!D126+'Reels'!D129+'Reels'!D132+'Reels'!D135))*('Reels'!D150/('Reels'!D138+'Reels'!D141+'Reels'!D144+'Reels'!D147+'Reels'!D150+'Reels'!D153+'Reels'!D156))*('Reels'!D163/('Reels'!D160+'Reels'!D163+'Reels'!D166+'Reels'!D169+'Reels'!D172+'Reels'!D175))</f>
        <v>0.0006121074860745547</v>
      </c>
      <c r="D657">
        <f>IF(OR('Reels'!D127="attack",'Reels'!D127="magic"),CHOOSE('Reels'!D128+1,'Slots'!D29,'Slots'!D30,'Slots'!D31,'Slots'!D32,'Slots'!D33),0)+IF(OR('Reels'!D148="attack",'Reels'!D148="magic"),CHOOSE('Reels'!D149+1,'Slots'!D29,'Slots'!D30,'Slots'!D31,'Slots'!D32,'Slots'!D33),0)+IF(OR('Reels'!D161="attack",'Reels'!D161="magic"),CHOOSE('Reels'!D162+1,'Slots'!D29,'Slots'!D30,'Slots'!D31,'Slots'!D32,'Slots'!D33),0)</f>
        <v>4</v>
      </c>
      <c r="E657">
        <f>IF('Reels'!D127="heal",'Reels'!D128*'Slots'!D24,0)+IF('Reels'!D148="heal",'Reels'!D149*'Slots'!D24,0)+IF('Reels'!D161="heal",'Reels'!D162*'Slots'!D24,0)</f>
        <v>0</v>
      </c>
      <c r="F657">
        <f>IF('Reels'!D127="block",'Reels'!D128*'Slots'!D25,0)+IF('Reels'!D148="block",'Reels'!D149*'Slots'!D25,0)+IF('Reels'!D161="block",'Reels'!D162*'Slots'!D25,0)</f>
        <v>1</v>
      </c>
      <c r="G657" t="b">
        <f>AND('Reels'!D127&lt;&gt;"blank",'Reels'!D127&lt;&gt;"class",'Reels'!D127='Reels'!D161,'Reels'!D128='Reels'!D162,OR('Reels'!D148="class",AND('Reels'!D148='Reels'!D127,'Reels'!D149='Reels'!D128)))</f>
        <v>0</v>
      </c>
      <c r="H657">
        <f>IF(G657,C657,0)</f>
        <v>0</v>
      </c>
    </row>
    <row r="658" spans="1:8" x14ac:dyDescent="0.25">
      <c r="A658" t="s">
        <v>258</v>
      </c>
      <c r="B658" t="s">
        <v>3945</v>
      </c>
      <c r="C658" s="4">
        <f>('Reels'!D129/('Reels'!D120+'Reels'!D123+'Reels'!D126+'Reels'!D129+'Reels'!D132+'Reels'!D135))*('Reels'!D150/('Reels'!D138+'Reels'!D141+'Reels'!D144+'Reels'!D147+'Reels'!D150+'Reels'!D153+'Reels'!D156))*('Reels'!D166/('Reels'!D160+'Reels'!D163+'Reels'!D166+'Reels'!D169+'Reels'!D172+'Reels'!D175))</f>
        <v>0.0001836322458223664</v>
      </c>
      <c r="D658">
        <f>IF(OR('Reels'!D127="attack",'Reels'!D127="magic"),CHOOSE('Reels'!D128+1,'Slots'!D29,'Slots'!D30,'Slots'!D31,'Slots'!D32,'Slots'!D33),0)+IF(OR('Reels'!D148="attack",'Reels'!D148="magic"),CHOOSE('Reels'!D149+1,'Slots'!D29,'Slots'!D30,'Slots'!D31,'Slots'!D32,'Slots'!D33),0)+IF(OR('Reels'!D164="attack",'Reels'!D164="magic"),CHOOSE('Reels'!D165+1,'Slots'!D29,'Slots'!D30,'Slots'!D31,'Slots'!D32,'Slots'!D33),0)</f>
        <v>7</v>
      </c>
      <c r="E658">
        <f>IF('Reels'!D127="heal",'Reels'!D128*'Slots'!D24,0)+IF('Reels'!D148="heal",'Reels'!D149*'Slots'!D24,0)+IF('Reels'!D164="heal",'Reels'!D165*'Slots'!D24,0)</f>
        <v>0</v>
      </c>
      <c r="F658">
        <f>IF('Reels'!D127="block",'Reels'!D128*'Slots'!D25,0)+IF('Reels'!D148="block",'Reels'!D149*'Slots'!D25,0)+IF('Reels'!D164="block",'Reels'!D165*'Slots'!D25,0)</f>
        <v>1</v>
      </c>
      <c r="G658" t="b">
        <f>AND('Reels'!D127&lt;&gt;"blank",'Reels'!D127&lt;&gt;"class",'Reels'!D127='Reels'!D164,'Reels'!D128='Reels'!D165,OR('Reels'!D148="class",AND('Reels'!D148='Reels'!D127,'Reels'!D149='Reels'!D128)))</f>
        <v>0</v>
      </c>
      <c r="H658">
        <f>IF(G658,C658,0)</f>
        <v>0</v>
      </c>
    </row>
    <row r="659" spans="1:8" x14ac:dyDescent="0.25">
      <c r="A659" t="s">
        <v>258</v>
      </c>
      <c r="B659" t="s">
        <v>3946</v>
      </c>
      <c r="C659" s="4">
        <f>('Reels'!D129/('Reels'!D120+'Reels'!D123+'Reels'!D126+'Reels'!D129+'Reels'!D132+'Reels'!D135))*('Reels'!D150/('Reels'!D138+'Reels'!D141+'Reels'!D144+'Reels'!D147+'Reels'!D150+'Reels'!D153+'Reels'!D156))*('Reels'!D169/('Reels'!D160+'Reels'!D163+'Reels'!D166+'Reels'!D169+'Reels'!D172+'Reels'!D175))</f>
        <v>0.00012242149721491095</v>
      </c>
      <c r="D659">
        <f>IF(OR('Reels'!D127="attack",'Reels'!D127="magic"),CHOOSE('Reels'!D128+1,'Slots'!D29,'Slots'!D30,'Slots'!D31,'Slots'!D32,'Slots'!D33),0)+IF(OR('Reels'!D148="attack",'Reels'!D148="magic"),CHOOSE('Reels'!D149+1,'Slots'!D29,'Slots'!D30,'Slots'!D31,'Slots'!D32,'Slots'!D33),0)+IF(OR('Reels'!D167="attack",'Reels'!D167="magic"),CHOOSE('Reels'!D168+1,'Slots'!D29,'Slots'!D30,'Slots'!D31,'Slots'!D32,'Slots'!D33),0)</f>
        <v>0</v>
      </c>
      <c r="E659">
        <f>IF('Reels'!D127="heal",'Reels'!D128*'Slots'!D24,0)+IF('Reels'!D148="heal",'Reels'!D149*'Slots'!D24,0)+IF('Reels'!D167="heal",'Reels'!D168*'Slots'!D24,0)</f>
        <v>0</v>
      </c>
      <c r="F659">
        <f>IF('Reels'!D127="block",'Reels'!D128*'Slots'!D25,0)+IF('Reels'!D148="block",'Reels'!D149*'Slots'!D25,0)+IF('Reels'!D167="block",'Reels'!D168*'Slots'!D25,0)</f>
        <v>1</v>
      </c>
      <c r="G659" t="b">
        <f>AND('Reels'!D127&lt;&gt;"blank",'Reels'!D127&lt;&gt;"class",'Reels'!D127='Reels'!D167,'Reels'!D128='Reels'!D168,OR('Reels'!D148="class",AND('Reels'!D148='Reels'!D127,'Reels'!D149='Reels'!D128)))</f>
        <v>0</v>
      </c>
      <c r="H659">
        <f>IF(G659,C659,0)</f>
        <v>0</v>
      </c>
    </row>
    <row r="660" spans="1:8" x14ac:dyDescent="0.25">
      <c r="A660" t="s">
        <v>258</v>
      </c>
      <c r="B660" t="s">
        <v>3947</v>
      </c>
      <c r="C660" s="4">
        <f>('Reels'!D129/('Reels'!D120+'Reels'!D123+'Reels'!D126+'Reels'!D129+'Reels'!D132+'Reels'!D135))*('Reels'!D150/('Reels'!D138+'Reels'!D141+'Reels'!D144+'Reels'!D147+'Reels'!D150+'Reels'!D153+'Reels'!D156))*('Reels'!D172/('Reels'!D160+'Reels'!D163+'Reels'!D166+'Reels'!D169+'Reels'!D172+'Reels'!D175))</f>
        <v>0.00006121074860745548</v>
      </c>
      <c r="D660">
        <f>IF(OR('Reels'!D127="attack",'Reels'!D127="magic"),CHOOSE('Reels'!D128+1,'Slots'!D29,'Slots'!D30,'Slots'!D31,'Slots'!D32,'Slots'!D33),0)+IF(OR('Reels'!D148="attack",'Reels'!D148="magic"),CHOOSE('Reels'!D149+1,'Slots'!D29,'Slots'!D30,'Slots'!D31,'Slots'!D32,'Slots'!D33),0)+IF(OR('Reels'!D170="attack",'Reels'!D170="magic"),CHOOSE('Reels'!D171+1,'Slots'!D29,'Slots'!D30,'Slots'!D31,'Slots'!D32,'Slots'!D33),0)</f>
        <v>0</v>
      </c>
      <c r="E660">
        <f>IF('Reels'!D127="heal",'Reels'!D128*'Slots'!D24,0)+IF('Reels'!D148="heal",'Reels'!D149*'Slots'!D24,0)+IF('Reels'!D170="heal",'Reels'!D171*'Slots'!D24,0)</f>
        <v>0</v>
      </c>
      <c r="F660">
        <f>IF('Reels'!D127="block",'Reels'!D128*'Slots'!D25,0)+IF('Reels'!D148="block",'Reels'!D149*'Slots'!D25,0)+IF('Reels'!D170="block",'Reels'!D171*'Slots'!D25,0)</f>
        <v>2</v>
      </c>
      <c r="G660" t="b">
        <f>AND('Reels'!D127&lt;&gt;"blank",'Reels'!D127&lt;&gt;"class",'Reels'!D127='Reels'!D170,'Reels'!D128='Reels'!D171,OR('Reels'!D148="class",AND('Reels'!D148='Reels'!D127,'Reels'!D149='Reels'!D128)))</f>
        <v>0</v>
      </c>
      <c r="H660">
        <f>IF(G660,C660,0)</f>
        <v>0</v>
      </c>
    </row>
    <row r="661" spans="1:8" x14ac:dyDescent="0.25">
      <c r="A661" t="s">
        <v>258</v>
      </c>
      <c r="B661" t="s">
        <v>3948</v>
      </c>
      <c r="C661" s="4">
        <f>('Reels'!D129/('Reels'!D120+'Reels'!D123+'Reels'!D126+'Reels'!D129+'Reels'!D132+'Reels'!D135))*('Reels'!D150/('Reels'!D138+'Reels'!D141+'Reels'!D144+'Reels'!D147+'Reels'!D150+'Reels'!D153+'Reels'!D156))*('Reels'!D175/('Reels'!D160+'Reels'!D163+'Reels'!D166+'Reels'!D169+'Reels'!D172+'Reels'!D175))</f>
        <v>0.0002448429944298219</v>
      </c>
      <c r="D661">
        <f>IF(OR('Reels'!D127="attack",'Reels'!D127="magic"),CHOOSE('Reels'!D128+1,'Slots'!D29,'Slots'!D30,'Slots'!D31,'Slots'!D32,'Slots'!D33),0)+IF(OR('Reels'!D148="attack",'Reels'!D148="magic"),CHOOSE('Reels'!D149+1,'Slots'!D29,'Slots'!D30,'Slots'!D31,'Slots'!D32,'Slots'!D33),0)+IF(OR('Reels'!D173="attack",'Reels'!D173="magic"),CHOOSE('Reels'!D174+1,'Slots'!D29,'Slots'!D30,'Slots'!D31,'Slots'!D32,'Slots'!D33),0)</f>
        <v>0</v>
      </c>
      <c r="E661">
        <f>IF('Reels'!D127="heal",'Reels'!D128*'Slots'!D24,0)+IF('Reels'!D148="heal",'Reels'!D149*'Slots'!D24,0)+IF('Reels'!D173="heal",'Reels'!D174*'Slots'!D24,0)</f>
        <v>0</v>
      </c>
      <c r="F661">
        <f>IF('Reels'!D127="block",'Reels'!D128*'Slots'!D25,0)+IF('Reels'!D148="block",'Reels'!D149*'Slots'!D25,0)+IF('Reels'!D173="block",'Reels'!D174*'Slots'!D25,0)</f>
        <v>1</v>
      </c>
      <c r="G661" t="b">
        <f>AND('Reels'!D127&lt;&gt;"blank",'Reels'!D127&lt;&gt;"class",'Reels'!D127='Reels'!D173,'Reels'!D128='Reels'!D174,OR('Reels'!D148="class",AND('Reels'!D148='Reels'!D127,'Reels'!D149='Reels'!D128)))</f>
        <v>0</v>
      </c>
      <c r="H661">
        <f>IF(G661,C661,0)</f>
        <v>0</v>
      </c>
    </row>
    <row r="662" spans="1:8" x14ac:dyDescent="0.25">
      <c r="A662" t="s">
        <v>258</v>
      </c>
      <c r="B662" t="s">
        <v>3949</v>
      </c>
      <c r="C662" s="4">
        <f>('Reels'!D129/('Reels'!D120+'Reels'!D123+'Reels'!D126+'Reels'!D129+'Reels'!D132+'Reels'!D135))*('Reels'!D153/('Reels'!D138+'Reels'!D141+'Reels'!D144+'Reels'!D147+'Reels'!D150+'Reels'!D153+'Reels'!D156))*('Reels'!D160/('Reels'!D160+'Reels'!D163+'Reels'!D166+'Reels'!D169+'Reels'!D172+'Reels'!D175))</f>
        <v>0.0026932729387280406</v>
      </c>
      <c r="D662">
        <f>IF(OR('Reels'!D127="attack",'Reels'!D127="magic"),CHOOSE('Reels'!D128+1,'Slots'!D29,'Slots'!D30,'Slots'!D31,'Slots'!D32,'Slots'!D33),0)+IF(OR('Reels'!D151="attack",'Reels'!D151="magic"),CHOOSE('Reels'!D152+1,'Slots'!D29,'Slots'!D30,'Slots'!D31,'Slots'!D32,'Slots'!D33),0)+IF(OR('Reels'!D158="attack",'Reels'!D158="magic"),CHOOSE('Reels'!D159+1,'Slots'!D29,'Slots'!D30,'Slots'!D31,'Slots'!D32,'Slots'!D33),0)</f>
        <v>2</v>
      </c>
      <c r="E662">
        <f>IF('Reels'!D127="heal",'Reels'!D128*'Slots'!D24,0)+IF('Reels'!D151="heal",'Reels'!D152*'Slots'!D24,0)+IF('Reels'!D158="heal",'Reels'!D159*'Slots'!D24,0)</f>
        <v>0</v>
      </c>
      <c r="F662">
        <f>IF('Reels'!D127="block",'Reels'!D128*'Slots'!D25,0)+IF('Reels'!D151="block",'Reels'!D152*'Slots'!D25,0)+IF('Reels'!D158="block",'Reels'!D159*'Slots'!D25,0)</f>
        <v>0</v>
      </c>
      <c r="G662" t="b">
        <f>AND('Reels'!D127&lt;&gt;"blank",'Reels'!D127&lt;&gt;"class",'Reels'!D127='Reels'!D158,'Reels'!D128='Reels'!D159,OR('Reels'!D151="class",AND('Reels'!D151='Reels'!D127,'Reels'!D152='Reels'!D128)))</f>
        <v>0</v>
      </c>
      <c r="H662">
        <f>IF(G662,C662,0)</f>
        <v>0</v>
      </c>
    </row>
    <row r="663" spans="1:8" x14ac:dyDescent="0.25">
      <c r="A663" t="s">
        <v>258</v>
      </c>
      <c r="B663" t="s">
        <v>3950</v>
      </c>
      <c r="C663" s="4">
        <f>('Reels'!D129/('Reels'!D120+'Reels'!D123+'Reels'!D126+'Reels'!D129+'Reels'!D132+'Reels'!D135))*('Reels'!D153/('Reels'!D138+'Reels'!D141+'Reels'!D144+'Reels'!D147+'Reels'!D150+'Reels'!D153+'Reels'!D156))*('Reels'!D163/('Reels'!D160+'Reels'!D163+'Reels'!D166+'Reels'!D169+'Reels'!D172+'Reels'!D175))</f>
        <v>0.002448429944298219</v>
      </c>
      <c r="D663">
        <f>IF(OR('Reels'!D127="attack",'Reels'!D127="magic"),CHOOSE('Reels'!D128+1,'Slots'!D29,'Slots'!D30,'Slots'!D31,'Slots'!D32,'Slots'!D33),0)+IF(OR('Reels'!D151="attack",'Reels'!D151="magic"),CHOOSE('Reels'!D152+1,'Slots'!D29,'Slots'!D30,'Slots'!D31,'Slots'!D32,'Slots'!D33),0)+IF(OR('Reels'!D161="attack",'Reels'!D161="magic"),CHOOSE('Reels'!D162+1,'Slots'!D29,'Slots'!D30,'Slots'!D31,'Slots'!D32,'Slots'!D33),0)</f>
        <v>4</v>
      </c>
      <c r="E663">
        <f>IF('Reels'!D127="heal",'Reels'!D128*'Slots'!D24,0)+IF('Reels'!D151="heal",'Reels'!D152*'Slots'!D24,0)+IF('Reels'!D161="heal",'Reels'!D162*'Slots'!D24,0)</f>
        <v>0</v>
      </c>
      <c r="F663">
        <f>IF('Reels'!D127="block",'Reels'!D128*'Slots'!D25,0)+IF('Reels'!D151="block",'Reels'!D152*'Slots'!D25,0)+IF('Reels'!D161="block",'Reels'!D162*'Slots'!D25,0)</f>
        <v>0</v>
      </c>
      <c r="G663" t="b">
        <f>AND('Reels'!D127&lt;&gt;"blank",'Reels'!D127&lt;&gt;"class",'Reels'!D127='Reels'!D161,'Reels'!D128='Reels'!D162,OR('Reels'!D151="class",AND('Reels'!D151='Reels'!D127,'Reels'!D152='Reels'!D128)))</f>
        <v>0</v>
      </c>
      <c r="H663">
        <f>IF(G663,C663,0)</f>
        <v>0</v>
      </c>
    </row>
    <row r="664" spans="1:8" x14ac:dyDescent="0.25">
      <c r="A664" t="s">
        <v>258</v>
      </c>
      <c r="B664" t="s">
        <v>3951</v>
      </c>
      <c r="C664" s="4">
        <f>('Reels'!D129/('Reels'!D120+'Reels'!D123+'Reels'!D126+'Reels'!D129+'Reels'!D132+'Reels'!D135))*('Reels'!D153/('Reels'!D138+'Reels'!D141+'Reels'!D144+'Reels'!D147+'Reels'!D150+'Reels'!D153+'Reels'!D156))*('Reels'!D166/('Reels'!D160+'Reels'!D163+'Reels'!D166+'Reels'!D169+'Reels'!D172+'Reels'!D175))</f>
        <v>0.0007345289832894656</v>
      </c>
      <c r="D664">
        <f>IF(OR('Reels'!D127="attack",'Reels'!D127="magic"),CHOOSE('Reels'!D128+1,'Slots'!D29,'Slots'!D30,'Slots'!D31,'Slots'!D32,'Slots'!D33),0)+IF(OR('Reels'!D151="attack",'Reels'!D151="magic"),CHOOSE('Reels'!D152+1,'Slots'!D29,'Slots'!D30,'Slots'!D31,'Slots'!D32,'Slots'!D33),0)+IF(OR('Reels'!D164="attack",'Reels'!D164="magic"),CHOOSE('Reels'!D165+1,'Slots'!D29,'Slots'!D30,'Slots'!D31,'Slots'!D32,'Slots'!D33),0)</f>
        <v>7</v>
      </c>
      <c r="E664">
        <f>IF('Reels'!D127="heal",'Reels'!D128*'Slots'!D24,0)+IF('Reels'!D151="heal",'Reels'!D152*'Slots'!D24,0)+IF('Reels'!D164="heal",'Reels'!D165*'Slots'!D24,0)</f>
        <v>0</v>
      </c>
      <c r="F664">
        <f>IF('Reels'!D127="block",'Reels'!D128*'Slots'!D25,0)+IF('Reels'!D151="block",'Reels'!D152*'Slots'!D25,0)+IF('Reels'!D164="block",'Reels'!D165*'Slots'!D25,0)</f>
        <v>0</v>
      </c>
      <c r="G664" t="b">
        <f>AND('Reels'!D127&lt;&gt;"blank",'Reels'!D127&lt;&gt;"class",'Reels'!D127='Reels'!D164,'Reels'!D128='Reels'!D165,OR('Reels'!D151="class",AND('Reels'!D151='Reels'!D127,'Reels'!D152='Reels'!D128)))</f>
        <v>0</v>
      </c>
      <c r="H664">
        <f>IF(G664,C664,0)</f>
        <v>0</v>
      </c>
    </row>
    <row r="665" spans="1:8" x14ac:dyDescent="0.25">
      <c r="A665" t="s">
        <v>258</v>
      </c>
      <c r="B665" t="s">
        <v>3952</v>
      </c>
      <c r="C665" s="4">
        <f>('Reels'!D129/('Reels'!D120+'Reels'!D123+'Reels'!D126+'Reels'!D129+'Reels'!D132+'Reels'!D135))*('Reels'!D153/('Reels'!D138+'Reels'!D141+'Reels'!D144+'Reels'!D147+'Reels'!D150+'Reels'!D153+'Reels'!D156))*('Reels'!D169/('Reels'!D160+'Reels'!D163+'Reels'!D166+'Reels'!D169+'Reels'!D172+'Reels'!D175))</f>
        <v>0.0004896859888596438</v>
      </c>
      <c r="D665">
        <f>IF(OR('Reels'!D127="attack",'Reels'!D127="magic"),CHOOSE('Reels'!D128+1,'Slots'!D29,'Slots'!D30,'Slots'!D31,'Slots'!D32,'Slots'!D33),0)+IF(OR('Reels'!D151="attack",'Reels'!D151="magic"),CHOOSE('Reels'!D152+1,'Slots'!D29,'Slots'!D30,'Slots'!D31,'Slots'!D32,'Slots'!D33),0)+IF(OR('Reels'!D167="attack",'Reels'!D167="magic"),CHOOSE('Reels'!D168+1,'Slots'!D29,'Slots'!D30,'Slots'!D31,'Slots'!D32,'Slots'!D33),0)</f>
        <v>0</v>
      </c>
      <c r="E665">
        <f>IF('Reels'!D127="heal",'Reels'!D128*'Slots'!D24,0)+IF('Reels'!D151="heal",'Reels'!D152*'Slots'!D24,0)+IF('Reels'!D167="heal",'Reels'!D168*'Slots'!D24,0)</f>
        <v>0</v>
      </c>
      <c r="F665">
        <f>IF('Reels'!D127="block",'Reels'!D128*'Slots'!D25,0)+IF('Reels'!D151="block",'Reels'!D152*'Slots'!D25,0)+IF('Reels'!D167="block",'Reels'!D168*'Slots'!D25,0)</f>
        <v>0</v>
      </c>
      <c r="G665" t="b">
        <f>AND('Reels'!D127&lt;&gt;"blank",'Reels'!D127&lt;&gt;"class",'Reels'!D127='Reels'!D167,'Reels'!D128='Reels'!D168,OR('Reels'!D151="class",AND('Reels'!D151='Reels'!D127,'Reels'!D152='Reels'!D128)))</f>
        <v>0</v>
      </c>
      <c r="H665">
        <f>IF(G665,C665,0)</f>
        <v>0</v>
      </c>
    </row>
    <row r="666" spans="1:8" x14ac:dyDescent="0.25">
      <c r="A666" t="s">
        <v>258</v>
      </c>
      <c r="B666" t="s">
        <v>3953</v>
      </c>
      <c r="C666" s="4">
        <f>('Reels'!D129/('Reels'!D120+'Reels'!D123+'Reels'!D126+'Reels'!D129+'Reels'!D132+'Reels'!D135))*('Reels'!D153/('Reels'!D138+'Reels'!D141+'Reels'!D144+'Reels'!D147+'Reels'!D150+'Reels'!D153+'Reels'!D156))*('Reels'!D172/('Reels'!D160+'Reels'!D163+'Reels'!D166+'Reels'!D169+'Reels'!D172+'Reels'!D175))</f>
        <v>0.0002448429944298219</v>
      </c>
      <c r="D666">
        <f>IF(OR('Reels'!D127="attack",'Reels'!D127="magic"),CHOOSE('Reels'!D128+1,'Slots'!D29,'Slots'!D30,'Slots'!D31,'Slots'!D32,'Slots'!D33),0)+IF(OR('Reels'!D151="attack",'Reels'!D151="magic"),CHOOSE('Reels'!D152+1,'Slots'!D29,'Slots'!D30,'Slots'!D31,'Slots'!D32,'Slots'!D33),0)+IF(OR('Reels'!D170="attack",'Reels'!D170="magic"),CHOOSE('Reels'!D171+1,'Slots'!D29,'Slots'!D30,'Slots'!D31,'Slots'!D32,'Slots'!D33),0)</f>
        <v>0</v>
      </c>
      <c r="E666">
        <f>IF('Reels'!D127="heal",'Reels'!D128*'Slots'!D24,0)+IF('Reels'!D151="heal",'Reels'!D152*'Slots'!D24,0)+IF('Reels'!D170="heal",'Reels'!D171*'Slots'!D24,0)</f>
        <v>0</v>
      </c>
      <c r="F666">
        <f>IF('Reels'!D127="block",'Reels'!D128*'Slots'!D25,0)+IF('Reels'!D151="block",'Reels'!D152*'Slots'!D25,0)+IF('Reels'!D170="block",'Reels'!D171*'Slots'!D25,0)</f>
        <v>1</v>
      </c>
      <c r="G666" t="b">
        <f>AND('Reels'!D127&lt;&gt;"blank",'Reels'!D127&lt;&gt;"class",'Reels'!D127='Reels'!D170,'Reels'!D128='Reels'!D171,OR('Reels'!D151="class",AND('Reels'!D151='Reels'!D127,'Reels'!D152='Reels'!D128)))</f>
        <v>0</v>
      </c>
      <c r="H666">
        <f>IF(G666,C666,0)</f>
        <v>0</v>
      </c>
    </row>
    <row r="667" spans="1:8" x14ac:dyDescent="0.25">
      <c r="A667" t="s">
        <v>258</v>
      </c>
      <c r="B667" t="s">
        <v>3954</v>
      </c>
      <c r="C667" s="4">
        <f>('Reels'!D129/('Reels'!D120+'Reels'!D123+'Reels'!D126+'Reels'!D129+'Reels'!D132+'Reels'!D135))*('Reels'!D153/('Reels'!D138+'Reels'!D141+'Reels'!D144+'Reels'!D147+'Reels'!D150+'Reels'!D153+'Reels'!D156))*('Reels'!D175/('Reels'!D160+'Reels'!D163+'Reels'!D166+'Reels'!D169+'Reels'!D172+'Reels'!D175))</f>
        <v>0.0009793719777192876</v>
      </c>
      <c r="D667">
        <f>IF(OR('Reels'!D127="attack",'Reels'!D127="magic"),CHOOSE('Reels'!D128+1,'Slots'!D29,'Slots'!D30,'Slots'!D31,'Slots'!D32,'Slots'!D33),0)+IF(OR('Reels'!D151="attack",'Reels'!D151="magic"),CHOOSE('Reels'!D152+1,'Slots'!D29,'Slots'!D30,'Slots'!D31,'Slots'!D32,'Slots'!D33),0)+IF(OR('Reels'!D173="attack",'Reels'!D173="magic"),CHOOSE('Reels'!D174+1,'Slots'!D29,'Slots'!D30,'Slots'!D31,'Slots'!D32,'Slots'!D33),0)</f>
        <v>0</v>
      </c>
      <c r="E667">
        <f>IF('Reels'!D127="heal",'Reels'!D128*'Slots'!D24,0)+IF('Reels'!D151="heal",'Reels'!D152*'Slots'!D24,0)+IF('Reels'!D173="heal",'Reels'!D174*'Slots'!D24,0)</f>
        <v>0</v>
      </c>
      <c r="F667">
        <f>IF('Reels'!D127="block",'Reels'!D128*'Slots'!D25,0)+IF('Reels'!D151="block",'Reels'!D152*'Slots'!D25,0)+IF('Reels'!D173="block",'Reels'!D174*'Slots'!D25,0)</f>
        <v>0</v>
      </c>
      <c r="G667" t="b">
        <f>AND('Reels'!D127&lt;&gt;"blank",'Reels'!D127&lt;&gt;"class",'Reels'!D127='Reels'!D173,'Reels'!D128='Reels'!D174,OR('Reels'!D151="class",AND('Reels'!D151='Reels'!D127,'Reels'!D152='Reels'!D128)))</f>
        <v>0</v>
      </c>
      <c r="H667">
        <f>IF(G667,C667,0)</f>
        <v>0</v>
      </c>
    </row>
    <row r="668" spans="1:8" x14ac:dyDescent="0.25">
      <c r="A668" t="s">
        <v>258</v>
      </c>
      <c r="B668" t="s">
        <v>3955</v>
      </c>
      <c r="C668" s="4">
        <f>('Reels'!D129/('Reels'!D120+'Reels'!D123+'Reels'!D126+'Reels'!D129+'Reels'!D132+'Reels'!D135))*('Reels'!D156/('Reels'!D138+'Reels'!D141+'Reels'!D144+'Reels'!D147+'Reels'!D150+'Reels'!D153+'Reels'!D156))*('Reels'!D160/('Reels'!D160+'Reels'!D163+'Reels'!D166+'Reels'!D169+'Reels'!D172+'Reels'!D175))</f>
        <v>0.0020199547040460307</v>
      </c>
      <c r="D668">
        <f>IF(OR('Reels'!D127="attack",'Reels'!D127="magic"),CHOOSE('Reels'!D128+1,'Slots'!D29,'Slots'!D30,'Slots'!D31,'Slots'!D32,'Slots'!D33),0)+IF(OR('Reels'!D154="attack",'Reels'!D154="magic"),CHOOSE('Reels'!D155+1,'Slots'!D29,'Slots'!D30,'Slots'!D31,'Slots'!D32,'Slots'!D33),0)+IF(OR('Reels'!D158="attack",'Reels'!D158="magic"),CHOOSE('Reels'!D159+1,'Slots'!D29,'Slots'!D30,'Slots'!D31,'Slots'!D32,'Slots'!D33),0)</f>
        <v>2</v>
      </c>
      <c r="E668">
        <f>IF('Reels'!D127="heal",'Reels'!D128*'Slots'!D24,0)+IF('Reels'!D154="heal",'Reels'!D155*'Slots'!D24,0)+IF('Reels'!D158="heal",'Reels'!D159*'Slots'!D24,0)</f>
        <v>0</v>
      </c>
      <c r="F668">
        <f>IF('Reels'!D127="block",'Reels'!D128*'Slots'!D25,0)+IF('Reels'!D154="block",'Reels'!D155*'Slots'!D25,0)+IF('Reels'!D158="block",'Reels'!D159*'Slots'!D25,0)</f>
        <v>0</v>
      </c>
      <c r="G668" t="b">
        <f>AND('Reels'!D127&lt;&gt;"blank",'Reels'!D127&lt;&gt;"class",'Reels'!D127='Reels'!D158,'Reels'!D128='Reels'!D159,OR('Reels'!D154="class",AND('Reels'!D154='Reels'!D127,'Reels'!D155='Reels'!D128)))</f>
        <v>0</v>
      </c>
      <c r="H668">
        <f>IF(G668,C668,0)</f>
        <v>0</v>
      </c>
    </row>
    <row r="669" spans="1:8" x14ac:dyDescent="0.25">
      <c r="A669" t="s">
        <v>258</v>
      </c>
      <c r="B669" t="s">
        <v>3956</v>
      </c>
      <c r="C669" s="4">
        <f>('Reels'!D129/('Reels'!D120+'Reels'!D123+'Reels'!D126+'Reels'!D129+'Reels'!D132+'Reels'!D135))*('Reels'!D156/('Reels'!D138+'Reels'!D141+'Reels'!D144+'Reels'!D147+'Reels'!D150+'Reels'!D153+'Reels'!D156))*('Reels'!D163/('Reels'!D160+'Reels'!D163+'Reels'!D166+'Reels'!D169+'Reels'!D172+'Reels'!D175))</f>
        <v>0.001836322458223664</v>
      </c>
      <c r="D669">
        <f>IF(OR('Reels'!D127="attack",'Reels'!D127="magic"),CHOOSE('Reels'!D128+1,'Slots'!D29,'Slots'!D30,'Slots'!D31,'Slots'!D32,'Slots'!D33),0)+IF(OR('Reels'!D154="attack",'Reels'!D154="magic"),CHOOSE('Reels'!D155+1,'Slots'!D29,'Slots'!D30,'Slots'!D31,'Slots'!D32,'Slots'!D33),0)+IF(OR('Reels'!D161="attack",'Reels'!D161="magic"),CHOOSE('Reels'!D162+1,'Slots'!D29,'Slots'!D30,'Slots'!D31,'Slots'!D32,'Slots'!D33),0)</f>
        <v>4</v>
      </c>
      <c r="E669">
        <f>IF('Reels'!D127="heal",'Reels'!D128*'Slots'!D24,0)+IF('Reels'!D154="heal",'Reels'!D155*'Slots'!D24,0)+IF('Reels'!D161="heal",'Reels'!D162*'Slots'!D24,0)</f>
        <v>0</v>
      </c>
      <c r="F669">
        <f>IF('Reels'!D127="block",'Reels'!D128*'Slots'!D25,0)+IF('Reels'!D154="block",'Reels'!D155*'Slots'!D25,0)+IF('Reels'!D161="block",'Reels'!D162*'Slots'!D25,0)</f>
        <v>0</v>
      </c>
      <c r="G669" t="b">
        <f>AND('Reels'!D127&lt;&gt;"blank",'Reels'!D127&lt;&gt;"class",'Reels'!D127='Reels'!D161,'Reels'!D128='Reels'!D162,OR('Reels'!D154="class",AND('Reels'!D154='Reels'!D127,'Reels'!D155='Reels'!D128)))</f>
        <v>0</v>
      </c>
      <c r="H669">
        <f>IF(G669,C669,0)</f>
        <v>0</v>
      </c>
    </row>
    <row r="670" spans="1:8" x14ac:dyDescent="0.25">
      <c r="A670" t="s">
        <v>258</v>
      </c>
      <c r="B670" t="s">
        <v>3957</v>
      </c>
      <c r="C670" s="4">
        <f>('Reels'!D129/('Reels'!D120+'Reels'!D123+'Reels'!D126+'Reels'!D129+'Reels'!D132+'Reels'!D135))*('Reels'!D156/('Reels'!D138+'Reels'!D141+'Reels'!D144+'Reels'!D147+'Reels'!D150+'Reels'!D153+'Reels'!D156))*('Reels'!D166/('Reels'!D160+'Reels'!D163+'Reels'!D166+'Reels'!D169+'Reels'!D172+'Reels'!D175))</f>
        <v>0.0005508967374670993</v>
      </c>
      <c r="D670">
        <f>IF(OR('Reels'!D127="attack",'Reels'!D127="magic"),CHOOSE('Reels'!D128+1,'Slots'!D29,'Slots'!D30,'Slots'!D31,'Slots'!D32,'Slots'!D33),0)+IF(OR('Reels'!D154="attack",'Reels'!D154="magic"),CHOOSE('Reels'!D155+1,'Slots'!D29,'Slots'!D30,'Slots'!D31,'Slots'!D32,'Slots'!D33),0)+IF(OR('Reels'!D164="attack",'Reels'!D164="magic"),CHOOSE('Reels'!D165+1,'Slots'!D29,'Slots'!D30,'Slots'!D31,'Slots'!D32,'Slots'!D33),0)</f>
        <v>7</v>
      </c>
      <c r="E670">
        <f>IF('Reels'!D127="heal",'Reels'!D128*'Slots'!D24,0)+IF('Reels'!D154="heal",'Reels'!D155*'Slots'!D24,0)+IF('Reels'!D164="heal",'Reels'!D165*'Slots'!D24,0)</f>
        <v>0</v>
      </c>
      <c r="F670">
        <f>IF('Reels'!D127="block",'Reels'!D128*'Slots'!D25,0)+IF('Reels'!D154="block",'Reels'!D155*'Slots'!D25,0)+IF('Reels'!D164="block",'Reels'!D165*'Slots'!D25,0)</f>
        <v>0</v>
      </c>
      <c r="G670" t="b">
        <f>AND('Reels'!D127&lt;&gt;"blank",'Reels'!D127&lt;&gt;"class",'Reels'!D127='Reels'!D164,'Reels'!D128='Reels'!D165,OR('Reels'!D154="class",AND('Reels'!D154='Reels'!D127,'Reels'!D155='Reels'!D128)))</f>
        <v>0</v>
      </c>
      <c r="H670">
        <f>IF(G670,C670,0)</f>
        <v>0</v>
      </c>
    </row>
    <row r="671" spans="1:8" x14ac:dyDescent="0.25">
      <c r="A671" t="s">
        <v>258</v>
      </c>
      <c r="B671" t="s">
        <v>3958</v>
      </c>
      <c r="C671" s="4">
        <f>('Reels'!D129/('Reels'!D120+'Reels'!D123+'Reels'!D126+'Reels'!D129+'Reels'!D132+'Reels'!D135))*('Reels'!D156/('Reels'!D138+'Reels'!D141+'Reels'!D144+'Reels'!D147+'Reels'!D150+'Reels'!D153+'Reels'!D156))*('Reels'!D169/('Reels'!D160+'Reels'!D163+'Reels'!D166+'Reels'!D169+'Reels'!D172+'Reels'!D175))</f>
        <v>0.0003672644916447328</v>
      </c>
      <c r="D671">
        <f>IF(OR('Reels'!D127="attack",'Reels'!D127="magic"),CHOOSE('Reels'!D128+1,'Slots'!D29,'Slots'!D30,'Slots'!D31,'Slots'!D32,'Slots'!D33),0)+IF(OR('Reels'!D154="attack",'Reels'!D154="magic"),CHOOSE('Reels'!D155+1,'Slots'!D29,'Slots'!D30,'Slots'!D31,'Slots'!D32,'Slots'!D33),0)+IF(OR('Reels'!D167="attack",'Reels'!D167="magic"),CHOOSE('Reels'!D168+1,'Slots'!D29,'Slots'!D30,'Slots'!D31,'Slots'!D32,'Slots'!D33),0)</f>
        <v>0</v>
      </c>
      <c r="E671">
        <f>IF('Reels'!D127="heal",'Reels'!D128*'Slots'!D24,0)+IF('Reels'!D154="heal",'Reels'!D155*'Slots'!D24,0)+IF('Reels'!D167="heal",'Reels'!D168*'Slots'!D24,0)</f>
        <v>0</v>
      </c>
      <c r="F671">
        <f>IF('Reels'!D127="block",'Reels'!D128*'Slots'!D25,0)+IF('Reels'!D154="block",'Reels'!D155*'Slots'!D25,0)+IF('Reels'!D167="block",'Reels'!D168*'Slots'!D25,0)</f>
        <v>0</v>
      </c>
      <c r="G671" t="b">
        <f>AND('Reels'!D127&lt;&gt;"blank",'Reels'!D127&lt;&gt;"class",'Reels'!D127='Reels'!D167,'Reels'!D128='Reels'!D168,OR('Reels'!D154="class",AND('Reels'!D154='Reels'!D127,'Reels'!D155='Reels'!D128)))</f>
        <v>1</v>
      </c>
      <c r="H671">
        <f>IF(G671,C671,0)</f>
        <v>0.0003672644916447328</v>
      </c>
    </row>
    <row r="672" spans="1:8" x14ac:dyDescent="0.25">
      <c r="A672" t="s">
        <v>258</v>
      </c>
      <c r="B672" t="s">
        <v>3959</v>
      </c>
      <c r="C672" s="4">
        <f>('Reels'!D129/('Reels'!D120+'Reels'!D123+'Reels'!D126+'Reels'!D129+'Reels'!D132+'Reels'!D135))*('Reels'!D156/('Reels'!D138+'Reels'!D141+'Reels'!D144+'Reels'!D147+'Reels'!D150+'Reels'!D153+'Reels'!D156))*('Reels'!D172/('Reels'!D160+'Reels'!D163+'Reels'!D166+'Reels'!D169+'Reels'!D172+'Reels'!D175))</f>
        <v>0.0001836322458223664</v>
      </c>
      <c r="D672">
        <f>IF(OR('Reels'!D127="attack",'Reels'!D127="magic"),CHOOSE('Reels'!D128+1,'Slots'!D29,'Slots'!D30,'Slots'!D31,'Slots'!D32,'Slots'!D33),0)+IF(OR('Reels'!D154="attack",'Reels'!D154="magic"),CHOOSE('Reels'!D155+1,'Slots'!D29,'Slots'!D30,'Slots'!D31,'Slots'!D32,'Slots'!D33),0)+IF(OR('Reels'!D170="attack",'Reels'!D170="magic"),CHOOSE('Reels'!D171+1,'Slots'!D29,'Slots'!D30,'Slots'!D31,'Slots'!D32,'Slots'!D33),0)</f>
        <v>0</v>
      </c>
      <c r="E672">
        <f>IF('Reels'!D127="heal",'Reels'!D128*'Slots'!D24,0)+IF('Reels'!D154="heal",'Reels'!D155*'Slots'!D24,0)+IF('Reels'!D170="heal",'Reels'!D171*'Slots'!D24,0)</f>
        <v>0</v>
      </c>
      <c r="F672">
        <f>IF('Reels'!D127="block",'Reels'!D128*'Slots'!D25,0)+IF('Reels'!D154="block",'Reels'!D155*'Slots'!D25,0)+IF('Reels'!D170="block",'Reels'!D171*'Slots'!D25,0)</f>
        <v>1</v>
      </c>
      <c r="G672" t="b">
        <f>AND('Reels'!D127&lt;&gt;"blank",'Reels'!D127&lt;&gt;"class",'Reels'!D127='Reels'!D170,'Reels'!D128='Reels'!D171,OR('Reels'!D154="class",AND('Reels'!D154='Reels'!D127,'Reels'!D155='Reels'!D128)))</f>
        <v>0</v>
      </c>
      <c r="H672">
        <f>IF(G672,C672,0)</f>
        <v>0</v>
      </c>
    </row>
    <row r="673" spans="1:8" x14ac:dyDescent="0.25">
      <c r="A673" t="s">
        <v>258</v>
      </c>
      <c r="B673" t="s">
        <v>3960</v>
      </c>
      <c r="C673" s="4">
        <f>('Reels'!D129/('Reels'!D120+'Reels'!D123+'Reels'!D126+'Reels'!D129+'Reels'!D132+'Reels'!D135))*('Reels'!D156/('Reels'!D138+'Reels'!D141+'Reels'!D144+'Reels'!D147+'Reels'!D150+'Reels'!D153+'Reels'!D156))*('Reels'!D175/('Reels'!D160+'Reels'!D163+'Reels'!D166+'Reels'!D169+'Reels'!D172+'Reels'!D175))</f>
        <v>0.0007345289832894656</v>
      </c>
      <c r="D673">
        <f>IF(OR('Reels'!D127="attack",'Reels'!D127="magic"),CHOOSE('Reels'!D128+1,'Slots'!D29,'Slots'!D30,'Slots'!D31,'Slots'!D32,'Slots'!D33),0)+IF(OR('Reels'!D154="attack",'Reels'!D154="magic"),CHOOSE('Reels'!D155+1,'Slots'!D29,'Slots'!D30,'Slots'!D31,'Slots'!D32,'Slots'!D33),0)+IF(OR('Reels'!D173="attack",'Reels'!D173="magic"),CHOOSE('Reels'!D174+1,'Slots'!D29,'Slots'!D30,'Slots'!D31,'Slots'!D32,'Slots'!D33),0)</f>
        <v>0</v>
      </c>
      <c r="E673">
        <f>IF('Reels'!D127="heal",'Reels'!D128*'Slots'!D24,0)+IF('Reels'!D154="heal",'Reels'!D155*'Slots'!D24,0)+IF('Reels'!D173="heal",'Reels'!D174*'Slots'!D24,0)</f>
        <v>0</v>
      </c>
      <c r="F673">
        <f>IF('Reels'!D127="block",'Reels'!D128*'Slots'!D25,0)+IF('Reels'!D154="block",'Reels'!D155*'Slots'!D25,0)+IF('Reels'!D173="block",'Reels'!D174*'Slots'!D25,0)</f>
        <v>0</v>
      </c>
      <c r="G673" t="b">
        <f>AND('Reels'!D127&lt;&gt;"blank",'Reels'!D127&lt;&gt;"class",'Reels'!D127='Reels'!D173,'Reels'!D128='Reels'!D174,OR('Reels'!D154="class",AND('Reels'!D154='Reels'!D127,'Reels'!D155='Reels'!D128)))</f>
        <v>0</v>
      </c>
      <c r="H673">
        <f>IF(G673,C673,0)</f>
        <v>0</v>
      </c>
    </row>
    <row r="674" spans="1:8" x14ac:dyDescent="0.25">
      <c r="A674" t="s">
        <v>258</v>
      </c>
      <c r="B674" t="s">
        <v>3449</v>
      </c>
      <c r="C674" s="4">
        <f>('Reels'!D132/('Reels'!D120+'Reels'!D123+'Reels'!D126+'Reels'!D129+'Reels'!D132+'Reels'!D135))*('Reels'!D138/('Reels'!D138+'Reels'!D141+'Reels'!D144+'Reels'!D147+'Reels'!D150+'Reels'!D153+'Reels'!D156))*('Reels'!D160/('Reels'!D160+'Reels'!D163+'Reels'!D166+'Reels'!D169+'Reels'!D172+'Reels'!D175))</f>
        <v>0.003703250290751056</v>
      </c>
      <c r="D674">
        <f>IF(OR('Reels'!D130="attack",'Reels'!D130="magic"),CHOOSE('Reels'!D131+1,'Slots'!D29,'Slots'!D30,'Slots'!D31,'Slots'!D32,'Slots'!D33),0)+IF(OR('Reels'!D136="attack",'Reels'!D136="magic"),CHOOSE('Reels'!D137+1,'Slots'!D29,'Slots'!D30,'Slots'!D31,'Slots'!D32,'Slots'!D33),0)+IF(OR('Reels'!D158="attack",'Reels'!D158="magic"),CHOOSE('Reels'!D159+1,'Slots'!D29,'Slots'!D30,'Slots'!D31,'Slots'!D32,'Slots'!D33),0)</f>
        <v>4</v>
      </c>
      <c r="E674">
        <f>IF('Reels'!D130="heal",'Reels'!D131*'Slots'!D24,0)+IF('Reels'!D136="heal",'Reels'!D137*'Slots'!D24,0)+IF('Reels'!D158="heal",'Reels'!D159*'Slots'!D24,0)</f>
        <v>0</v>
      </c>
      <c r="F674">
        <f>IF('Reels'!D130="block",'Reels'!D131*'Slots'!D25,0)+IF('Reels'!D136="block",'Reels'!D137*'Slots'!D25,0)+IF('Reels'!D158="block",'Reels'!D159*'Slots'!D25,0)</f>
        <v>1</v>
      </c>
      <c r="G674" t="b">
        <f>AND('Reels'!D130&lt;&gt;"blank",'Reels'!D130&lt;&gt;"class",'Reels'!D130='Reels'!D158,'Reels'!D131='Reels'!D159,OR('Reels'!D136="class",AND('Reels'!D136='Reels'!D130,'Reels'!D137='Reels'!D131)))</f>
        <v>0</v>
      </c>
      <c r="H674">
        <f>IF(G674,C674,0)</f>
        <v>0</v>
      </c>
    </row>
    <row r="675" spans="1:8" x14ac:dyDescent="0.25">
      <c r="A675" t="s">
        <v>258</v>
      </c>
      <c r="B675" t="s">
        <v>3450</v>
      </c>
      <c r="C675" s="4">
        <f>('Reels'!D132/('Reels'!D120+'Reels'!D123+'Reels'!D126+'Reels'!D129+'Reels'!D132+'Reels'!D135))*('Reels'!D138/('Reels'!D138+'Reels'!D141+'Reels'!D144+'Reels'!D147+'Reels'!D150+'Reels'!D153+'Reels'!D156))*('Reels'!D163/('Reels'!D160+'Reels'!D163+'Reels'!D166+'Reels'!D169+'Reels'!D172+'Reels'!D175))</f>
        <v>0.003366591173410051</v>
      </c>
      <c r="D675">
        <f>IF(OR('Reels'!D130="attack",'Reels'!D130="magic"),CHOOSE('Reels'!D131+1,'Slots'!D29,'Slots'!D30,'Slots'!D31,'Slots'!D32,'Slots'!D33),0)+IF(OR('Reels'!D136="attack",'Reels'!D136="magic"),CHOOSE('Reels'!D137+1,'Slots'!D29,'Slots'!D30,'Slots'!D31,'Slots'!D32,'Slots'!D33),0)+IF(OR('Reels'!D161="attack",'Reels'!D161="magic"),CHOOSE('Reels'!D162+1,'Slots'!D29,'Slots'!D30,'Slots'!D31,'Slots'!D32,'Slots'!D33),0)</f>
        <v>6</v>
      </c>
      <c r="E675">
        <f>IF('Reels'!D130="heal",'Reels'!D131*'Slots'!D24,0)+IF('Reels'!D136="heal",'Reels'!D137*'Slots'!D24,0)+IF('Reels'!D161="heal",'Reels'!D162*'Slots'!D24,0)</f>
        <v>0</v>
      </c>
      <c r="F675">
        <f>IF('Reels'!D130="block",'Reels'!D131*'Slots'!D25,0)+IF('Reels'!D136="block",'Reels'!D137*'Slots'!D25,0)+IF('Reels'!D161="block",'Reels'!D162*'Slots'!D25,0)</f>
        <v>1</v>
      </c>
      <c r="G675" t="b">
        <f>AND('Reels'!D130&lt;&gt;"blank",'Reels'!D130&lt;&gt;"class",'Reels'!D130='Reels'!D161,'Reels'!D131='Reels'!D162,OR('Reels'!D136="class",AND('Reels'!D136='Reels'!D130,'Reels'!D137='Reels'!D131)))</f>
        <v>0</v>
      </c>
      <c r="H675">
        <f>IF(G675,C675,0)</f>
        <v>0</v>
      </c>
    </row>
    <row r="676" spans="1:8" x14ac:dyDescent="0.25">
      <c r="A676" t="s">
        <v>258</v>
      </c>
      <c r="B676" t="s">
        <v>3961</v>
      </c>
      <c r="C676" s="4">
        <f>('Reels'!D132/('Reels'!D120+'Reels'!D123+'Reels'!D126+'Reels'!D129+'Reels'!D132+'Reels'!D135))*('Reels'!D138/('Reels'!D138+'Reels'!D141+'Reels'!D144+'Reels'!D147+'Reels'!D150+'Reels'!D153+'Reels'!D156))*('Reels'!D166/('Reels'!D160+'Reels'!D163+'Reels'!D166+'Reels'!D169+'Reels'!D172+'Reels'!D175))</f>
        <v>0.0010099773520230153</v>
      </c>
      <c r="D676">
        <f>IF(OR('Reels'!D130="attack",'Reels'!D130="magic"),CHOOSE('Reels'!D131+1,'Slots'!D29,'Slots'!D30,'Slots'!D31,'Slots'!D32,'Slots'!D33),0)+IF(OR('Reels'!D136="attack",'Reels'!D136="magic"),CHOOSE('Reels'!D137+1,'Slots'!D29,'Slots'!D30,'Slots'!D31,'Slots'!D32,'Slots'!D33),0)+IF(OR('Reels'!D164="attack",'Reels'!D164="magic"),CHOOSE('Reels'!D165+1,'Slots'!D29,'Slots'!D30,'Slots'!D31,'Slots'!D32,'Slots'!D33),0)</f>
        <v>9</v>
      </c>
      <c r="E676">
        <f>IF('Reels'!D130="heal",'Reels'!D131*'Slots'!D24,0)+IF('Reels'!D136="heal",'Reels'!D137*'Slots'!D24,0)+IF('Reels'!D164="heal",'Reels'!D165*'Slots'!D24,0)</f>
        <v>0</v>
      </c>
      <c r="F676">
        <f>IF('Reels'!D130="block",'Reels'!D131*'Slots'!D25,0)+IF('Reels'!D136="block",'Reels'!D137*'Slots'!D25,0)+IF('Reels'!D164="block",'Reels'!D165*'Slots'!D25,0)</f>
        <v>1</v>
      </c>
      <c r="G676" t="b">
        <f>AND('Reels'!D130&lt;&gt;"blank",'Reels'!D130&lt;&gt;"class",'Reels'!D130='Reels'!D164,'Reels'!D131='Reels'!D165,OR('Reels'!D136="class",AND('Reels'!D136='Reels'!D130,'Reels'!D137='Reels'!D131)))</f>
        <v>0</v>
      </c>
      <c r="H676">
        <f>IF(G676,C676,0)</f>
        <v>0</v>
      </c>
    </row>
    <row r="677" spans="1:8" x14ac:dyDescent="0.25">
      <c r="A677" t="s">
        <v>258</v>
      </c>
      <c r="B677" t="s">
        <v>3962</v>
      </c>
      <c r="C677" s="4">
        <f>('Reels'!D132/('Reels'!D120+'Reels'!D123+'Reels'!D126+'Reels'!D129+'Reels'!D132+'Reels'!D135))*('Reels'!D138/('Reels'!D138+'Reels'!D141+'Reels'!D144+'Reels'!D147+'Reels'!D150+'Reels'!D153+'Reels'!D156))*('Reels'!D169/('Reels'!D160+'Reels'!D163+'Reels'!D166+'Reels'!D169+'Reels'!D172+'Reels'!D175))</f>
        <v>0.0006733182346820102</v>
      </c>
      <c r="D677">
        <f>IF(OR('Reels'!D130="attack",'Reels'!D130="magic"),CHOOSE('Reels'!D131+1,'Slots'!D29,'Slots'!D30,'Slots'!D31,'Slots'!D32,'Slots'!D33),0)+IF(OR('Reels'!D136="attack",'Reels'!D136="magic"),CHOOSE('Reels'!D137+1,'Slots'!D29,'Slots'!D30,'Slots'!D31,'Slots'!D32,'Slots'!D33),0)+IF(OR('Reels'!D167="attack",'Reels'!D167="magic"),CHOOSE('Reels'!D168+1,'Slots'!D29,'Slots'!D30,'Slots'!D31,'Slots'!D32,'Slots'!D33),0)</f>
        <v>2</v>
      </c>
      <c r="E677">
        <f>IF('Reels'!D130="heal",'Reels'!D131*'Slots'!D24,0)+IF('Reels'!D136="heal",'Reels'!D137*'Slots'!D24,0)+IF('Reels'!D167="heal",'Reels'!D168*'Slots'!D24,0)</f>
        <v>0</v>
      </c>
      <c r="F677">
        <f>IF('Reels'!D130="block",'Reels'!D131*'Slots'!D25,0)+IF('Reels'!D136="block",'Reels'!D137*'Slots'!D25,0)+IF('Reels'!D167="block",'Reels'!D168*'Slots'!D25,0)</f>
        <v>1</v>
      </c>
      <c r="G677" t="b">
        <f>AND('Reels'!D130&lt;&gt;"blank",'Reels'!D130&lt;&gt;"class",'Reels'!D130='Reels'!D167,'Reels'!D131='Reels'!D168,OR('Reels'!D136="class",AND('Reels'!D136='Reels'!D130,'Reels'!D137='Reels'!D131)))</f>
        <v>0</v>
      </c>
      <c r="H677">
        <f>IF(G677,C677,0)</f>
        <v>0</v>
      </c>
    </row>
    <row r="678" spans="1:8" x14ac:dyDescent="0.25">
      <c r="A678" t="s">
        <v>258</v>
      </c>
      <c r="B678" t="s">
        <v>3451</v>
      </c>
      <c r="C678" s="4">
        <f>('Reels'!D132/('Reels'!D120+'Reels'!D123+'Reels'!D126+'Reels'!D129+'Reels'!D132+'Reels'!D135))*('Reels'!D138/('Reels'!D138+'Reels'!D141+'Reels'!D144+'Reels'!D147+'Reels'!D150+'Reels'!D153+'Reels'!D156))*('Reels'!D172/('Reels'!D160+'Reels'!D163+'Reels'!D166+'Reels'!D169+'Reels'!D172+'Reels'!D175))</f>
        <v>0.0003366591173410051</v>
      </c>
      <c r="D678">
        <f>IF(OR('Reels'!D130="attack",'Reels'!D130="magic"),CHOOSE('Reels'!D131+1,'Slots'!D29,'Slots'!D30,'Slots'!D31,'Slots'!D32,'Slots'!D33),0)+IF(OR('Reels'!D136="attack",'Reels'!D136="magic"),CHOOSE('Reels'!D137+1,'Slots'!D29,'Slots'!D30,'Slots'!D31,'Slots'!D32,'Slots'!D33),0)+IF(OR('Reels'!D170="attack",'Reels'!D170="magic"),CHOOSE('Reels'!D171+1,'Slots'!D29,'Slots'!D30,'Slots'!D31,'Slots'!D32,'Slots'!D33),0)</f>
        <v>2</v>
      </c>
      <c r="E678">
        <f>IF('Reels'!D130="heal",'Reels'!D131*'Slots'!D24,0)+IF('Reels'!D136="heal",'Reels'!D137*'Slots'!D24,0)+IF('Reels'!D170="heal",'Reels'!D171*'Slots'!D24,0)</f>
        <v>0</v>
      </c>
      <c r="F678">
        <f>IF('Reels'!D130="block",'Reels'!D131*'Slots'!D25,0)+IF('Reels'!D136="block",'Reels'!D137*'Slots'!D25,0)+IF('Reels'!D170="block",'Reels'!D171*'Slots'!D25,0)</f>
        <v>2</v>
      </c>
      <c r="G678" t="b">
        <f>AND('Reels'!D130&lt;&gt;"blank",'Reels'!D130&lt;&gt;"class",'Reels'!D130='Reels'!D170,'Reels'!D131='Reels'!D171,OR('Reels'!D136="class",AND('Reels'!D136='Reels'!D130,'Reels'!D137='Reels'!D131)))</f>
        <v>0</v>
      </c>
      <c r="H678">
        <f>IF(G678,C678,0)</f>
        <v>0</v>
      </c>
    </row>
    <row r="679" spans="1:8" x14ac:dyDescent="0.25">
      <c r="A679" t="s">
        <v>258</v>
      </c>
      <c r="B679" t="s">
        <v>3454</v>
      </c>
      <c r="C679" s="4">
        <f>('Reels'!D132/('Reels'!D120+'Reels'!D123+'Reels'!D126+'Reels'!D129+'Reels'!D132+'Reels'!D135))*('Reels'!D138/('Reels'!D138+'Reels'!D141+'Reels'!D144+'Reels'!D147+'Reels'!D150+'Reels'!D153+'Reels'!D156))*('Reels'!D175/('Reels'!D160+'Reels'!D163+'Reels'!D166+'Reels'!D169+'Reels'!D172+'Reels'!D175))</f>
        <v>0.0013466364693640203</v>
      </c>
      <c r="D679">
        <f>IF(OR('Reels'!D130="attack",'Reels'!D130="magic"),CHOOSE('Reels'!D131+1,'Slots'!D29,'Slots'!D30,'Slots'!D31,'Slots'!D32,'Slots'!D33),0)+IF(OR('Reels'!D136="attack",'Reels'!D136="magic"),CHOOSE('Reels'!D137+1,'Slots'!D29,'Slots'!D30,'Slots'!D31,'Slots'!D32,'Slots'!D33),0)+IF(OR('Reels'!D173="attack",'Reels'!D173="magic"),CHOOSE('Reels'!D174+1,'Slots'!D29,'Slots'!D30,'Slots'!D31,'Slots'!D32,'Slots'!D33),0)</f>
        <v>2</v>
      </c>
      <c r="E679">
        <f>IF('Reels'!D130="heal",'Reels'!D131*'Slots'!D24,0)+IF('Reels'!D136="heal",'Reels'!D137*'Slots'!D24,0)+IF('Reels'!D173="heal",'Reels'!D174*'Slots'!D24,0)</f>
        <v>0</v>
      </c>
      <c r="F679">
        <f>IF('Reels'!D130="block",'Reels'!D131*'Slots'!D25,0)+IF('Reels'!D136="block",'Reels'!D137*'Slots'!D25,0)+IF('Reels'!D173="block",'Reels'!D174*'Slots'!D25,0)</f>
        <v>1</v>
      </c>
      <c r="G679" t="b">
        <f>AND('Reels'!D130&lt;&gt;"blank",'Reels'!D130&lt;&gt;"class",'Reels'!D130='Reels'!D173,'Reels'!D131='Reels'!D174,OR('Reels'!D136="class",AND('Reels'!D136='Reels'!D130,'Reels'!D137='Reels'!D131)))</f>
        <v>0</v>
      </c>
      <c r="H679">
        <f>IF(G679,C679,0)</f>
        <v>0</v>
      </c>
    </row>
    <row r="680" spans="1:8" x14ac:dyDescent="0.25">
      <c r="A680" t="s">
        <v>258</v>
      </c>
      <c r="B680" t="s">
        <v>3455</v>
      </c>
      <c r="C680" s="4">
        <f>('Reels'!D132/('Reels'!D120+'Reels'!D123+'Reels'!D126+'Reels'!D129+'Reels'!D132+'Reels'!D135))*('Reels'!D141/('Reels'!D138+'Reels'!D141+'Reels'!D144+'Reels'!D147+'Reels'!D150+'Reels'!D153+'Reels'!D156))*('Reels'!D160/('Reels'!D160+'Reels'!D163+'Reels'!D166+'Reels'!D169+'Reels'!D172+'Reels'!D175))</f>
        <v>0.0033665911734100506</v>
      </c>
      <c r="D680">
        <f>IF(OR('Reels'!D130="attack",'Reels'!D130="magic"),CHOOSE('Reels'!D131+1,'Slots'!D29,'Slots'!D30,'Slots'!D31,'Slots'!D32,'Slots'!D33),0)+IF(OR('Reels'!D139="attack",'Reels'!D139="magic"),CHOOSE('Reels'!D140+1,'Slots'!D29,'Slots'!D30,'Slots'!D31,'Slots'!D32,'Slots'!D33),0)+IF(OR('Reels'!D158="attack",'Reels'!D158="magic"),CHOOSE('Reels'!D159+1,'Slots'!D29,'Slots'!D30,'Slots'!D31,'Slots'!D32,'Slots'!D33),0)</f>
        <v>6</v>
      </c>
      <c r="E680">
        <f>IF('Reels'!D130="heal",'Reels'!D131*'Slots'!D24,0)+IF('Reels'!D139="heal",'Reels'!D140*'Slots'!D24,0)+IF('Reels'!D158="heal",'Reels'!D159*'Slots'!D24,0)</f>
        <v>0</v>
      </c>
      <c r="F680">
        <f>IF('Reels'!D130="block",'Reels'!D131*'Slots'!D25,0)+IF('Reels'!D139="block",'Reels'!D140*'Slots'!D25,0)+IF('Reels'!D158="block",'Reels'!D159*'Slots'!D25,0)</f>
        <v>1</v>
      </c>
      <c r="G680" t="b">
        <f>AND('Reels'!D130&lt;&gt;"blank",'Reels'!D130&lt;&gt;"class",'Reels'!D130='Reels'!D158,'Reels'!D131='Reels'!D159,OR('Reels'!D139="class",AND('Reels'!D139='Reels'!D130,'Reels'!D140='Reels'!D131)))</f>
        <v>0</v>
      </c>
      <c r="H680">
        <f>IF(G680,C680,0)</f>
        <v>0</v>
      </c>
    </row>
    <row r="681" spans="1:8" x14ac:dyDescent="0.25">
      <c r="A681" t="s">
        <v>258</v>
      </c>
      <c r="B681" t="s">
        <v>3456</v>
      </c>
      <c r="C681" s="4">
        <f>('Reels'!D132/('Reels'!D120+'Reels'!D123+'Reels'!D126+'Reels'!D129+'Reels'!D132+'Reels'!D135))*('Reels'!D141/('Reels'!D138+'Reels'!D141+'Reels'!D144+'Reels'!D147+'Reels'!D150+'Reels'!D153+'Reels'!D156))*('Reels'!D163/('Reels'!D160+'Reels'!D163+'Reels'!D166+'Reels'!D169+'Reels'!D172+'Reels'!D175))</f>
        <v>0.0030605374303727733</v>
      </c>
      <c r="D681">
        <f>IF(OR('Reels'!D130="attack",'Reels'!D130="magic"),CHOOSE('Reels'!D131+1,'Slots'!D29,'Slots'!D30,'Slots'!D31,'Slots'!D32,'Slots'!D33),0)+IF(OR('Reels'!D139="attack",'Reels'!D139="magic"),CHOOSE('Reels'!D140+1,'Slots'!D29,'Slots'!D30,'Slots'!D31,'Slots'!D32,'Slots'!D33),0)+IF(OR('Reels'!D161="attack",'Reels'!D161="magic"),CHOOSE('Reels'!D162+1,'Slots'!D29,'Slots'!D30,'Slots'!D31,'Slots'!D32,'Slots'!D33),0)</f>
        <v>8</v>
      </c>
      <c r="E681">
        <f>IF('Reels'!D130="heal",'Reels'!D131*'Slots'!D24,0)+IF('Reels'!D139="heal",'Reels'!D140*'Slots'!D24,0)+IF('Reels'!D161="heal",'Reels'!D162*'Slots'!D24,0)</f>
        <v>0</v>
      </c>
      <c r="F681">
        <f>IF('Reels'!D130="block",'Reels'!D131*'Slots'!D25,0)+IF('Reels'!D139="block",'Reels'!D140*'Slots'!D25,0)+IF('Reels'!D161="block",'Reels'!D162*'Slots'!D25,0)</f>
        <v>1</v>
      </c>
      <c r="G681" t="b">
        <f>AND('Reels'!D130&lt;&gt;"blank",'Reels'!D130&lt;&gt;"class",'Reels'!D130='Reels'!D161,'Reels'!D131='Reels'!D162,OR('Reels'!D139="class",AND('Reels'!D139='Reels'!D130,'Reels'!D140='Reels'!D131)))</f>
        <v>0</v>
      </c>
      <c r="H681">
        <f>IF(G681,C681,0)</f>
        <v>0</v>
      </c>
    </row>
    <row r="682" spans="1:8" x14ac:dyDescent="0.25">
      <c r="A682" t="s">
        <v>258</v>
      </c>
      <c r="B682" t="s">
        <v>3963</v>
      </c>
      <c r="C682" s="4">
        <f>('Reels'!D132/('Reels'!D120+'Reels'!D123+'Reels'!D126+'Reels'!D129+'Reels'!D132+'Reels'!D135))*('Reels'!D141/('Reels'!D138+'Reels'!D141+'Reels'!D144+'Reels'!D147+'Reels'!D150+'Reels'!D153+'Reels'!D156))*('Reels'!D166/('Reels'!D160+'Reels'!D163+'Reels'!D166+'Reels'!D169+'Reels'!D172+'Reels'!D175))</f>
        <v>0.000918161229111832</v>
      </c>
      <c r="D682">
        <f>IF(OR('Reels'!D130="attack",'Reels'!D130="magic"),CHOOSE('Reels'!D131+1,'Slots'!D29,'Slots'!D30,'Slots'!D31,'Slots'!D32,'Slots'!D33),0)+IF(OR('Reels'!D139="attack",'Reels'!D139="magic"),CHOOSE('Reels'!D140+1,'Slots'!D29,'Slots'!D30,'Slots'!D31,'Slots'!D32,'Slots'!D33),0)+IF(OR('Reels'!D164="attack",'Reels'!D164="magic"),CHOOSE('Reels'!D165+1,'Slots'!D29,'Slots'!D30,'Slots'!D31,'Slots'!D32,'Slots'!D33),0)</f>
        <v>11</v>
      </c>
      <c r="E682">
        <f>IF('Reels'!D130="heal",'Reels'!D131*'Slots'!D24,0)+IF('Reels'!D139="heal",'Reels'!D140*'Slots'!D24,0)+IF('Reels'!D164="heal",'Reels'!D165*'Slots'!D24,0)</f>
        <v>0</v>
      </c>
      <c r="F682">
        <f>IF('Reels'!D130="block",'Reels'!D131*'Slots'!D25,0)+IF('Reels'!D139="block",'Reels'!D140*'Slots'!D25,0)+IF('Reels'!D164="block",'Reels'!D165*'Slots'!D25,0)</f>
        <v>1</v>
      </c>
      <c r="G682" t="b">
        <f>AND('Reels'!D130&lt;&gt;"blank",'Reels'!D130&lt;&gt;"class",'Reels'!D130='Reels'!D164,'Reels'!D131='Reels'!D165,OR('Reels'!D139="class",AND('Reels'!D139='Reels'!D130,'Reels'!D140='Reels'!D131)))</f>
        <v>0</v>
      </c>
      <c r="H682">
        <f>IF(G682,C682,0)</f>
        <v>0</v>
      </c>
    </row>
    <row r="683" spans="1:8" x14ac:dyDescent="0.25">
      <c r="A683" t="s">
        <v>258</v>
      </c>
      <c r="B683" t="s">
        <v>3964</v>
      </c>
      <c r="C683" s="4">
        <f>('Reels'!D132/('Reels'!D120+'Reels'!D123+'Reels'!D126+'Reels'!D129+'Reels'!D132+'Reels'!D135))*('Reels'!D141/('Reels'!D138+'Reels'!D141+'Reels'!D144+'Reels'!D147+'Reels'!D150+'Reels'!D153+'Reels'!D156))*('Reels'!D169/('Reels'!D160+'Reels'!D163+'Reels'!D166+'Reels'!D169+'Reels'!D172+'Reels'!D175))</f>
        <v>0.0006121074860745547</v>
      </c>
      <c r="D683">
        <f>IF(OR('Reels'!D130="attack",'Reels'!D130="magic"),CHOOSE('Reels'!D131+1,'Slots'!D29,'Slots'!D30,'Slots'!D31,'Slots'!D32,'Slots'!D33),0)+IF(OR('Reels'!D139="attack",'Reels'!D139="magic"),CHOOSE('Reels'!D140+1,'Slots'!D29,'Slots'!D30,'Slots'!D31,'Slots'!D32,'Slots'!D33),0)+IF(OR('Reels'!D167="attack",'Reels'!D167="magic"),CHOOSE('Reels'!D168+1,'Slots'!D29,'Slots'!D30,'Slots'!D31,'Slots'!D32,'Slots'!D33),0)</f>
        <v>4</v>
      </c>
      <c r="E683">
        <f>IF('Reels'!D130="heal",'Reels'!D131*'Slots'!D24,0)+IF('Reels'!D139="heal",'Reels'!D140*'Slots'!D24,0)+IF('Reels'!D167="heal",'Reels'!D168*'Slots'!D24,0)</f>
        <v>0</v>
      </c>
      <c r="F683">
        <f>IF('Reels'!D130="block",'Reels'!D131*'Slots'!D25,0)+IF('Reels'!D139="block",'Reels'!D140*'Slots'!D25,0)+IF('Reels'!D167="block",'Reels'!D168*'Slots'!D25,0)</f>
        <v>1</v>
      </c>
      <c r="G683" t="b">
        <f>AND('Reels'!D130&lt;&gt;"blank",'Reels'!D130&lt;&gt;"class",'Reels'!D130='Reels'!D167,'Reels'!D131='Reels'!D168,OR('Reels'!D139="class",AND('Reels'!D139='Reels'!D130,'Reels'!D140='Reels'!D131)))</f>
        <v>0</v>
      </c>
      <c r="H683">
        <f>IF(G683,C683,0)</f>
        <v>0</v>
      </c>
    </row>
    <row r="684" spans="1:8" x14ac:dyDescent="0.25">
      <c r="A684" t="s">
        <v>258</v>
      </c>
      <c r="B684" t="s">
        <v>3457</v>
      </c>
      <c r="C684" s="4">
        <f>('Reels'!D132/('Reels'!D120+'Reels'!D123+'Reels'!D126+'Reels'!D129+'Reels'!D132+'Reels'!D135))*('Reels'!D141/('Reels'!D138+'Reels'!D141+'Reels'!D144+'Reels'!D147+'Reels'!D150+'Reels'!D153+'Reels'!D156))*('Reels'!D172/('Reels'!D160+'Reels'!D163+'Reels'!D166+'Reels'!D169+'Reels'!D172+'Reels'!D175))</f>
        <v>0.00030605374303727736</v>
      </c>
      <c r="D684">
        <f>IF(OR('Reels'!D130="attack",'Reels'!D130="magic"),CHOOSE('Reels'!D131+1,'Slots'!D29,'Slots'!D30,'Slots'!D31,'Slots'!D32,'Slots'!D33),0)+IF(OR('Reels'!D139="attack",'Reels'!D139="magic"),CHOOSE('Reels'!D140+1,'Slots'!D29,'Slots'!D30,'Slots'!D31,'Slots'!D32,'Slots'!D33),0)+IF(OR('Reels'!D170="attack",'Reels'!D170="magic"),CHOOSE('Reels'!D171+1,'Slots'!D29,'Slots'!D30,'Slots'!D31,'Slots'!D32,'Slots'!D33),0)</f>
        <v>4</v>
      </c>
      <c r="E684">
        <f>IF('Reels'!D130="heal",'Reels'!D131*'Slots'!D24,0)+IF('Reels'!D139="heal",'Reels'!D140*'Slots'!D24,0)+IF('Reels'!D170="heal",'Reels'!D171*'Slots'!D24,0)</f>
        <v>0</v>
      </c>
      <c r="F684">
        <f>IF('Reels'!D130="block",'Reels'!D131*'Slots'!D25,0)+IF('Reels'!D139="block",'Reels'!D140*'Slots'!D25,0)+IF('Reels'!D170="block",'Reels'!D171*'Slots'!D25,0)</f>
        <v>2</v>
      </c>
      <c r="G684" t="b">
        <f>AND('Reels'!D130&lt;&gt;"blank",'Reels'!D130&lt;&gt;"class",'Reels'!D130='Reels'!D170,'Reels'!D131='Reels'!D171,OR('Reels'!D139="class",AND('Reels'!D139='Reels'!D130,'Reels'!D140='Reels'!D131)))</f>
        <v>0</v>
      </c>
      <c r="H684">
        <f>IF(G684,C684,0)</f>
        <v>0</v>
      </c>
    </row>
    <row r="685" spans="1:8" x14ac:dyDescent="0.25">
      <c r="A685" t="s">
        <v>258</v>
      </c>
      <c r="B685" t="s">
        <v>3460</v>
      </c>
      <c r="C685" s="4">
        <f>('Reels'!D132/('Reels'!D120+'Reels'!D123+'Reels'!D126+'Reels'!D129+'Reels'!D132+'Reels'!D135))*('Reels'!D141/('Reels'!D138+'Reels'!D141+'Reels'!D144+'Reels'!D147+'Reels'!D150+'Reels'!D153+'Reels'!D156))*('Reels'!D175/('Reels'!D160+'Reels'!D163+'Reels'!D166+'Reels'!D169+'Reels'!D172+'Reels'!D175))</f>
        <v>0.0012242149721491094</v>
      </c>
      <c r="D685">
        <f>IF(OR('Reels'!D130="attack",'Reels'!D130="magic"),CHOOSE('Reels'!D131+1,'Slots'!D29,'Slots'!D30,'Slots'!D31,'Slots'!D32,'Slots'!D33),0)+IF(OR('Reels'!D139="attack",'Reels'!D139="magic"),CHOOSE('Reels'!D140+1,'Slots'!D29,'Slots'!D30,'Slots'!D31,'Slots'!D32,'Slots'!D33),0)+IF(OR('Reels'!D173="attack",'Reels'!D173="magic"),CHOOSE('Reels'!D174+1,'Slots'!D29,'Slots'!D30,'Slots'!D31,'Slots'!D32,'Slots'!D33),0)</f>
        <v>4</v>
      </c>
      <c r="E685">
        <f>IF('Reels'!D130="heal",'Reels'!D131*'Slots'!D24,0)+IF('Reels'!D139="heal",'Reels'!D140*'Slots'!D24,0)+IF('Reels'!D173="heal",'Reels'!D174*'Slots'!D24,0)</f>
        <v>0</v>
      </c>
      <c r="F685">
        <f>IF('Reels'!D130="block",'Reels'!D131*'Slots'!D25,0)+IF('Reels'!D139="block",'Reels'!D140*'Slots'!D25,0)+IF('Reels'!D173="block",'Reels'!D174*'Slots'!D25,0)</f>
        <v>1</v>
      </c>
      <c r="G685" t="b">
        <f>AND('Reels'!D130&lt;&gt;"blank",'Reels'!D130&lt;&gt;"class",'Reels'!D130='Reels'!D173,'Reels'!D131='Reels'!D174,OR('Reels'!D139="class",AND('Reels'!D139='Reels'!D130,'Reels'!D140='Reels'!D131)))</f>
        <v>0</v>
      </c>
      <c r="H685">
        <f>IF(G685,C685,0)</f>
        <v>0</v>
      </c>
    </row>
    <row r="686" spans="1:8" x14ac:dyDescent="0.25">
      <c r="A686" t="s">
        <v>258</v>
      </c>
      <c r="B686" t="s">
        <v>3965</v>
      </c>
      <c r="C686" s="4">
        <f>('Reels'!D132/('Reels'!D120+'Reels'!D123+'Reels'!D126+'Reels'!D129+'Reels'!D132+'Reels'!D135))*('Reels'!D144/('Reels'!D138+'Reels'!D141+'Reels'!D144+'Reels'!D147+'Reels'!D150+'Reels'!D153+'Reels'!D156))*('Reels'!D160/('Reels'!D160+'Reels'!D163+'Reels'!D166+'Reels'!D169+'Reels'!D172+'Reels'!D175))</f>
        <v>0.0010099773520230153</v>
      </c>
      <c r="D686">
        <f>IF(OR('Reels'!D130="attack",'Reels'!D130="magic"),CHOOSE('Reels'!D131+1,'Slots'!D29,'Slots'!D30,'Slots'!D31,'Slots'!D32,'Slots'!D33),0)+IF(OR('Reels'!D142="attack",'Reels'!D142="magic"),CHOOSE('Reels'!D143+1,'Slots'!D29,'Slots'!D30,'Slots'!D31,'Slots'!D32,'Slots'!D33),0)+IF(OR('Reels'!D158="attack",'Reels'!D158="magic"),CHOOSE('Reels'!D159+1,'Slots'!D29,'Slots'!D30,'Slots'!D31,'Slots'!D32,'Slots'!D33),0)</f>
        <v>9</v>
      </c>
      <c r="E686">
        <f>IF('Reels'!D130="heal",'Reels'!D131*'Slots'!D24,0)+IF('Reels'!D142="heal",'Reels'!D143*'Slots'!D24,0)+IF('Reels'!D158="heal",'Reels'!D159*'Slots'!D24,0)</f>
        <v>0</v>
      </c>
      <c r="F686">
        <f>IF('Reels'!D130="block",'Reels'!D131*'Slots'!D25,0)+IF('Reels'!D142="block",'Reels'!D143*'Slots'!D25,0)+IF('Reels'!D158="block",'Reels'!D159*'Slots'!D25,0)</f>
        <v>1</v>
      </c>
      <c r="G686" t="b">
        <f>AND('Reels'!D130&lt;&gt;"blank",'Reels'!D130&lt;&gt;"class",'Reels'!D130='Reels'!D158,'Reels'!D131='Reels'!D159,OR('Reels'!D142="class",AND('Reels'!D142='Reels'!D130,'Reels'!D143='Reels'!D131)))</f>
        <v>0</v>
      </c>
      <c r="H686">
        <f>IF(G686,C686,0)</f>
        <v>0</v>
      </c>
    </row>
    <row r="687" spans="1:8" x14ac:dyDescent="0.25">
      <c r="A687" t="s">
        <v>258</v>
      </c>
      <c r="B687" t="s">
        <v>3966</v>
      </c>
      <c r="C687" s="4">
        <f>('Reels'!D132/('Reels'!D120+'Reels'!D123+'Reels'!D126+'Reels'!D129+'Reels'!D132+'Reels'!D135))*('Reels'!D144/('Reels'!D138+'Reels'!D141+'Reels'!D144+'Reels'!D147+'Reels'!D150+'Reels'!D153+'Reels'!D156))*('Reels'!D163/('Reels'!D160+'Reels'!D163+'Reels'!D166+'Reels'!D169+'Reels'!D172+'Reels'!D175))</f>
        <v>0.000918161229111832</v>
      </c>
      <c r="D687">
        <f>IF(OR('Reels'!D130="attack",'Reels'!D130="magic"),CHOOSE('Reels'!D131+1,'Slots'!D29,'Slots'!D30,'Slots'!D31,'Slots'!D32,'Slots'!D33),0)+IF(OR('Reels'!D142="attack",'Reels'!D142="magic"),CHOOSE('Reels'!D143+1,'Slots'!D29,'Slots'!D30,'Slots'!D31,'Slots'!D32,'Slots'!D33),0)+IF(OR('Reels'!D161="attack",'Reels'!D161="magic"),CHOOSE('Reels'!D162+1,'Slots'!D29,'Slots'!D30,'Slots'!D31,'Slots'!D32,'Slots'!D33),0)</f>
        <v>11</v>
      </c>
      <c r="E687">
        <f>IF('Reels'!D130="heal",'Reels'!D131*'Slots'!D24,0)+IF('Reels'!D142="heal",'Reels'!D143*'Slots'!D24,0)+IF('Reels'!D161="heal",'Reels'!D162*'Slots'!D24,0)</f>
        <v>0</v>
      </c>
      <c r="F687">
        <f>IF('Reels'!D130="block",'Reels'!D131*'Slots'!D25,0)+IF('Reels'!D142="block",'Reels'!D143*'Slots'!D25,0)+IF('Reels'!D161="block",'Reels'!D162*'Slots'!D25,0)</f>
        <v>1</v>
      </c>
      <c r="G687" t="b">
        <f>AND('Reels'!D130&lt;&gt;"blank",'Reels'!D130&lt;&gt;"class",'Reels'!D130='Reels'!D161,'Reels'!D131='Reels'!D162,OR('Reels'!D142="class",AND('Reels'!D142='Reels'!D130,'Reels'!D143='Reels'!D131)))</f>
        <v>0</v>
      </c>
      <c r="H687">
        <f>IF(G687,C687,0)</f>
        <v>0</v>
      </c>
    </row>
    <row r="688" spans="1:8" x14ac:dyDescent="0.25">
      <c r="A688" t="s">
        <v>258</v>
      </c>
      <c r="B688" t="s">
        <v>3967</v>
      </c>
      <c r="C688" s="4">
        <f>('Reels'!D132/('Reels'!D120+'Reels'!D123+'Reels'!D126+'Reels'!D129+'Reels'!D132+'Reels'!D135))*('Reels'!D144/('Reels'!D138+'Reels'!D141+'Reels'!D144+'Reels'!D147+'Reels'!D150+'Reels'!D153+'Reels'!D156))*('Reels'!D166/('Reels'!D160+'Reels'!D163+'Reels'!D166+'Reels'!D169+'Reels'!D172+'Reels'!D175))</f>
        <v>0.00027544836873354963</v>
      </c>
      <c r="D688">
        <f>IF(OR('Reels'!D130="attack",'Reels'!D130="magic"),CHOOSE('Reels'!D131+1,'Slots'!D29,'Slots'!D30,'Slots'!D31,'Slots'!D32,'Slots'!D33),0)+IF(OR('Reels'!D142="attack",'Reels'!D142="magic"),CHOOSE('Reels'!D143+1,'Slots'!D29,'Slots'!D30,'Slots'!D31,'Slots'!D32,'Slots'!D33),0)+IF(OR('Reels'!D164="attack",'Reels'!D164="magic"),CHOOSE('Reels'!D165+1,'Slots'!D29,'Slots'!D30,'Slots'!D31,'Slots'!D32,'Slots'!D33),0)</f>
        <v>14</v>
      </c>
      <c r="E688">
        <f>IF('Reels'!D130="heal",'Reels'!D131*'Slots'!D24,0)+IF('Reels'!D142="heal",'Reels'!D143*'Slots'!D24,0)+IF('Reels'!D164="heal",'Reels'!D165*'Slots'!D24,0)</f>
        <v>0</v>
      </c>
      <c r="F688">
        <f>IF('Reels'!D130="block",'Reels'!D131*'Slots'!D25,0)+IF('Reels'!D142="block",'Reels'!D143*'Slots'!D25,0)+IF('Reels'!D164="block",'Reels'!D165*'Slots'!D25,0)</f>
        <v>1</v>
      </c>
      <c r="G688" t="b">
        <f>AND('Reels'!D130&lt;&gt;"blank",'Reels'!D130&lt;&gt;"class",'Reels'!D130='Reels'!D164,'Reels'!D131='Reels'!D165,OR('Reels'!D142="class",AND('Reels'!D142='Reels'!D130,'Reels'!D143='Reels'!D131)))</f>
        <v>0</v>
      </c>
      <c r="H688">
        <f>IF(G688,C688,0)</f>
        <v>0</v>
      </c>
    </row>
    <row r="689" spans="1:8" x14ac:dyDescent="0.25">
      <c r="A689" t="s">
        <v>258</v>
      </c>
      <c r="B689" t="s">
        <v>3968</v>
      </c>
      <c r="C689" s="4">
        <f>('Reels'!D132/('Reels'!D120+'Reels'!D123+'Reels'!D126+'Reels'!D129+'Reels'!D132+'Reels'!D135))*('Reels'!D144/('Reels'!D138+'Reels'!D141+'Reels'!D144+'Reels'!D147+'Reels'!D150+'Reels'!D153+'Reels'!D156))*('Reels'!D169/('Reels'!D160+'Reels'!D163+'Reels'!D166+'Reels'!D169+'Reels'!D172+'Reels'!D175))</f>
        <v>0.0001836322458223664</v>
      </c>
      <c r="D689">
        <f>IF(OR('Reels'!D130="attack",'Reels'!D130="magic"),CHOOSE('Reels'!D131+1,'Slots'!D29,'Slots'!D30,'Slots'!D31,'Slots'!D32,'Slots'!D33),0)+IF(OR('Reels'!D142="attack",'Reels'!D142="magic"),CHOOSE('Reels'!D143+1,'Slots'!D29,'Slots'!D30,'Slots'!D31,'Slots'!D32,'Slots'!D33),0)+IF(OR('Reels'!D167="attack",'Reels'!D167="magic"),CHOOSE('Reels'!D168+1,'Slots'!D29,'Slots'!D30,'Slots'!D31,'Slots'!D32,'Slots'!D33),0)</f>
        <v>7</v>
      </c>
      <c r="E689">
        <f>IF('Reels'!D130="heal",'Reels'!D131*'Slots'!D24,0)+IF('Reels'!D142="heal",'Reels'!D143*'Slots'!D24,0)+IF('Reels'!D167="heal",'Reels'!D168*'Slots'!D24,0)</f>
        <v>0</v>
      </c>
      <c r="F689">
        <f>IF('Reels'!D130="block",'Reels'!D131*'Slots'!D25,0)+IF('Reels'!D142="block",'Reels'!D143*'Slots'!D25,0)+IF('Reels'!D167="block",'Reels'!D168*'Slots'!D25,0)</f>
        <v>1</v>
      </c>
      <c r="G689" t="b">
        <f>AND('Reels'!D130&lt;&gt;"blank",'Reels'!D130&lt;&gt;"class",'Reels'!D130='Reels'!D167,'Reels'!D131='Reels'!D168,OR('Reels'!D142="class",AND('Reels'!D142='Reels'!D130,'Reels'!D143='Reels'!D131)))</f>
        <v>0</v>
      </c>
      <c r="H689">
        <f>IF(G689,C689,0)</f>
        <v>0</v>
      </c>
    </row>
    <row r="690" spans="1:8" x14ac:dyDescent="0.25">
      <c r="A690" t="s">
        <v>258</v>
      </c>
      <c r="B690" t="s">
        <v>3969</v>
      </c>
      <c r="C690" s="4">
        <f>('Reels'!D132/('Reels'!D120+'Reels'!D123+'Reels'!D126+'Reels'!D129+'Reels'!D132+'Reels'!D135))*('Reels'!D144/('Reels'!D138+'Reels'!D141+'Reels'!D144+'Reels'!D147+'Reels'!D150+'Reels'!D153+'Reels'!D156))*('Reels'!D172/('Reels'!D160+'Reels'!D163+'Reels'!D166+'Reels'!D169+'Reels'!D172+'Reels'!D175))</f>
        <v>0.0000918161229111832</v>
      </c>
      <c r="D690">
        <f>IF(OR('Reels'!D130="attack",'Reels'!D130="magic"),CHOOSE('Reels'!D131+1,'Slots'!D29,'Slots'!D30,'Slots'!D31,'Slots'!D32,'Slots'!D33),0)+IF(OR('Reels'!D142="attack",'Reels'!D142="magic"),CHOOSE('Reels'!D143+1,'Slots'!D29,'Slots'!D30,'Slots'!D31,'Slots'!D32,'Slots'!D33),0)+IF(OR('Reels'!D170="attack",'Reels'!D170="magic"),CHOOSE('Reels'!D171+1,'Slots'!D29,'Slots'!D30,'Slots'!D31,'Slots'!D32,'Slots'!D33),0)</f>
        <v>7</v>
      </c>
      <c r="E690">
        <f>IF('Reels'!D130="heal",'Reels'!D131*'Slots'!D24,0)+IF('Reels'!D142="heal",'Reels'!D143*'Slots'!D24,0)+IF('Reels'!D170="heal",'Reels'!D171*'Slots'!D24,0)</f>
        <v>0</v>
      </c>
      <c r="F690">
        <f>IF('Reels'!D130="block",'Reels'!D131*'Slots'!D25,0)+IF('Reels'!D142="block",'Reels'!D143*'Slots'!D25,0)+IF('Reels'!D170="block",'Reels'!D171*'Slots'!D25,0)</f>
        <v>2</v>
      </c>
      <c r="G690" t="b">
        <f>AND('Reels'!D130&lt;&gt;"blank",'Reels'!D130&lt;&gt;"class",'Reels'!D130='Reels'!D170,'Reels'!D131='Reels'!D171,OR('Reels'!D142="class",AND('Reels'!D142='Reels'!D130,'Reels'!D143='Reels'!D131)))</f>
        <v>0</v>
      </c>
      <c r="H690">
        <f>IF(G690,C690,0)</f>
        <v>0</v>
      </c>
    </row>
    <row r="691" spans="1:8" x14ac:dyDescent="0.25">
      <c r="A691" t="s">
        <v>258</v>
      </c>
      <c r="B691" t="s">
        <v>3970</v>
      </c>
      <c r="C691" s="4">
        <f>('Reels'!D132/('Reels'!D120+'Reels'!D123+'Reels'!D126+'Reels'!D129+'Reels'!D132+'Reels'!D135))*('Reels'!D144/('Reels'!D138+'Reels'!D141+'Reels'!D144+'Reels'!D147+'Reels'!D150+'Reels'!D153+'Reels'!D156))*('Reels'!D175/('Reels'!D160+'Reels'!D163+'Reels'!D166+'Reels'!D169+'Reels'!D172+'Reels'!D175))</f>
        <v>0.0003672644916447328</v>
      </c>
      <c r="D691">
        <f>IF(OR('Reels'!D130="attack",'Reels'!D130="magic"),CHOOSE('Reels'!D131+1,'Slots'!D29,'Slots'!D30,'Slots'!D31,'Slots'!D32,'Slots'!D33),0)+IF(OR('Reels'!D142="attack",'Reels'!D142="magic"),CHOOSE('Reels'!D143+1,'Slots'!D29,'Slots'!D30,'Slots'!D31,'Slots'!D32,'Slots'!D33),0)+IF(OR('Reels'!D173="attack",'Reels'!D173="magic"),CHOOSE('Reels'!D174+1,'Slots'!D29,'Slots'!D30,'Slots'!D31,'Slots'!D32,'Slots'!D33),0)</f>
        <v>7</v>
      </c>
      <c r="E691">
        <f>IF('Reels'!D130="heal",'Reels'!D131*'Slots'!D24,0)+IF('Reels'!D142="heal",'Reels'!D143*'Slots'!D24,0)+IF('Reels'!D173="heal",'Reels'!D174*'Slots'!D24,0)</f>
        <v>0</v>
      </c>
      <c r="F691">
        <f>IF('Reels'!D130="block",'Reels'!D131*'Slots'!D25,0)+IF('Reels'!D142="block",'Reels'!D143*'Slots'!D25,0)+IF('Reels'!D173="block",'Reels'!D174*'Slots'!D25,0)</f>
        <v>1</v>
      </c>
      <c r="G691" t="b">
        <f>AND('Reels'!D130&lt;&gt;"blank",'Reels'!D130&lt;&gt;"class",'Reels'!D130='Reels'!D173,'Reels'!D131='Reels'!D174,OR('Reels'!D142="class",AND('Reels'!D142='Reels'!D130,'Reels'!D143='Reels'!D131)))</f>
        <v>0</v>
      </c>
      <c r="H691">
        <f>IF(G691,C691,0)</f>
        <v>0</v>
      </c>
    </row>
    <row r="692" spans="1:8" x14ac:dyDescent="0.25">
      <c r="A692" t="s">
        <v>258</v>
      </c>
      <c r="B692" t="s">
        <v>3971</v>
      </c>
      <c r="C692" s="4">
        <f>('Reels'!D132/('Reels'!D120+'Reels'!D123+'Reels'!D126+'Reels'!D129+'Reels'!D132+'Reels'!D135))*('Reels'!D147/('Reels'!D138+'Reels'!D141+'Reels'!D144+'Reels'!D147+'Reels'!D150+'Reels'!D153+'Reels'!D156))*('Reels'!D160/('Reels'!D160+'Reels'!D163+'Reels'!D166+'Reels'!D169+'Reels'!D172+'Reels'!D175))</f>
        <v>0.0006733182346820102</v>
      </c>
      <c r="D692">
        <f>IF(OR('Reels'!D130="attack",'Reels'!D130="magic"),CHOOSE('Reels'!D131+1,'Slots'!D29,'Slots'!D30,'Slots'!D31,'Slots'!D32,'Slots'!D33),0)+IF(OR('Reels'!D145="attack",'Reels'!D145="magic"),CHOOSE('Reels'!D146+1,'Slots'!D29,'Slots'!D30,'Slots'!D31,'Slots'!D32,'Slots'!D33),0)+IF(OR('Reels'!D158="attack",'Reels'!D158="magic"),CHOOSE('Reels'!D159+1,'Slots'!D29,'Slots'!D30,'Slots'!D31,'Slots'!D32,'Slots'!D33),0)</f>
        <v>2</v>
      </c>
      <c r="E692">
        <f>IF('Reels'!D130="heal",'Reels'!D131*'Slots'!D24,0)+IF('Reels'!D145="heal",'Reels'!D146*'Slots'!D24,0)+IF('Reels'!D158="heal",'Reels'!D159*'Slots'!D24,0)</f>
        <v>0</v>
      </c>
      <c r="F692">
        <f>IF('Reels'!D130="block",'Reels'!D131*'Slots'!D25,0)+IF('Reels'!D145="block",'Reels'!D146*'Slots'!D25,0)+IF('Reels'!D158="block",'Reels'!D159*'Slots'!D25,0)</f>
        <v>1</v>
      </c>
      <c r="G692" t="b">
        <f>AND('Reels'!D130&lt;&gt;"blank",'Reels'!D130&lt;&gt;"class",'Reels'!D130='Reels'!D158,'Reels'!D131='Reels'!D159,OR('Reels'!D145="class",AND('Reels'!D145='Reels'!D130,'Reels'!D146='Reels'!D131)))</f>
        <v>0</v>
      </c>
      <c r="H692">
        <f>IF(G692,C692,0)</f>
        <v>0</v>
      </c>
    </row>
    <row r="693" spans="1:8" x14ac:dyDescent="0.25">
      <c r="A693" t="s">
        <v>258</v>
      </c>
      <c r="B693" t="s">
        <v>3972</v>
      </c>
      <c r="C693" s="4">
        <f>('Reels'!D132/('Reels'!D120+'Reels'!D123+'Reels'!D126+'Reels'!D129+'Reels'!D132+'Reels'!D135))*('Reels'!D147/('Reels'!D138+'Reels'!D141+'Reels'!D144+'Reels'!D147+'Reels'!D150+'Reels'!D153+'Reels'!D156))*('Reels'!D163/('Reels'!D160+'Reels'!D163+'Reels'!D166+'Reels'!D169+'Reels'!D172+'Reels'!D175))</f>
        <v>0.0006121074860745547</v>
      </c>
      <c r="D693">
        <f>IF(OR('Reels'!D130="attack",'Reels'!D130="magic"),CHOOSE('Reels'!D131+1,'Slots'!D29,'Slots'!D30,'Slots'!D31,'Slots'!D32,'Slots'!D33),0)+IF(OR('Reels'!D145="attack",'Reels'!D145="magic"),CHOOSE('Reels'!D146+1,'Slots'!D29,'Slots'!D30,'Slots'!D31,'Slots'!D32,'Slots'!D33),0)+IF(OR('Reels'!D161="attack",'Reels'!D161="magic"),CHOOSE('Reels'!D162+1,'Slots'!D29,'Slots'!D30,'Slots'!D31,'Slots'!D32,'Slots'!D33),0)</f>
        <v>4</v>
      </c>
      <c r="E693">
        <f>IF('Reels'!D130="heal",'Reels'!D131*'Slots'!D24,0)+IF('Reels'!D145="heal",'Reels'!D146*'Slots'!D24,0)+IF('Reels'!D161="heal",'Reels'!D162*'Slots'!D24,0)</f>
        <v>0</v>
      </c>
      <c r="F693">
        <f>IF('Reels'!D130="block",'Reels'!D131*'Slots'!D25,0)+IF('Reels'!D145="block",'Reels'!D146*'Slots'!D25,0)+IF('Reels'!D161="block",'Reels'!D162*'Slots'!D25,0)</f>
        <v>1</v>
      </c>
      <c r="G693" t="b">
        <f>AND('Reels'!D130&lt;&gt;"blank",'Reels'!D130&lt;&gt;"class",'Reels'!D130='Reels'!D161,'Reels'!D131='Reels'!D162,OR('Reels'!D145="class",AND('Reels'!D145='Reels'!D130,'Reels'!D146='Reels'!D131)))</f>
        <v>0</v>
      </c>
      <c r="H693">
        <f>IF(G693,C693,0)</f>
        <v>0</v>
      </c>
    </row>
    <row r="694" spans="1:8" x14ac:dyDescent="0.25">
      <c r="A694" t="s">
        <v>258</v>
      </c>
      <c r="B694" t="s">
        <v>3973</v>
      </c>
      <c r="C694" s="4">
        <f>('Reels'!D132/('Reels'!D120+'Reels'!D123+'Reels'!D126+'Reels'!D129+'Reels'!D132+'Reels'!D135))*('Reels'!D147/('Reels'!D138+'Reels'!D141+'Reels'!D144+'Reels'!D147+'Reels'!D150+'Reels'!D153+'Reels'!D156))*('Reels'!D166/('Reels'!D160+'Reels'!D163+'Reels'!D166+'Reels'!D169+'Reels'!D172+'Reels'!D175))</f>
        <v>0.0001836322458223664</v>
      </c>
      <c r="D694">
        <f>IF(OR('Reels'!D130="attack",'Reels'!D130="magic"),CHOOSE('Reels'!D131+1,'Slots'!D29,'Slots'!D30,'Slots'!D31,'Slots'!D32,'Slots'!D33),0)+IF(OR('Reels'!D145="attack",'Reels'!D145="magic"),CHOOSE('Reels'!D146+1,'Slots'!D29,'Slots'!D30,'Slots'!D31,'Slots'!D32,'Slots'!D33),0)+IF(OR('Reels'!D164="attack",'Reels'!D164="magic"),CHOOSE('Reels'!D165+1,'Slots'!D29,'Slots'!D30,'Slots'!D31,'Slots'!D32,'Slots'!D33),0)</f>
        <v>7</v>
      </c>
      <c r="E694">
        <f>IF('Reels'!D130="heal",'Reels'!D131*'Slots'!D24,0)+IF('Reels'!D145="heal",'Reels'!D146*'Slots'!D24,0)+IF('Reels'!D164="heal",'Reels'!D165*'Slots'!D24,0)</f>
        <v>0</v>
      </c>
      <c r="F694">
        <f>IF('Reels'!D130="block",'Reels'!D131*'Slots'!D25,0)+IF('Reels'!D145="block",'Reels'!D146*'Slots'!D25,0)+IF('Reels'!D164="block",'Reels'!D165*'Slots'!D25,0)</f>
        <v>1</v>
      </c>
      <c r="G694" t="b">
        <f>AND('Reels'!D130&lt;&gt;"blank",'Reels'!D130&lt;&gt;"class",'Reels'!D130='Reels'!D164,'Reels'!D131='Reels'!D165,OR('Reels'!D145="class",AND('Reels'!D145='Reels'!D130,'Reels'!D146='Reels'!D131)))</f>
        <v>0</v>
      </c>
      <c r="H694">
        <f>IF(G694,C694,0)</f>
        <v>0</v>
      </c>
    </row>
    <row r="695" spans="1:8" x14ac:dyDescent="0.25">
      <c r="A695" t="s">
        <v>258</v>
      </c>
      <c r="B695" t="s">
        <v>3974</v>
      </c>
      <c r="C695" s="4">
        <f>('Reels'!D132/('Reels'!D120+'Reels'!D123+'Reels'!D126+'Reels'!D129+'Reels'!D132+'Reels'!D135))*('Reels'!D147/('Reels'!D138+'Reels'!D141+'Reels'!D144+'Reels'!D147+'Reels'!D150+'Reels'!D153+'Reels'!D156))*('Reels'!D169/('Reels'!D160+'Reels'!D163+'Reels'!D166+'Reels'!D169+'Reels'!D172+'Reels'!D175))</f>
        <v>0.00012242149721491095</v>
      </c>
      <c r="D695">
        <f>IF(OR('Reels'!D130="attack",'Reels'!D130="magic"),CHOOSE('Reels'!D131+1,'Slots'!D29,'Slots'!D30,'Slots'!D31,'Slots'!D32,'Slots'!D33),0)+IF(OR('Reels'!D145="attack",'Reels'!D145="magic"),CHOOSE('Reels'!D146+1,'Slots'!D29,'Slots'!D30,'Slots'!D31,'Slots'!D32,'Slots'!D33),0)+IF(OR('Reels'!D167="attack",'Reels'!D167="magic"),CHOOSE('Reels'!D168+1,'Slots'!D29,'Slots'!D30,'Slots'!D31,'Slots'!D32,'Slots'!D33),0)</f>
        <v>0</v>
      </c>
      <c r="E695">
        <f>IF('Reels'!D130="heal",'Reels'!D131*'Slots'!D24,0)+IF('Reels'!D145="heal",'Reels'!D146*'Slots'!D24,0)+IF('Reels'!D167="heal",'Reels'!D168*'Slots'!D24,0)</f>
        <v>0</v>
      </c>
      <c r="F695">
        <f>IF('Reels'!D130="block",'Reels'!D131*'Slots'!D25,0)+IF('Reels'!D145="block",'Reels'!D146*'Slots'!D25,0)+IF('Reels'!D167="block",'Reels'!D168*'Slots'!D25,0)</f>
        <v>1</v>
      </c>
      <c r="G695" t="b">
        <f>AND('Reels'!D130&lt;&gt;"blank",'Reels'!D130&lt;&gt;"class",'Reels'!D130='Reels'!D167,'Reels'!D131='Reels'!D168,OR('Reels'!D145="class",AND('Reels'!D145='Reels'!D130,'Reels'!D146='Reels'!D131)))</f>
        <v>0</v>
      </c>
      <c r="H695">
        <f>IF(G695,C695,0)</f>
        <v>0</v>
      </c>
    </row>
    <row r="696" spans="1:8" x14ac:dyDescent="0.25">
      <c r="A696" t="s">
        <v>258</v>
      </c>
      <c r="B696" t="s">
        <v>3975</v>
      </c>
      <c r="C696" s="4">
        <f>('Reels'!D132/('Reels'!D120+'Reels'!D123+'Reels'!D126+'Reels'!D129+'Reels'!D132+'Reels'!D135))*('Reels'!D147/('Reels'!D138+'Reels'!D141+'Reels'!D144+'Reels'!D147+'Reels'!D150+'Reels'!D153+'Reels'!D156))*('Reels'!D172/('Reels'!D160+'Reels'!D163+'Reels'!D166+'Reels'!D169+'Reels'!D172+'Reels'!D175))</f>
        <v>0.00006121074860745548</v>
      </c>
      <c r="D696">
        <f>IF(OR('Reels'!D130="attack",'Reels'!D130="magic"),CHOOSE('Reels'!D131+1,'Slots'!D29,'Slots'!D30,'Slots'!D31,'Slots'!D32,'Slots'!D33),0)+IF(OR('Reels'!D145="attack",'Reels'!D145="magic"),CHOOSE('Reels'!D146+1,'Slots'!D29,'Slots'!D30,'Slots'!D31,'Slots'!D32,'Slots'!D33),0)+IF(OR('Reels'!D170="attack",'Reels'!D170="magic"),CHOOSE('Reels'!D171+1,'Slots'!D29,'Slots'!D30,'Slots'!D31,'Slots'!D32,'Slots'!D33),0)</f>
        <v>0</v>
      </c>
      <c r="E696">
        <f>IF('Reels'!D130="heal",'Reels'!D131*'Slots'!D24,0)+IF('Reels'!D145="heal",'Reels'!D146*'Slots'!D24,0)+IF('Reels'!D170="heal",'Reels'!D171*'Slots'!D24,0)</f>
        <v>0</v>
      </c>
      <c r="F696">
        <f>IF('Reels'!D130="block",'Reels'!D131*'Slots'!D25,0)+IF('Reels'!D145="block",'Reels'!D146*'Slots'!D25,0)+IF('Reels'!D170="block",'Reels'!D171*'Slots'!D25,0)</f>
        <v>2</v>
      </c>
      <c r="G696" t="b">
        <f>AND('Reels'!D130&lt;&gt;"blank",'Reels'!D130&lt;&gt;"class",'Reels'!D130='Reels'!D170,'Reels'!D131='Reels'!D171,OR('Reels'!D145="class",AND('Reels'!D145='Reels'!D130,'Reels'!D146='Reels'!D131)))</f>
        <v>0</v>
      </c>
      <c r="H696">
        <f>IF(G696,C696,0)</f>
        <v>0</v>
      </c>
    </row>
    <row r="697" spans="1:8" x14ac:dyDescent="0.25">
      <c r="A697" t="s">
        <v>258</v>
      </c>
      <c r="B697" t="s">
        <v>3976</v>
      </c>
      <c r="C697" s="4">
        <f>('Reels'!D132/('Reels'!D120+'Reels'!D123+'Reels'!D126+'Reels'!D129+'Reels'!D132+'Reels'!D135))*('Reels'!D147/('Reels'!D138+'Reels'!D141+'Reels'!D144+'Reels'!D147+'Reels'!D150+'Reels'!D153+'Reels'!D156))*('Reels'!D175/('Reels'!D160+'Reels'!D163+'Reels'!D166+'Reels'!D169+'Reels'!D172+'Reels'!D175))</f>
        <v>0.0002448429944298219</v>
      </c>
      <c r="D697">
        <f>IF(OR('Reels'!D130="attack",'Reels'!D130="magic"),CHOOSE('Reels'!D131+1,'Slots'!D29,'Slots'!D30,'Slots'!D31,'Slots'!D32,'Slots'!D33),0)+IF(OR('Reels'!D145="attack",'Reels'!D145="magic"),CHOOSE('Reels'!D146+1,'Slots'!D29,'Slots'!D30,'Slots'!D31,'Slots'!D32,'Slots'!D33),0)+IF(OR('Reels'!D173="attack",'Reels'!D173="magic"),CHOOSE('Reels'!D174+1,'Slots'!D29,'Slots'!D30,'Slots'!D31,'Slots'!D32,'Slots'!D33),0)</f>
        <v>0</v>
      </c>
      <c r="E697">
        <f>IF('Reels'!D130="heal",'Reels'!D131*'Slots'!D24,0)+IF('Reels'!D145="heal",'Reels'!D146*'Slots'!D24,0)+IF('Reels'!D173="heal",'Reels'!D174*'Slots'!D24,0)</f>
        <v>0</v>
      </c>
      <c r="F697">
        <f>IF('Reels'!D130="block",'Reels'!D131*'Slots'!D25,0)+IF('Reels'!D145="block",'Reels'!D146*'Slots'!D25,0)+IF('Reels'!D173="block",'Reels'!D174*'Slots'!D25,0)</f>
        <v>1</v>
      </c>
      <c r="G697" t="b">
        <f>AND('Reels'!D130&lt;&gt;"blank",'Reels'!D130&lt;&gt;"class",'Reels'!D130='Reels'!D173,'Reels'!D131='Reels'!D174,OR('Reels'!D145="class",AND('Reels'!D145='Reels'!D130,'Reels'!D146='Reels'!D131)))</f>
        <v>0</v>
      </c>
      <c r="H697">
        <f>IF(G697,C697,0)</f>
        <v>0</v>
      </c>
    </row>
    <row r="698" spans="1:8" x14ac:dyDescent="0.25">
      <c r="A698" t="s">
        <v>258</v>
      </c>
      <c r="B698" t="s">
        <v>3461</v>
      </c>
      <c r="C698" s="4">
        <f>('Reels'!D132/('Reels'!D120+'Reels'!D123+'Reels'!D126+'Reels'!D129+'Reels'!D132+'Reels'!D135))*('Reels'!D150/('Reels'!D138+'Reels'!D141+'Reels'!D144+'Reels'!D147+'Reels'!D150+'Reels'!D153+'Reels'!D156))*('Reels'!D160/('Reels'!D160+'Reels'!D163+'Reels'!D166+'Reels'!D169+'Reels'!D172+'Reels'!D175))</f>
        <v>0.0003366591173410051</v>
      </c>
      <c r="D698">
        <f>IF(OR('Reels'!D130="attack",'Reels'!D130="magic"),CHOOSE('Reels'!D131+1,'Slots'!D29,'Slots'!D30,'Slots'!D31,'Slots'!D32,'Slots'!D33),0)+IF(OR('Reels'!D148="attack",'Reels'!D148="magic"),CHOOSE('Reels'!D149+1,'Slots'!D29,'Slots'!D30,'Slots'!D31,'Slots'!D32,'Slots'!D33),0)+IF(OR('Reels'!D158="attack",'Reels'!D158="magic"),CHOOSE('Reels'!D159+1,'Slots'!D29,'Slots'!D30,'Slots'!D31,'Slots'!D32,'Slots'!D33),0)</f>
        <v>2</v>
      </c>
      <c r="E698">
        <f>IF('Reels'!D130="heal",'Reels'!D131*'Slots'!D24,0)+IF('Reels'!D148="heal",'Reels'!D149*'Slots'!D24,0)+IF('Reels'!D158="heal",'Reels'!D159*'Slots'!D24,0)</f>
        <v>0</v>
      </c>
      <c r="F698">
        <f>IF('Reels'!D130="block",'Reels'!D131*'Slots'!D25,0)+IF('Reels'!D148="block",'Reels'!D149*'Slots'!D25,0)+IF('Reels'!D158="block",'Reels'!D159*'Slots'!D25,0)</f>
        <v>2</v>
      </c>
      <c r="G698" t="b">
        <f>AND('Reels'!D130&lt;&gt;"blank",'Reels'!D130&lt;&gt;"class",'Reels'!D130='Reels'!D158,'Reels'!D131='Reels'!D159,OR('Reels'!D148="class",AND('Reels'!D148='Reels'!D130,'Reels'!D149='Reels'!D131)))</f>
        <v>0</v>
      </c>
      <c r="H698">
        <f>IF(G698,C698,0)</f>
        <v>0</v>
      </c>
    </row>
    <row r="699" spans="1:8" x14ac:dyDescent="0.25">
      <c r="A699" t="s">
        <v>258</v>
      </c>
      <c r="B699" t="s">
        <v>3462</v>
      </c>
      <c r="C699" s="4">
        <f>('Reels'!D132/('Reels'!D120+'Reels'!D123+'Reels'!D126+'Reels'!D129+'Reels'!D132+'Reels'!D135))*('Reels'!D150/('Reels'!D138+'Reels'!D141+'Reels'!D144+'Reels'!D147+'Reels'!D150+'Reels'!D153+'Reels'!D156))*('Reels'!D163/('Reels'!D160+'Reels'!D163+'Reels'!D166+'Reels'!D169+'Reels'!D172+'Reels'!D175))</f>
        <v>0.00030605374303727736</v>
      </c>
      <c r="D699">
        <f>IF(OR('Reels'!D130="attack",'Reels'!D130="magic"),CHOOSE('Reels'!D131+1,'Slots'!D29,'Slots'!D30,'Slots'!D31,'Slots'!D32,'Slots'!D33),0)+IF(OR('Reels'!D148="attack",'Reels'!D148="magic"),CHOOSE('Reels'!D149+1,'Slots'!D29,'Slots'!D30,'Slots'!D31,'Slots'!D32,'Slots'!D33),0)+IF(OR('Reels'!D161="attack",'Reels'!D161="magic"),CHOOSE('Reels'!D162+1,'Slots'!D29,'Slots'!D30,'Slots'!D31,'Slots'!D32,'Slots'!D33),0)</f>
        <v>4</v>
      </c>
      <c r="E699">
        <f>IF('Reels'!D130="heal",'Reels'!D131*'Slots'!D24,0)+IF('Reels'!D148="heal",'Reels'!D149*'Slots'!D24,0)+IF('Reels'!D161="heal",'Reels'!D162*'Slots'!D24,0)</f>
        <v>0</v>
      </c>
      <c r="F699">
        <f>IF('Reels'!D130="block",'Reels'!D131*'Slots'!D25,0)+IF('Reels'!D148="block",'Reels'!D149*'Slots'!D25,0)+IF('Reels'!D161="block",'Reels'!D162*'Slots'!D25,0)</f>
        <v>2</v>
      </c>
      <c r="G699" t="b">
        <f>AND('Reels'!D130&lt;&gt;"blank",'Reels'!D130&lt;&gt;"class",'Reels'!D130='Reels'!D161,'Reels'!D131='Reels'!D162,OR('Reels'!D148="class",AND('Reels'!D148='Reels'!D130,'Reels'!D149='Reels'!D131)))</f>
        <v>0</v>
      </c>
      <c r="H699">
        <f>IF(G699,C699,0)</f>
        <v>0</v>
      </c>
    </row>
    <row r="700" spans="1:8" x14ac:dyDescent="0.25">
      <c r="A700" t="s">
        <v>258</v>
      </c>
      <c r="B700" t="s">
        <v>3977</v>
      </c>
      <c r="C700" s="4">
        <f>('Reels'!D132/('Reels'!D120+'Reels'!D123+'Reels'!D126+'Reels'!D129+'Reels'!D132+'Reels'!D135))*('Reels'!D150/('Reels'!D138+'Reels'!D141+'Reels'!D144+'Reels'!D147+'Reels'!D150+'Reels'!D153+'Reels'!D156))*('Reels'!D166/('Reels'!D160+'Reels'!D163+'Reels'!D166+'Reels'!D169+'Reels'!D172+'Reels'!D175))</f>
        <v>0.0000918161229111832</v>
      </c>
      <c r="D700">
        <f>IF(OR('Reels'!D130="attack",'Reels'!D130="magic"),CHOOSE('Reels'!D131+1,'Slots'!D29,'Slots'!D30,'Slots'!D31,'Slots'!D32,'Slots'!D33),0)+IF(OR('Reels'!D148="attack",'Reels'!D148="magic"),CHOOSE('Reels'!D149+1,'Slots'!D29,'Slots'!D30,'Slots'!D31,'Slots'!D32,'Slots'!D33),0)+IF(OR('Reels'!D164="attack",'Reels'!D164="magic"),CHOOSE('Reels'!D165+1,'Slots'!D29,'Slots'!D30,'Slots'!D31,'Slots'!D32,'Slots'!D33),0)</f>
        <v>7</v>
      </c>
      <c r="E700">
        <f>IF('Reels'!D130="heal",'Reels'!D131*'Slots'!D24,0)+IF('Reels'!D148="heal",'Reels'!D149*'Slots'!D24,0)+IF('Reels'!D164="heal",'Reels'!D165*'Slots'!D24,0)</f>
        <v>0</v>
      </c>
      <c r="F700">
        <f>IF('Reels'!D130="block",'Reels'!D131*'Slots'!D25,0)+IF('Reels'!D148="block",'Reels'!D149*'Slots'!D25,0)+IF('Reels'!D164="block",'Reels'!D165*'Slots'!D25,0)</f>
        <v>2</v>
      </c>
      <c r="G700" t="b">
        <f>AND('Reels'!D130&lt;&gt;"blank",'Reels'!D130&lt;&gt;"class",'Reels'!D130='Reels'!D164,'Reels'!D131='Reels'!D165,OR('Reels'!D148="class",AND('Reels'!D148='Reels'!D130,'Reels'!D149='Reels'!D131)))</f>
        <v>0</v>
      </c>
      <c r="H700">
        <f>IF(G700,C700,0)</f>
        <v>0</v>
      </c>
    </row>
    <row r="701" spans="1:8" x14ac:dyDescent="0.25">
      <c r="A701" t="s">
        <v>258</v>
      </c>
      <c r="B701" t="s">
        <v>3978</v>
      </c>
      <c r="C701" s="4">
        <f>('Reels'!D132/('Reels'!D120+'Reels'!D123+'Reels'!D126+'Reels'!D129+'Reels'!D132+'Reels'!D135))*('Reels'!D150/('Reels'!D138+'Reels'!D141+'Reels'!D144+'Reels'!D147+'Reels'!D150+'Reels'!D153+'Reels'!D156))*('Reels'!D169/('Reels'!D160+'Reels'!D163+'Reels'!D166+'Reels'!D169+'Reels'!D172+'Reels'!D175))</f>
        <v>0.00006121074860745548</v>
      </c>
      <c r="D701">
        <f>IF(OR('Reels'!D130="attack",'Reels'!D130="magic"),CHOOSE('Reels'!D131+1,'Slots'!D29,'Slots'!D30,'Slots'!D31,'Slots'!D32,'Slots'!D33),0)+IF(OR('Reels'!D148="attack",'Reels'!D148="magic"),CHOOSE('Reels'!D149+1,'Slots'!D29,'Slots'!D30,'Slots'!D31,'Slots'!D32,'Slots'!D33),0)+IF(OR('Reels'!D167="attack",'Reels'!D167="magic"),CHOOSE('Reels'!D168+1,'Slots'!D29,'Slots'!D30,'Slots'!D31,'Slots'!D32,'Slots'!D33),0)</f>
        <v>0</v>
      </c>
      <c r="E701">
        <f>IF('Reels'!D130="heal",'Reels'!D131*'Slots'!D24,0)+IF('Reels'!D148="heal",'Reels'!D149*'Slots'!D24,0)+IF('Reels'!D167="heal",'Reels'!D168*'Slots'!D24,0)</f>
        <v>0</v>
      </c>
      <c r="F701">
        <f>IF('Reels'!D130="block",'Reels'!D131*'Slots'!D25,0)+IF('Reels'!D148="block",'Reels'!D149*'Slots'!D25,0)+IF('Reels'!D167="block",'Reels'!D168*'Slots'!D25,0)</f>
        <v>2</v>
      </c>
      <c r="G701" t="b">
        <f>AND('Reels'!D130&lt;&gt;"blank",'Reels'!D130&lt;&gt;"class",'Reels'!D130='Reels'!D167,'Reels'!D131='Reels'!D168,OR('Reels'!D148="class",AND('Reels'!D148='Reels'!D130,'Reels'!D149='Reels'!D131)))</f>
        <v>0</v>
      </c>
      <c r="H701">
        <f>IF(G701,C701,0)</f>
        <v>0</v>
      </c>
    </row>
    <row r="702" spans="1:8" x14ac:dyDescent="0.25">
      <c r="A702" t="s">
        <v>258</v>
      </c>
      <c r="B702" t="s">
        <v>3463</v>
      </c>
      <c r="C702" s="4">
        <f>('Reels'!D132/('Reels'!D120+'Reels'!D123+'Reels'!D126+'Reels'!D129+'Reels'!D132+'Reels'!D135))*('Reels'!D150/('Reels'!D138+'Reels'!D141+'Reels'!D144+'Reels'!D147+'Reels'!D150+'Reels'!D153+'Reels'!D156))*('Reels'!D172/('Reels'!D160+'Reels'!D163+'Reels'!D166+'Reels'!D169+'Reels'!D172+'Reels'!D175))</f>
        <v>0.00003060537430372774</v>
      </c>
      <c r="D702">
        <f>IF(OR('Reels'!D130="attack",'Reels'!D130="magic"),CHOOSE('Reels'!D131+1,'Slots'!D29,'Slots'!D30,'Slots'!D31,'Slots'!D32,'Slots'!D33),0)+IF(OR('Reels'!D148="attack",'Reels'!D148="magic"),CHOOSE('Reels'!D149+1,'Slots'!D29,'Slots'!D30,'Slots'!D31,'Slots'!D32,'Slots'!D33),0)+IF(OR('Reels'!D170="attack",'Reels'!D170="magic"),CHOOSE('Reels'!D171+1,'Slots'!D29,'Slots'!D30,'Slots'!D31,'Slots'!D32,'Slots'!D33),0)</f>
        <v>0</v>
      </c>
      <c r="E702">
        <f>IF('Reels'!D130="heal",'Reels'!D131*'Slots'!D24,0)+IF('Reels'!D148="heal",'Reels'!D149*'Slots'!D24,0)+IF('Reels'!D170="heal",'Reels'!D171*'Slots'!D24,0)</f>
        <v>0</v>
      </c>
      <c r="F702">
        <f>IF('Reels'!D130="block",'Reels'!D131*'Slots'!D25,0)+IF('Reels'!D148="block",'Reels'!D149*'Slots'!D25,0)+IF('Reels'!D170="block",'Reels'!D171*'Slots'!D25,0)</f>
        <v>3</v>
      </c>
      <c r="G702" t="b">
        <f>AND('Reels'!D130&lt;&gt;"blank",'Reels'!D130&lt;&gt;"class",'Reels'!D130='Reels'!D170,'Reels'!D131='Reels'!D171,OR('Reels'!D148="class",AND('Reels'!D148='Reels'!D130,'Reels'!D149='Reels'!D131)))</f>
        <v>1</v>
      </c>
      <c r="H702">
        <f>IF(G702,C702,0)</f>
        <v>0.00003060537430372774</v>
      </c>
    </row>
    <row r="703" spans="1:8" x14ac:dyDescent="0.25">
      <c r="A703" t="s">
        <v>258</v>
      </c>
      <c r="B703" t="s">
        <v>3466</v>
      </c>
      <c r="C703" s="4">
        <f>('Reels'!D132/('Reels'!D120+'Reels'!D123+'Reels'!D126+'Reels'!D129+'Reels'!D132+'Reels'!D135))*('Reels'!D150/('Reels'!D138+'Reels'!D141+'Reels'!D144+'Reels'!D147+'Reels'!D150+'Reels'!D153+'Reels'!D156))*('Reels'!D175/('Reels'!D160+'Reels'!D163+'Reels'!D166+'Reels'!D169+'Reels'!D172+'Reels'!D175))</f>
        <v>0.00012242149721491095</v>
      </c>
      <c r="D703">
        <f>IF(OR('Reels'!D130="attack",'Reels'!D130="magic"),CHOOSE('Reels'!D131+1,'Slots'!D29,'Slots'!D30,'Slots'!D31,'Slots'!D32,'Slots'!D33),0)+IF(OR('Reels'!D148="attack",'Reels'!D148="magic"),CHOOSE('Reels'!D149+1,'Slots'!D29,'Slots'!D30,'Slots'!D31,'Slots'!D32,'Slots'!D33),0)+IF(OR('Reels'!D173="attack",'Reels'!D173="magic"),CHOOSE('Reels'!D174+1,'Slots'!D29,'Slots'!D30,'Slots'!D31,'Slots'!D32,'Slots'!D33),0)</f>
        <v>0</v>
      </c>
      <c r="E703">
        <f>IF('Reels'!D130="heal",'Reels'!D131*'Slots'!D24,0)+IF('Reels'!D148="heal",'Reels'!D149*'Slots'!D24,0)+IF('Reels'!D173="heal",'Reels'!D174*'Slots'!D24,0)</f>
        <v>0</v>
      </c>
      <c r="F703">
        <f>IF('Reels'!D130="block",'Reels'!D131*'Slots'!D25,0)+IF('Reels'!D148="block",'Reels'!D149*'Slots'!D25,0)+IF('Reels'!D173="block",'Reels'!D174*'Slots'!D25,0)</f>
        <v>2</v>
      </c>
      <c r="G703" t="b">
        <f>AND('Reels'!D130&lt;&gt;"blank",'Reels'!D130&lt;&gt;"class",'Reels'!D130='Reels'!D173,'Reels'!D131='Reels'!D174,OR('Reels'!D148="class",AND('Reels'!D148='Reels'!D130,'Reels'!D149='Reels'!D131)))</f>
        <v>0</v>
      </c>
      <c r="H703">
        <f>IF(G703,C703,0)</f>
        <v>0</v>
      </c>
    </row>
    <row r="704" spans="1:8" x14ac:dyDescent="0.25">
      <c r="A704" t="s">
        <v>258</v>
      </c>
      <c r="B704" t="s">
        <v>3479</v>
      </c>
      <c r="C704" s="4">
        <f>('Reels'!D132/('Reels'!D120+'Reels'!D123+'Reels'!D126+'Reels'!D129+'Reels'!D132+'Reels'!D135))*('Reels'!D153/('Reels'!D138+'Reels'!D141+'Reels'!D144+'Reels'!D147+'Reels'!D150+'Reels'!D153+'Reels'!D156))*('Reels'!D160/('Reels'!D160+'Reels'!D163+'Reels'!D166+'Reels'!D169+'Reels'!D172+'Reels'!D175))</f>
        <v>0.0013466364693640203</v>
      </c>
      <c r="D704">
        <f>IF(OR('Reels'!D130="attack",'Reels'!D130="magic"),CHOOSE('Reels'!D131+1,'Slots'!D29,'Slots'!D30,'Slots'!D31,'Slots'!D32,'Slots'!D33),0)+IF(OR('Reels'!D151="attack",'Reels'!D151="magic"),CHOOSE('Reels'!D152+1,'Slots'!D29,'Slots'!D30,'Slots'!D31,'Slots'!D32,'Slots'!D33),0)+IF(OR('Reels'!D158="attack",'Reels'!D158="magic"),CHOOSE('Reels'!D159+1,'Slots'!D29,'Slots'!D30,'Slots'!D31,'Slots'!D32,'Slots'!D33),0)</f>
        <v>2</v>
      </c>
      <c r="E704">
        <f>IF('Reels'!D130="heal",'Reels'!D131*'Slots'!D24,0)+IF('Reels'!D151="heal",'Reels'!D152*'Slots'!D24,0)+IF('Reels'!D158="heal",'Reels'!D159*'Slots'!D24,0)</f>
        <v>0</v>
      </c>
      <c r="F704">
        <f>IF('Reels'!D130="block",'Reels'!D131*'Slots'!D25,0)+IF('Reels'!D151="block",'Reels'!D152*'Slots'!D25,0)+IF('Reels'!D158="block",'Reels'!D159*'Slots'!D25,0)</f>
        <v>1</v>
      </c>
      <c r="G704" t="b">
        <f>AND('Reels'!D130&lt;&gt;"blank",'Reels'!D130&lt;&gt;"class",'Reels'!D130='Reels'!D158,'Reels'!D131='Reels'!D159,OR('Reels'!D151="class",AND('Reels'!D151='Reels'!D130,'Reels'!D152='Reels'!D131)))</f>
        <v>0</v>
      </c>
      <c r="H704">
        <f>IF(G704,C704,0)</f>
        <v>0</v>
      </c>
    </row>
    <row r="705" spans="1:8" x14ac:dyDescent="0.25">
      <c r="A705" t="s">
        <v>258</v>
      </c>
      <c r="B705" t="s">
        <v>3480</v>
      </c>
      <c r="C705" s="4">
        <f>('Reels'!D132/('Reels'!D120+'Reels'!D123+'Reels'!D126+'Reels'!D129+'Reels'!D132+'Reels'!D135))*('Reels'!D153/('Reels'!D138+'Reels'!D141+'Reels'!D144+'Reels'!D147+'Reels'!D150+'Reels'!D153+'Reels'!D156))*('Reels'!D163/('Reels'!D160+'Reels'!D163+'Reels'!D166+'Reels'!D169+'Reels'!D172+'Reels'!D175))</f>
        <v>0.0012242149721491094</v>
      </c>
      <c r="D705">
        <f>IF(OR('Reels'!D130="attack",'Reels'!D130="magic"),CHOOSE('Reels'!D131+1,'Slots'!D29,'Slots'!D30,'Slots'!D31,'Slots'!D32,'Slots'!D33),0)+IF(OR('Reels'!D151="attack",'Reels'!D151="magic"),CHOOSE('Reels'!D152+1,'Slots'!D29,'Slots'!D30,'Slots'!D31,'Slots'!D32,'Slots'!D33),0)+IF(OR('Reels'!D161="attack",'Reels'!D161="magic"),CHOOSE('Reels'!D162+1,'Slots'!D29,'Slots'!D30,'Slots'!D31,'Slots'!D32,'Slots'!D33),0)</f>
        <v>4</v>
      </c>
      <c r="E705">
        <f>IF('Reels'!D130="heal",'Reels'!D131*'Slots'!D24,0)+IF('Reels'!D151="heal",'Reels'!D152*'Slots'!D24,0)+IF('Reels'!D161="heal",'Reels'!D162*'Slots'!D24,0)</f>
        <v>0</v>
      </c>
      <c r="F705">
        <f>IF('Reels'!D130="block",'Reels'!D131*'Slots'!D25,0)+IF('Reels'!D151="block",'Reels'!D152*'Slots'!D25,0)+IF('Reels'!D161="block",'Reels'!D162*'Slots'!D25,0)</f>
        <v>1</v>
      </c>
      <c r="G705" t="b">
        <f>AND('Reels'!D130&lt;&gt;"blank",'Reels'!D130&lt;&gt;"class",'Reels'!D130='Reels'!D161,'Reels'!D131='Reels'!D162,OR('Reels'!D151="class",AND('Reels'!D151='Reels'!D130,'Reels'!D152='Reels'!D131)))</f>
        <v>0</v>
      </c>
      <c r="H705">
        <f>IF(G705,C705,0)</f>
        <v>0</v>
      </c>
    </row>
    <row r="706" spans="1:8" x14ac:dyDescent="0.25">
      <c r="A706" t="s">
        <v>258</v>
      </c>
      <c r="B706" t="s">
        <v>3979</v>
      </c>
      <c r="C706" s="4">
        <f>('Reels'!D132/('Reels'!D120+'Reels'!D123+'Reels'!D126+'Reels'!D129+'Reels'!D132+'Reels'!D135))*('Reels'!D153/('Reels'!D138+'Reels'!D141+'Reels'!D144+'Reels'!D147+'Reels'!D150+'Reels'!D153+'Reels'!D156))*('Reels'!D166/('Reels'!D160+'Reels'!D163+'Reels'!D166+'Reels'!D169+'Reels'!D172+'Reels'!D175))</f>
        <v>0.0003672644916447328</v>
      </c>
      <c r="D706">
        <f>IF(OR('Reels'!D130="attack",'Reels'!D130="magic"),CHOOSE('Reels'!D131+1,'Slots'!D29,'Slots'!D30,'Slots'!D31,'Slots'!D32,'Slots'!D33),0)+IF(OR('Reels'!D151="attack",'Reels'!D151="magic"),CHOOSE('Reels'!D152+1,'Slots'!D29,'Slots'!D30,'Slots'!D31,'Slots'!D32,'Slots'!D33),0)+IF(OR('Reels'!D164="attack",'Reels'!D164="magic"),CHOOSE('Reels'!D165+1,'Slots'!D29,'Slots'!D30,'Slots'!D31,'Slots'!D32,'Slots'!D33),0)</f>
        <v>7</v>
      </c>
      <c r="E706">
        <f>IF('Reels'!D130="heal",'Reels'!D131*'Slots'!D24,0)+IF('Reels'!D151="heal",'Reels'!D152*'Slots'!D24,0)+IF('Reels'!D164="heal",'Reels'!D165*'Slots'!D24,0)</f>
        <v>0</v>
      </c>
      <c r="F706">
        <f>IF('Reels'!D130="block",'Reels'!D131*'Slots'!D25,0)+IF('Reels'!D151="block",'Reels'!D152*'Slots'!D25,0)+IF('Reels'!D164="block",'Reels'!D165*'Slots'!D25,0)</f>
        <v>1</v>
      </c>
      <c r="G706" t="b">
        <f>AND('Reels'!D130&lt;&gt;"blank",'Reels'!D130&lt;&gt;"class",'Reels'!D130='Reels'!D164,'Reels'!D131='Reels'!D165,OR('Reels'!D151="class",AND('Reels'!D151='Reels'!D130,'Reels'!D152='Reels'!D131)))</f>
        <v>0</v>
      </c>
      <c r="H706">
        <f>IF(G706,C706,0)</f>
        <v>0</v>
      </c>
    </row>
    <row r="707" spans="1:8" x14ac:dyDescent="0.25">
      <c r="A707" t="s">
        <v>258</v>
      </c>
      <c r="B707" t="s">
        <v>3980</v>
      </c>
      <c r="C707" s="4">
        <f>('Reels'!D132/('Reels'!D120+'Reels'!D123+'Reels'!D126+'Reels'!D129+'Reels'!D132+'Reels'!D135))*('Reels'!D153/('Reels'!D138+'Reels'!D141+'Reels'!D144+'Reels'!D147+'Reels'!D150+'Reels'!D153+'Reels'!D156))*('Reels'!D169/('Reels'!D160+'Reels'!D163+'Reels'!D166+'Reels'!D169+'Reels'!D172+'Reels'!D175))</f>
        <v>0.0002448429944298219</v>
      </c>
      <c r="D707">
        <f>IF(OR('Reels'!D130="attack",'Reels'!D130="magic"),CHOOSE('Reels'!D131+1,'Slots'!D29,'Slots'!D30,'Slots'!D31,'Slots'!D32,'Slots'!D33),0)+IF(OR('Reels'!D151="attack",'Reels'!D151="magic"),CHOOSE('Reels'!D152+1,'Slots'!D29,'Slots'!D30,'Slots'!D31,'Slots'!D32,'Slots'!D33),0)+IF(OR('Reels'!D167="attack",'Reels'!D167="magic"),CHOOSE('Reels'!D168+1,'Slots'!D29,'Slots'!D30,'Slots'!D31,'Slots'!D32,'Slots'!D33),0)</f>
        <v>0</v>
      </c>
      <c r="E707">
        <f>IF('Reels'!D130="heal",'Reels'!D131*'Slots'!D24,0)+IF('Reels'!D151="heal",'Reels'!D152*'Slots'!D24,0)+IF('Reels'!D167="heal",'Reels'!D168*'Slots'!D24,0)</f>
        <v>0</v>
      </c>
      <c r="F707">
        <f>IF('Reels'!D130="block",'Reels'!D131*'Slots'!D25,0)+IF('Reels'!D151="block",'Reels'!D152*'Slots'!D25,0)+IF('Reels'!D167="block",'Reels'!D168*'Slots'!D25,0)</f>
        <v>1</v>
      </c>
      <c r="G707" t="b">
        <f>AND('Reels'!D130&lt;&gt;"blank",'Reels'!D130&lt;&gt;"class",'Reels'!D130='Reels'!D167,'Reels'!D131='Reels'!D168,OR('Reels'!D151="class",AND('Reels'!D151='Reels'!D130,'Reels'!D152='Reels'!D131)))</f>
        <v>0</v>
      </c>
      <c r="H707">
        <f>IF(G707,C707,0)</f>
        <v>0</v>
      </c>
    </row>
    <row r="708" spans="1:8" x14ac:dyDescent="0.25">
      <c r="A708" t="s">
        <v>258</v>
      </c>
      <c r="B708" t="s">
        <v>3481</v>
      </c>
      <c r="C708" s="4">
        <f>('Reels'!D132/('Reels'!D120+'Reels'!D123+'Reels'!D126+'Reels'!D129+'Reels'!D132+'Reels'!D135))*('Reels'!D153/('Reels'!D138+'Reels'!D141+'Reels'!D144+'Reels'!D147+'Reels'!D150+'Reels'!D153+'Reels'!D156))*('Reels'!D172/('Reels'!D160+'Reels'!D163+'Reels'!D166+'Reels'!D169+'Reels'!D172+'Reels'!D175))</f>
        <v>0.00012242149721491095</v>
      </c>
      <c r="D708">
        <f>IF(OR('Reels'!D130="attack",'Reels'!D130="magic"),CHOOSE('Reels'!D131+1,'Slots'!D29,'Slots'!D30,'Slots'!D31,'Slots'!D32,'Slots'!D33),0)+IF(OR('Reels'!D151="attack",'Reels'!D151="magic"),CHOOSE('Reels'!D152+1,'Slots'!D29,'Slots'!D30,'Slots'!D31,'Slots'!D32,'Slots'!D33),0)+IF(OR('Reels'!D170="attack",'Reels'!D170="magic"),CHOOSE('Reels'!D171+1,'Slots'!D29,'Slots'!D30,'Slots'!D31,'Slots'!D32,'Slots'!D33),0)</f>
        <v>0</v>
      </c>
      <c r="E708">
        <f>IF('Reels'!D130="heal",'Reels'!D131*'Slots'!D24,0)+IF('Reels'!D151="heal",'Reels'!D152*'Slots'!D24,0)+IF('Reels'!D170="heal",'Reels'!D171*'Slots'!D24,0)</f>
        <v>0</v>
      </c>
      <c r="F708">
        <f>IF('Reels'!D130="block",'Reels'!D131*'Slots'!D25,0)+IF('Reels'!D151="block",'Reels'!D152*'Slots'!D25,0)+IF('Reels'!D170="block",'Reels'!D171*'Slots'!D25,0)</f>
        <v>2</v>
      </c>
      <c r="G708" t="b">
        <f>AND('Reels'!D130&lt;&gt;"blank",'Reels'!D130&lt;&gt;"class",'Reels'!D130='Reels'!D170,'Reels'!D131='Reels'!D171,OR('Reels'!D151="class",AND('Reels'!D151='Reels'!D130,'Reels'!D152='Reels'!D131)))</f>
        <v>0</v>
      </c>
      <c r="H708">
        <f>IF(G708,C708,0)</f>
        <v>0</v>
      </c>
    </row>
    <row r="709" spans="1:8" x14ac:dyDescent="0.25">
      <c r="A709" t="s">
        <v>258</v>
      </c>
      <c r="B709" t="s">
        <v>3484</v>
      </c>
      <c r="C709" s="4">
        <f>('Reels'!D132/('Reels'!D120+'Reels'!D123+'Reels'!D126+'Reels'!D129+'Reels'!D132+'Reels'!D135))*('Reels'!D153/('Reels'!D138+'Reels'!D141+'Reels'!D144+'Reels'!D147+'Reels'!D150+'Reels'!D153+'Reels'!D156))*('Reels'!D175/('Reels'!D160+'Reels'!D163+'Reels'!D166+'Reels'!D169+'Reels'!D172+'Reels'!D175))</f>
        <v>0.0004896859888596438</v>
      </c>
      <c r="D709">
        <f>IF(OR('Reels'!D130="attack",'Reels'!D130="magic"),CHOOSE('Reels'!D131+1,'Slots'!D29,'Slots'!D30,'Slots'!D31,'Slots'!D32,'Slots'!D33),0)+IF(OR('Reels'!D151="attack",'Reels'!D151="magic"),CHOOSE('Reels'!D152+1,'Slots'!D29,'Slots'!D30,'Slots'!D31,'Slots'!D32,'Slots'!D33),0)+IF(OR('Reels'!D173="attack",'Reels'!D173="magic"),CHOOSE('Reels'!D174+1,'Slots'!D29,'Slots'!D30,'Slots'!D31,'Slots'!D32,'Slots'!D33),0)</f>
        <v>0</v>
      </c>
      <c r="E709">
        <f>IF('Reels'!D130="heal",'Reels'!D131*'Slots'!D24,0)+IF('Reels'!D151="heal",'Reels'!D152*'Slots'!D24,0)+IF('Reels'!D173="heal",'Reels'!D174*'Slots'!D24,0)</f>
        <v>0</v>
      </c>
      <c r="F709">
        <f>IF('Reels'!D130="block",'Reels'!D131*'Slots'!D25,0)+IF('Reels'!D151="block",'Reels'!D152*'Slots'!D25,0)+IF('Reels'!D173="block",'Reels'!D174*'Slots'!D25,0)</f>
        <v>1</v>
      </c>
      <c r="G709" t="b">
        <f>AND('Reels'!D130&lt;&gt;"blank",'Reels'!D130&lt;&gt;"class",'Reels'!D130='Reels'!D173,'Reels'!D131='Reels'!D174,OR('Reels'!D151="class",AND('Reels'!D151='Reels'!D130,'Reels'!D152='Reels'!D131)))</f>
        <v>0</v>
      </c>
      <c r="H709">
        <f>IF(G709,C709,0)</f>
        <v>0</v>
      </c>
    </row>
    <row r="710" spans="1:8" x14ac:dyDescent="0.25">
      <c r="A710" t="s">
        <v>258</v>
      </c>
      <c r="B710" t="s">
        <v>3485</v>
      </c>
      <c r="C710" s="4">
        <f>('Reels'!D132/('Reels'!D120+'Reels'!D123+'Reels'!D126+'Reels'!D129+'Reels'!D132+'Reels'!D135))*('Reels'!D156/('Reels'!D138+'Reels'!D141+'Reels'!D144+'Reels'!D147+'Reels'!D150+'Reels'!D153+'Reels'!D156))*('Reels'!D160/('Reels'!D160+'Reels'!D163+'Reels'!D166+'Reels'!D169+'Reels'!D172+'Reels'!D175))</f>
        <v>0.0010099773520230153</v>
      </c>
      <c r="D710">
        <f>IF(OR('Reels'!D130="attack",'Reels'!D130="magic"),CHOOSE('Reels'!D131+1,'Slots'!D29,'Slots'!D30,'Slots'!D31,'Slots'!D32,'Slots'!D33),0)+IF(OR('Reels'!D154="attack",'Reels'!D154="magic"),CHOOSE('Reels'!D155+1,'Slots'!D29,'Slots'!D30,'Slots'!D31,'Slots'!D32,'Slots'!D33),0)+IF(OR('Reels'!D158="attack",'Reels'!D158="magic"),CHOOSE('Reels'!D159+1,'Slots'!D29,'Slots'!D30,'Slots'!D31,'Slots'!D32,'Slots'!D33),0)</f>
        <v>2</v>
      </c>
      <c r="E710">
        <f>IF('Reels'!D130="heal",'Reels'!D131*'Slots'!D24,0)+IF('Reels'!D154="heal",'Reels'!D155*'Slots'!D24,0)+IF('Reels'!D158="heal",'Reels'!D159*'Slots'!D24,0)</f>
        <v>0</v>
      </c>
      <c r="F710">
        <f>IF('Reels'!D130="block",'Reels'!D131*'Slots'!D25,0)+IF('Reels'!D154="block",'Reels'!D155*'Slots'!D25,0)+IF('Reels'!D158="block",'Reels'!D159*'Slots'!D25,0)</f>
        <v>1</v>
      </c>
      <c r="G710" t="b">
        <f>AND('Reels'!D130&lt;&gt;"blank",'Reels'!D130&lt;&gt;"class",'Reels'!D130='Reels'!D158,'Reels'!D131='Reels'!D159,OR('Reels'!D154="class",AND('Reels'!D154='Reels'!D130,'Reels'!D155='Reels'!D131)))</f>
        <v>0</v>
      </c>
      <c r="H710">
        <f>IF(G710,C710,0)</f>
        <v>0</v>
      </c>
    </row>
    <row r="711" spans="1:8" x14ac:dyDescent="0.25">
      <c r="A711" t="s">
        <v>258</v>
      </c>
      <c r="B711" t="s">
        <v>3486</v>
      </c>
      <c r="C711" s="4">
        <f>('Reels'!D132/('Reels'!D120+'Reels'!D123+'Reels'!D126+'Reels'!D129+'Reels'!D132+'Reels'!D135))*('Reels'!D156/('Reels'!D138+'Reels'!D141+'Reels'!D144+'Reels'!D147+'Reels'!D150+'Reels'!D153+'Reels'!D156))*('Reels'!D163/('Reels'!D160+'Reels'!D163+'Reels'!D166+'Reels'!D169+'Reels'!D172+'Reels'!D175))</f>
        <v>0.000918161229111832</v>
      </c>
      <c r="D711">
        <f>IF(OR('Reels'!D130="attack",'Reels'!D130="magic"),CHOOSE('Reels'!D131+1,'Slots'!D29,'Slots'!D30,'Slots'!D31,'Slots'!D32,'Slots'!D33),0)+IF(OR('Reels'!D154="attack",'Reels'!D154="magic"),CHOOSE('Reels'!D155+1,'Slots'!D29,'Slots'!D30,'Slots'!D31,'Slots'!D32,'Slots'!D33),0)+IF(OR('Reels'!D161="attack",'Reels'!D161="magic"),CHOOSE('Reels'!D162+1,'Slots'!D29,'Slots'!D30,'Slots'!D31,'Slots'!D32,'Slots'!D33),0)</f>
        <v>4</v>
      </c>
      <c r="E711">
        <f>IF('Reels'!D130="heal",'Reels'!D131*'Slots'!D24,0)+IF('Reels'!D154="heal",'Reels'!D155*'Slots'!D24,0)+IF('Reels'!D161="heal",'Reels'!D162*'Slots'!D24,0)</f>
        <v>0</v>
      </c>
      <c r="F711">
        <f>IF('Reels'!D130="block",'Reels'!D131*'Slots'!D25,0)+IF('Reels'!D154="block",'Reels'!D155*'Slots'!D25,0)+IF('Reels'!D161="block",'Reels'!D162*'Slots'!D25,0)</f>
        <v>1</v>
      </c>
      <c r="G711" t="b">
        <f>AND('Reels'!D130&lt;&gt;"blank",'Reels'!D130&lt;&gt;"class",'Reels'!D130='Reels'!D161,'Reels'!D131='Reels'!D162,OR('Reels'!D154="class",AND('Reels'!D154='Reels'!D130,'Reels'!D155='Reels'!D131)))</f>
        <v>0</v>
      </c>
      <c r="H711">
        <f>IF(G711,C711,0)</f>
        <v>0</v>
      </c>
    </row>
    <row r="712" spans="1:8" x14ac:dyDescent="0.25">
      <c r="A712" t="s">
        <v>258</v>
      </c>
      <c r="B712" t="s">
        <v>3981</v>
      </c>
      <c r="C712" s="4">
        <f>('Reels'!D132/('Reels'!D120+'Reels'!D123+'Reels'!D126+'Reels'!D129+'Reels'!D132+'Reels'!D135))*('Reels'!D156/('Reels'!D138+'Reels'!D141+'Reels'!D144+'Reels'!D147+'Reels'!D150+'Reels'!D153+'Reels'!D156))*('Reels'!D166/('Reels'!D160+'Reels'!D163+'Reels'!D166+'Reels'!D169+'Reels'!D172+'Reels'!D175))</f>
        <v>0.00027544836873354963</v>
      </c>
      <c r="D712">
        <f>IF(OR('Reels'!D130="attack",'Reels'!D130="magic"),CHOOSE('Reels'!D131+1,'Slots'!D29,'Slots'!D30,'Slots'!D31,'Slots'!D32,'Slots'!D33),0)+IF(OR('Reels'!D154="attack",'Reels'!D154="magic"),CHOOSE('Reels'!D155+1,'Slots'!D29,'Slots'!D30,'Slots'!D31,'Slots'!D32,'Slots'!D33),0)+IF(OR('Reels'!D164="attack",'Reels'!D164="magic"),CHOOSE('Reels'!D165+1,'Slots'!D29,'Slots'!D30,'Slots'!D31,'Slots'!D32,'Slots'!D33),0)</f>
        <v>7</v>
      </c>
      <c r="E712">
        <f>IF('Reels'!D130="heal",'Reels'!D131*'Slots'!D24,0)+IF('Reels'!D154="heal",'Reels'!D155*'Slots'!D24,0)+IF('Reels'!D164="heal",'Reels'!D165*'Slots'!D24,0)</f>
        <v>0</v>
      </c>
      <c r="F712">
        <f>IF('Reels'!D130="block",'Reels'!D131*'Slots'!D25,0)+IF('Reels'!D154="block",'Reels'!D155*'Slots'!D25,0)+IF('Reels'!D164="block",'Reels'!D165*'Slots'!D25,0)</f>
        <v>1</v>
      </c>
      <c r="G712" t="b">
        <f>AND('Reels'!D130&lt;&gt;"blank",'Reels'!D130&lt;&gt;"class",'Reels'!D130='Reels'!D164,'Reels'!D131='Reels'!D165,OR('Reels'!D154="class",AND('Reels'!D154='Reels'!D130,'Reels'!D155='Reels'!D131)))</f>
        <v>0</v>
      </c>
      <c r="H712">
        <f>IF(G712,C712,0)</f>
        <v>0</v>
      </c>
    </row>
    <row r="713" spans="1:8" x14ac:dyDescent="0.25">
      <c r="A713" t="s">
        <v>258</v>
      </c>
      <c r="B713" t="s">
        <v>3982</v>
      </c>
      <c r="C713" s="4">
        <f>('Reels'!D132/('Reels'!D120+'Reels'!D123+'Reels'!D126+'Reels'!D129+'Reels'!D132+'Reels'!D135))*('Reels'!D156/('Reels'!D138+'Reels'!D141+'Reels'!D144+'Reels'!D147+'Reels'!D150+'Reels'!D153+'Reels'!D156))*('Reels'!D169/('Reels'!D160+'Reels'!D163+'Reels'!D166+'Reels'!D169+'Reels'!D172+'Reels'!D175))</f>
        <v>0.0001836322458223664</v>
      </c>
      <c r="D713">
        <f>IF(OR('Reels'!D130="attack",'Reels'!D130="magic"),CHOOSE('Reels'!D131+1,'Slots'!D29,'Slots'!D30,'Slots'!D31,'Slots'!D32,'Slots'!D33),0)+IF(OR('Reels'!D154="attack",'Reels'!D154="magic"),CHOOSE('Reels'!D155+1,'Slots'!D29,'Slots'!D30,'Slots'!D31,'Slots'!D32,'Slots'!D33),0)+IF(OR('Reels'!D167="attack",'Reels'!D167="magic"),CHOOSE('Reels'!D168+1,'Slots'!D29,'Slots'!D30,'Slots'!D31,'Slots'!D32,'Slots'!D33),0)</f>
        <v>0</v>
      </c>
      <c r="E713">
        <f>IF('Reels'!D130="heal",'Reels'!D131*'Slots'!D24,0)+IF('Reels'!D154="heal",'Reels'!D155*'Slots'!D24,0)+IF('Reels'!D167="heal",'Reels'!D168*'Slots'!D24,0)</f>
        <v>0</v>
      </c>
      <c r="F713">
        <f>IF('Reels'!D130="block",'Reels'!D131*'Slots'!D25,0)+IF('Reels'!D154="block",'Reels'!D155*'Slots'!D25,0)+IF('Reels'!D167="block",'Reels'!D168*'Slots'!D25,0)</f>
        <v>1</v>
      </c>
      <c r="G713" t="b">
        <f>AND('Reels'!D130&lt;&gt;"blank",'Reels'!D130&lt;&gt;"class",'Reels'!D130='Reels'!D167,'Reels'!D131='Reels'!D168,OR('Reels'!D154="class",AND('Reels'!D154='Reels'!D130,'Reels'!D155='Reels'!D131)))</f>
        <v>0</v>
      </c>
      <c r="H713">
        <f>IF(G713,C713,0)</f>
        <v>0</v>
      </c>
    </row>
    <row r="714" spans="1:8" x14ac:dyDescent="0.25">
      <c r="A714" t="s">
        <v>258</v>
      </c>
      <c r="B714" t="s">
        <v>3487</v>
      </c>
      <c r="C714" s="4">
        <f>('Reels'!D132/('Reels'!D120+'Reels'!D123+'Reels'!D126+'Reels'!D129+'Reels'!D132+'Reels'!D135))*('Reels'!D156/('Reels'!D138+'Reels'!D141+'Reels'!D144+'Reels'!D147+'Reels'!D150+'Reels'!D153+'Reels'!D156))*('Reels'!D172/('Reels'!D160+'Reels'!D163+'Reels'!D166+'Reels'!D169+'Reels'!D172+'Reels'!D175))</f>
        <v>0.0000918161229111832</v>
      </c>
      <c r="D714">
        <f>IF(OR('Reels'!D130="attack",'Reels'!D130="magic"),CHOOSE('Reels'!D131+1,'Slots'!D29,'Slots'!D30,'Slots'!D31,'Slots'!D32,'Slots'!D33),0)+IF(OR('Reels'!D154="attack",'Reels'!D154="magic"),CHOOSE('Reels'!D155+1,'Slots'!D29,'Slots'!D30,'Slots'!D31,'Slots'!D32,'Slots'!D33),0)+IF(OR('Reels'!D170="attack",'Reels'!D170="magic"),CHOOSE('Reels'!D171+1,'Slots'!D29,'Slots'!D30,'Slots'!D31,'Slots'!D32,'Slots'!D33),0)</f>
        <v>0</v>
      </c>
      <c r="E714">
        <f>IF('Reels'!D130="heal",'Reels'!D131*'Slots'!D24,0)+IF('Reels'!D154="heal",'Reels'!D155*'Slots'!D24,0)+IF('Reels'!D170="heal",'Reels'!D171*'Slots'!D24,0)</f>
        <v>0</v>
      </c>
      <c r="F714">
        <f>IF('Reels'!D130="block",'Reels'!D131*'Slots'!D25,0)+IF('Reels'!D154="block",'Reels'!D155*'Slots'!D25,0)+IF('Reels'!D170="block",'Reels'!D171*'Slots'!D25,0)</f>
        <v>2</v>
      </c>
      <c r="G714" t="b">
        <f>AND('Reels'!D130&lt;&gt;"blank",'Reels'!D130&lt;&gt;"class",'Reels'!D130='Reels'!D170,'Reels'!D131='Reels'!D171,OR('Reels'!D154="class",AND('Reels'!D154='Reels'!D130,'Reels'!D155='Reels'!D131)))</f>
        <v>1</v>
      </c>
      <c r="H714">
        <f>IF(G714,C714,0)</f>
        <v>0.0000918161229111832</v>
      </c>
    </row>
    <row r="715" spans="1:8" x14ac:dyDescent="0.25">
      <c r="A715" t="s">
        <v>258</v>
      </c>
      <c r="B715" t="s">
        <v>3490</v>
      </c>
      <c r="C715" s="4">
        <f>('Reels'!D132/('Reels'!D120+'Reels'!D123+'Reels'!D126+'Reels'!D129+'Reels'!D132+'Reels'!D135))*('Reels'!D156/('Reels'!D138+'Reels'!D141+'Reels'!D144+'Reels'!D147+'Reels'!D150+'Reels'!D153+'Reels'!D156))*('Reels'!D175/('Reels'!D160+'Reels'!D163+'Reels'!D166+'Reels'!D169+'Reels'!D172+'Reels'!D175))</f>
        <v>0.0003672644916447328</v>
      </c>
      <c r="D715">
        <f>IF(OR('Reels'!D130="attack",'Reels'!D130="magic"),CHOOSE('Reels'!D131+1,'Slots'!D29,'Slots'!D30,'Slots'!D31,'Slots'!D32,'Slots'!D33),0)+IF(OR('Reels'!D154="attack",'Reels'!D154="magic"),CHOOSE('Reels'!D155+1,'Slots'!D29,'Slots'!D30,'Slots'!D31,'Slots'!D32,'Slots'!D33),0)+IF(OR('Reels'!D173="attack",'Reels'!D173="magic"),CHOOSE('Reels'!D174+1,'Slots'!D29,'Slots'!D30,'Slots'!D31,'Slots'!D32,'Slots'!D33),0)</f>
        <v>0</v>
      </c>
      <c r="E715">
        <f>IF('Reels'!D130="heal",'Reels'!D131*'Slots'!D24,0)+IF('Reels'!D154="heal",'Reels'!D155*'Slots'!D24,0)+IF('Reels'!D173="heal",'Reels'!D174*'Slots'!D24,0)</f>
        <v>0</v>
      </c>
      <c r="F715">
        <f>IF('Reels'!D130="block",'Reels'!D131*'Slots'!D25,0)+IF('Reels'!D154="block",'Reels'!D155*'Slots'!D25,0)+IF('Reels'!D173="block",'Reels'!D174*'Slots'!D25,0)</f>
        <v>1</v>
      </c>
      <c r="G715" t="b">
        <f>AND('Reels'!D130&lt;&gt;"blank",'Reels'!D130&lt;&gt;"class",'Reels'!D130='Reels'!D173,'Reels'!D131='Reels'!D174,OR('Reels'!D154="class",AND('Reels'!D154='Reels'!D130,'Reels'!D155='Reels'!D131)))</f>
        <v>0</v>
      </c>
      <c r="H715">
        <f>IF(G715,C715,0)</f>
        <v>0</v>
      </c>
    </row>
    <row r="716" spans="1:8" x14ac:dyDescent="0.25">
      <c r="A716" t="s">
        <v>258</v>
      </c>
      <c r="B716" t="s">
        <v>3575</v>
      </c>
      <c r="C716" s="4">
        <f>('Reels'!D135/('Reels'!D120+'Reels'!D123+'Reels'!D126+'Reels'!D129+'Reels'!D132+'Reels'!D135))*('Reels'!D138/('Reels'!D138+'Reels'!D141+'Reels'!D144+'Reels'!D147+'Reels'!D150+'Reels'!D153+'Reels'!D156))*('Reels'!D160/('Reels'!D160+'Reels'!D163+'Reels'!D166+'Reels'!D169+'Reels'!D172+'Reels'!D175))</f>
        <v>0.014813001163004224</v>
      </c>
      <c r="D716">
        <f>IF(OR('Reels'!D133="attack",'Reels'!D133="magic"),CHOOSE('Reels'!D134+1,'Slots'!D29,'Slots'!D30,'Slots'!D31,'Slots'!D32,'Slots'!D33),0)+IF(OR('Reels'!D136="attack",'Reels'!D136="magic"),CHOOSE('Reels'!D137+1,'Slots'!D29,'Slots'!D30,'Slots'!D31,'Slots'!D32,'Slots'!D33),0)+IF(OR('Reels'!D158="attack",'Reels'!D158="magic"),CHOOSE('Reels'!D159+1,'Slots'!D29,'Slots'!D30,'Slots'!D31,'Slots'!D32,'Slots'!D33),0)</f>
        <v>4</v>
      </c>
      <c r="E716">
        <f>IF('Reels'!D133="heal",'Reels'!D134*'Slots'!D24,0)+IF('Reels'!D136="heal",'Reels'!D137*'Slots'!D24,0)+IF('Reels'!D158="heal",'Reels'!D159*'Slots'!D24,0)</f>
        <v>0</v>
      </c>
      <c r="F716">
        <f>IF('Reels'!D133="block",'Reels'!D134*'Slots'!D25,0)+IF('Reels'!D136="block",'Reels'!D137*'Slots'!D25,0)+IF('Reels'!D158="block",'Reels'!D159*'Slots'!D25,0)</f>
        <v>0</v>
      </c>
      <c r="G716" t="b">
        <f>AND('Reels'!D133&lt;&gt;"blank",'Reels'!D133&lt;&gt;"class",'Reels'!D133='Reels'!D158,'Reels'!D134='Reels'!D159,OR('Reels'!D136="class",AND('Reels'!D136='Reels'!D133,'Reels'!D137='Reels'!D134)))</f>
        <v>0</v>
      </c>
      <c r="H716">
        <f>IF(G716,C716,0)</f>
        <v>0</v>
      </c>
    </row>
    <row r="717" spans="1:8" x14ac:dyDescent="0.25">
      <c r="A717" t="s">
        <v>258</v>
      </c>
      <c r="B717" t="s">
        <v>3576</v>
      </c>
      <c r="C717" s="4">
        <f>('Reels'!D135/('Reels'!D120+'Reels'!D123+'Reels'!D126+'Reels'!D129+'Reels'!D132+'Reels'!D135))*('Reels'!D138/('Reels'!D138+'Reels'!D141+'Reels'!D144+'Reels'!D147+'Reels'!D150+'Reels'!D153+'Reels'!D156))*('Reels'!D163/('Reels'!D160+'Reels'!D163+'Reels'!D166+'Reels'!D169+'Reels'!D172+'Reels'!D175))</f>
        <v>0.013466364693640204</v>
      </c>
      <c r="D717">
        <f>IF(OR('Reels'!D133="attack",'Reels'!D133="magic"),CHOOSE('Reels'!D134+1,'Slots'!D29,'Slots'!D30,'Slots'!D31,'Slots'!D32,'Slots'!D33),0)+IF(OR('Reels'!D136="attack",'Reels'!D136="magic"),CHOOSE('Reels'!D137+1,'Slots'!D29,'Slots'!D30,'Slots'!D31,'Slots'!D32,'Slots'!D33),0)+IF(OR('Reels'!D161="attack",'Reels'!D161="magic"),CHOOSE('Reels'!D162+1,'Slots'!D29,'Slots'!D30,'Slots'!D31,'Slots'!D32,'Slots'!D33),0)</f>
        <v>6</v>
      </c>
      <c r="E717">
        <f>IF('Reels'!D133="heal",'Reels'!D134*'Slots'!D24,0)+IF('Reels'!D136="heal",'Reels'!D137*'Slots'!D24,0)+IF('Reels'!D161="heal",'Reels'!D162*'Slots'!D24,0)</f>
        <v>0</v>
      </c>
      <c r="F717">
        <f>IF('Reels'!D133="block",'Reels'!D134*'Slots'!D25,0)+IF('Reels'!D136="block",'Reels'!D137*'Slots'!D25,0)+IF('Reels'!D161="block",'Reels'!D162*'Slots'!D25,0)</f>
        <v>0</v>
      </c>
      <c r="G717" t="b">
        <f>AND('Reels'!D133&lt;&gt;"blank",'Reels'!D133&lt;&gt;"class",'Reels'!D133='Reels'!D161,'Reels'!D134='Reels'!D162,OR('Reels'!D136="class",AND('Reels'!D136='Reels'!D133,'Reels'!D137='Reels'!D134)))</f>
        <v>0</v>
      </c>
      <c r="H717">
        <f>IF(G717,C717,0)</f>
        <v>0</v>
      </c>
    </row>
    <row r="718" spans="1:8" x14ac:dyDescent="0.25">
      <c r="A718" t="s">
        <v>258</v>
      </c>
      <c r="B718" t="s">
        <v>3983</v>
      </c>
      <c r="C718" s="4">
        <f>('Reels'!D135/('Reels'!D120+'Reels'!D123+'Reels'!D126+'Reels'!D129+'Reels'!D132+'Reels'!D135))*('Reels'!D138/('Reels'!D138+'Reels'!D141+'Reels'!D144+'Reels'!D147+'Reels'!D150+'Reels'!D153+'Reels'!D156))*('Reels'!D166/('Reels'!D160+'Reels'!D163+'Reels'!D166+'Reels'!D169+'Reels'!D172+'Reels'!D175))</f>
        <v>0.004039909408092061</v>
      </c>
      <c r="D718">
        <f>IF(OR('Reels'!D133="attack",'Reels'!D133="magic"),CHOOSE('Reels'!D134+1,'Slots'!D29,'Slots'!D30,'Slots'!D31,'Slots'!D32,'Slots'!D33),0)+IF(OR('Reels'!D136="attack",'Reels'!D136="magic"),CHOOSE('Reels'!D137+1,'Slots'!D29,'Slots'!D30,'Slots'!D31,'Slots'!D32,'Slots'!D33),0)+IF(OR('Reels'!D164="attack",'Reels'!D164="magic"),CHOOSE('Reels'!D165+1,'Slots'!D29,'Slots'!D30,'Slots'!D31,'Slots'!D32,'Slots'!D33),0)</f>
        <v>9</v>
      </c>
      <c r="E718">
        <f>IF('Reels'!D133="heal",'Reels'!D134*'Slots'!D24,0)+IF('Reels'!D136="heal",'Reels'!D137*'Slots'!D24,0)+IF('Reels'!D164="heal",'Reels'!D165*'Slots'!D24,0)</f>
        <v>0</v>
      </c>
      <c r="F718">
        <f>IF('Reels'!D133="block",'Reels'!D134*'Slots'!D25,0)+IF('Reels'!D136="block",'Reels'!D137*'Slots'!D25,0)+IF('Reels'!D164="block",'Reels'!D165*'Slots'!D25,0)</f>
        <v>0</v>
      </c>
      <c r="G718" t="b">
        <f>AND('Reels'!D133&lt;&gt;"blank",'Reels'!D133&lt;&gt;"class",'Reels'!D133='Reels'!D164,'Reels'!D134='Reels'!D165,OR('Reels'!D136="class",AND('Reels'!D136='Reels'!D133,'Reels'!D137='Reels'!D134)))</f>
        <v>0</v>
      </c>
      <c r="H718">
        <f>IF(G718,C718,0)</f>
        <v>0</v>
      </c>
    </row>
    <row r="719" spans="1:8" x14ac:dyDescent="0.25">
      <c r="A719" t="s">
        <v>258</v>
      </c>
      <c r="B719" t="s">
        <v>3984</v>
      </c>
      <c r="C719" s="4">
        <f>('Reels'!D135/('Reels'!D120+'Reels'!D123+'Reels'!D126+'Reels'!D129+'Reels'!D132+'Reels'!D135))*('Reels'!D138/('Reels'!D138+'Reels'!D141+'Reels'!D144+'Reels'!D147+'Reels'!D150+'Reels'!D153+'Reels'!D156))*('Reels'!D169/('Reels'!D160+'Reels'!D163+'Reels'!D166+'Reels'!D169+'Reels'!D172+'Reels'!D175))</f>
        <v>0.0026932729387280406</v>
      </c>
      <c r="D719">
        <f>IF(OR('Reels'!D133="attack",'Reels'!D133="magic"),CHOOSE('Reels'!D134+1,'Slots'!D29,'Slots'!D30,'Slots'!D31,'Slots'!D32,'Slots'!D33),0)+IF(OR('Reels'!D136="attack",'Reels'!D136="magic"),CHOOSE('Reels'!D137+1,'Slots'!D29,'Slots'!D30,'Slots'!D31,'Slots'!D32,'Slots'!D33),0)+IF(OR('Reels'!D167="attack",'Reels'!D167="magic"),CHOOSE('Reels'!D168+1,'Slots'!D29,'Slots'!D30,'Slots'!D31,'Slots'!D32,'Slots'!D33),0)</f>
        <v>2</v>
      </c>
      <c r="E719">
        <f>IF('Reels'!D133="heal",'Reels'!D134*'Slots'!D24,0)+IF('Reels'!D136="heal",'Reels'!D137*'Slots'!D24,0)+IF('Reels'!D167="heal",'Reels'!D168*'Slots'!D24,0)</f>
        <v>0</v>
      </c>
      <c r="F719">
        <f>IF('Reels'!D133="block",'Reels'!D134*'Slots'!D25,0)+IF('Reels'!D136="block",'Reels'!D137*'Slots'!D25,0)+IF('Reels'!D167="block",'Reels'!D168*'Slots'!D25,0)</f>
        <v>0</v>
      </c>
      <c r="G719" t="b">
        <f>AND('Reels'!D133&lt;&gt;"blank",'Reels'!D133&lt;&gt;"class",'Reels'!D133='Reels'!D167,'Reels'!D134='Reels'!D168,OR('Reels'!D136="class",AND('Reels'!D136='Reels'!D133,'Reels'!D137='Reels'!D134)))</f>
        <v>0</v>
      </c>
      <c r="H719">
        <f>IF(G719,C719,0)</f>
        <v>0</v>
      </c>
    </row>
    <row r="720" spans="1:8" x14ac:dyDescent="0.25">
      <c r="A720" t="s">
        <v>258</v>
      </c>
      <c r="B720" t="s">
        <v>3577</v>
      </c>
      <c r="C720" s="4">
        <f>('Reels'!D135/('Reels'!D120+'Reels'!D123+'Reels'!D126+'Reels'!D129+'Reels'!D132+'Reels'!D135))*('Reels'!D138/('Reels'!D138+'Reels'!D141+'Reels'!D144+'Reels'!D147+'Reels'!D150+'Reels'!D153+'Reels'!D156))*('Reels'!D172/('Reels'!D160+'Reels'!D163+'Reels'!D166+'Reels'!D169+'Reels'!D172+'Reels'!D175))</f>
        <v>0.0013466364693640203</v>
      </c>
      <c r="D720">
        <f>IF(OR('Reels'!D133="attack",'Reels'!D133="magic"),CHOOSE('Reels'!D134+1,'Slots'!D29,'Slots'!D30,'Slots'!D31,'Slots'!D32,'Slots'!D33),0)+IF(OR('Reels'!D136="attack",'Reels'!D136="magic"),CHOOSE('Reels'!D137+1,'Slots'!D29,'Slots'!D30,'Slots'!D31,'Slots'!D32,'Slots'!D33),0)+IF(OR('Reels'!D170="attack",'Reels'!D170="magic"),CHOOSE('Reels'!D171+1,'Slots'!D29,'Slots'!D30,'Slots'!D31,'Slots'!D32,'Slots'!D33),0)</f>
        <v>2</v>
      </c>
      <c r="E720">
        <f>IF('Reels'!D133="heal",'Reels'!D134*'Slots'!D24,0)+IF('Reels'!D136="heal",'Reels'!D137*'Slots'!D24,0)+IF('Reels'!D170="heal",'Reels'!D171*'Slots'!D24,0)</f>
        <v>0</v>
      </c>
      <c r="F720">
        <f>IF('Reels'!D133="block",'Reels'!D134*'Slots'!D25,0)+IF('Reels'!D136="block",'Reels'!D137*'Slots'!D25,0)+IF('Reels'!D170="block",'Reels'!D171*'Slots'!D25,0)</f>
        <v>1</v>
      </c>
      <c r="G720" t="b">
        <f>AND('Reels'!D133&lt;&gt;"blank",'Reels'!D133&lt;&gt;"class",'Reels'!D133='Reels'!D170,'Reels'!D134='Reels'!D171,OR('Reels'!D136="class",AND('Reels'!D136='Reels'!D133,'Reels'!D137='Reels'!D134)))</f>
        <v>0</v>
      </c>
      <c r="H720">
        <f>IF(G720,C720,0)</f>
        <v>0</v>
      </c>
    </row>
    <row r="721" spans="1:8" x14ac:dyDescent="0.25">
      <c r="A721" t="s">
        <v>258</v>
      </c>
      <c r="B721" t="s">
        <v>3580</v>
      </c>
      <c r="C721" s="4">
        <f>('Reels'!D135/('Reels'!D120+'Reels'!D123+'Reels'!D126+'Reels'!D129+'Reels'!D132+'Reels'!D135))*('Reels'!D138/('Reels'!D138+'Reels'!D141+'Reels'!D144+'Reels'!D147+'Reels'!D150+'Reels'!D153+'Reels'!D156))*('Reels'!D175/('Reels'!D160+'Reels'!D163+'Reels'!D166+'Reels'!D169+'Reels'!D172+'Reels'!D175))</f>
        <v>0.005386545877456081</v>
      </c>
      <c r="D721">
        <f>IF(OR('Reels'!D133="attack",'Reels'!D133="magic"),CHOOSE('Reels'!D134+1,'Slots'!D29,'Slots'!D30,'Slots'!D31,'Slots'!D32,'Slots'!D33),0)+IF(OR('Reels'!D136="attack",'Reels'!D136="magic"),CHOOSE('Reels'!D137+1,'Slots'!D29,'Slots'!D30,'Slots'!D31,'Slots'!D32,'Slots'!D33),0)+IF(OR('Reels'!D173="attack",'Reels'!D173="magic"),CHOOSE('Reels'!D174+1,'Slots'!D29,'Slots'!D30,'Slots'!D31,'Slots'!D32,'Slots'!D33),0)</f>
        <v>2</v>
      </c>
      <c r="E721">
        <f>IF('Reels'!D133="heal",'Reels'!D134*'Slots'!D24,0)+IF('Reels'!D136="heal",'Reels'!D137*'Slots'!D24,0)+IF('Reels'!D173="heal",'Reels'!D174*'Slots'!D24,0)</f>
        <v>0</v>
      </c>
      <c r="F721">
        <f>IF('Reels'!D133="block",'Reels'!D134*'Slots'!D25,0)+IF('Reels'!D136="block",'Reels'!D137*'Slots'!D25,0)+IF('Reels'!D173="block",'Reels'!D174*'Slots'!D25,0)</f>
        <v>0</v>
      </c>
      <c r="G721" t="b">
        <f>AND('Reels'!D133&lt;&gt;"blank",'Reels'!D133&lt;&gt;"class",'Reels'!D133='Reels'!D173,'Reels'!D134='Reels'!D174,OR('Reels'!D136="class",AND('Reels'!D136='Reels'!D133,'Reels'!D137='Reels'!D134)))</f>
        <v>0</v>
      </c>
      <c r="H721">
        <f>IF(G721,C721,0)</f>
        <v>0</v>
      </c>
    </row>
    <row r="722" spans="1:8" x14ac:dyDescent="0.25">
      <c r="A722" t="s">
        <v>258</v>
      </c>
      <c r="B722" t="s">
        <v>3581</v>
      </c>
      <c r="C722" s="4">
        <f>('Reels'!D135/('Reels'!D120+'Reels'!D123+'Reels'!D126+'Reels'!D129+'Reels'!D132+'Reels'!D135))*('Reels'!D141/('Reels'!D138+'Reels'!D141+'Reels'!D144+'Reels'!D147+'Reels'!D150+'Reels'!D153+'Reels'!D156))*('Reels'!D160/('Reels'!D160+'Reels'!D163+'Reels'!D166+'Reels'!D169+'Reels'!D172+'Reels'!D175))</f>
        <v>0.013466364693640202</v>
      </c>
      <c r="D722">
        <f>IF(OR('Reels'!D133="attack",'Reels'!D133="magic"),CHOOSE('Reels'!D134+1,'Slots'!D29,'Slots'!D30,'Slots'!D31,'Slots'!D32,'Slots'!D33),0)+IF(OR('Reels'!D139="attack",'Reels'!D139="magic"),CHOOSE('Reels'!D140+1,'Slots'!D29,'Slots'!D30,'Slots'!D31,'Slots'!D32,'Slots'!D33),0)+IF(OR('Reels'!D158="attack",'Reels'!D158="magic"),CHOOSE('Reels'!D159+1,'Slots'!D29,'Slots'!D30,'Slots'!D31,'Slots'!D32,'Slots'!D33),0)</f>
        <v>6</v>
      </c>
      <c r="E722">
        <f>IF('Reels'!D133="heal",'Reels'!D134*'Slots'!D24,0)+IF('Reels'!D139="heal",'Reels'!D140*'Slots'!D24,0)+IF('Reels'!D158="heal",'Reels'!D159*'Slots'!D24,0)</f>
        <v>0</v>
      </c>
      <c r="F722">
        <f>IF('Reels'!D133="block",'Reels'!D134*'Slots'!D25,0)+IF('Reels'!D139="block",'Reels'!D140*'Slots'!D25,0)+IF('Reels'!D158="block",'Reels'!D159*'Slots'!D25,0)</f>
        <v>0</v>
      </c>
      <c r="G722" t="b">
        <f>AND('Reels'!D133&lt;&gt;"blank",'Reels'!D133&lt;&gt;"class",'Reels'!D133='Reels'!D158,'Reels'!D134='Reels'!D159,OR('Reels'!D139="class",AND('Reels'!D139='Reels'!D133,'Reels'!D140='Reels'!D134)))</f>
        <v>0</v>
      </c>
      <c r="H722">
        <f>IF(G722,C722,0)</f>
        <v>0</v>
      </c>
    </row>
    <row r="723" spans="1:8" x14ac:dyDescent="0.25">
      <c r="A723" t="s">
        <v>258</v>
      </c>
      <c r="B723" t="s">
        <v>3582</v>
      </c>
      <c r="C723" s="4">
        <f>('Reels'!D135/('Reels'!D120+'Reels'!D123+'Reels'!D126+'Reels'!D129+'Reels'!D132+'Reels'!D135))*('Reels'!D141/('Reels'!D138+'Reels'!D141+'Reels'!D144+'Reels'!D147+'Reels'!D150+'Reels'!D153+'Reels'!D156))*('Reels'!D163/('Reels'!D160+'Reels'!D163+'Reels'!D166+'Reels'!D169+'Reels'!D172+'Reels'!D175))</f>
        <v>0.012242149721491093</v>
      </c>
      <c r="D723">
        <f>IF(OR('Reels'!D133="attack",'Reels'!D133="magic"),CHOOSE('Reels'!D134+1,'Slots'!D29,'Slots'!D30,'Slots'!D31,'Slots'!D32,'Slots'!D33),0)+IF(OR('Reels'!D139="attack",'Reels'!D139="magic"),CHOOSE('Reels'!D140+1,'Slots'!D29,'Slots'!D30,'Slots'!D31,'Slots'!D32,'Slots'!D33),0)+IF(OR('Reels'!D161="attack",'Reels'!D161="magic"),CHOOSE('Reels'!D162+1,'Slots'!D29,'Slots'!D30,'Slots'!D31,'Slots'!D32,'Slots'!D33),0)</f>
        <v>8</v>
      </c>
      <c r="E723">
        <f>IF('Reels'!D133="heal",'Reels'!D134*'Slots'!D24,0)+IF('Reels'!D139="heal",'Reels'!D140*'Slots'!D24,0)+IF('Reels'!D161="heal",'Reels'!D162*'Slots'!D24,0)</f>
        <v>0</v>
      </c>
      <c r="F723">
        <f>IF('Reels'!D133="block",'Reels'!D134*'Slots'!D25,0)+IF('Reels'!D139="block",'Reels'!D140*'Slots'!D25,0)+IF('Reels'!D161="block",'Reels'!D162*'Slots'!D25,0)</f>
        <v>0</v>
      </c>
      <c r="G723" t="b">
        <f>AND('Reels'!D133&lt;&gt;"blank",'Reels'!D133&lt;&gt;"class",'Reels'!D133='Reels'!D161,'Reels'!D134='Reels'!D162,OR('Reels'!D139="class",AND('Reels'!D139='Reels'!D133,'Reels'!D140='Reels'!D134)))</f>
        <v>0</v>
      </c>
      <c r="H723">
        <f>IF(G723,C723,0)</f>
        <v>0</v>
      </c>
    </row>
    <row r="724" spans="1:8" x14ac:dyDescent="0.25">
      <c r="A724" t="s">
        <v>258</v>
      </c>
      <c r="B724" t="s">
        <v>3985</v>
      </c>
      <c r="C724" s="4">
        <f>('Reels'!D135/('Reels'!D120+'Reels'!D123+'Reels'!D126+'Reels'!D129+'Reels'!D132+'Reels'!D135))*('Reels'!D141/('Reels'!D138+'Reels'!D141+'Reels'!D144+'Reels'!D147+'Reels'!D150+'Reels'!D153+'Reels'!D156))*('Reels'!D166/('Reels'!D160+'Reels'!D163+'Reels'!D166+'Reels'!D169+'Reels'!D172+'Reels'!D175))</f>
        <v>0.003672644916447328</v>
      </c>
      <c r="D724">
        <f>IF(OR('Reels'!D133="attack",'Reels'!D133="magic"),CHOOSE('Reels'!D134+1,'Slots'!D29,'Slots'!D30,'Slots'!D31,'Slots'!D32,'Slots'!D33),0)+IF(OR('Reels'!D139="attack",'Reels'!D139="magic"),CHOOSE('Reels'!D140+1,'Slots'!D29,'Slots'!D30,'Slots'!D31,'Slots'!D32,'Slots'!D33),0)+IF(OR('Reels'!D164="attack",'Reels'!D164="magic"),CHOOSE('Reels'!D165+1,'Slots'!D29,'Slots'!D30,'Slots'!D31,'Slots'!D32,'Slots'!D33),0)</f>
        <v>11</v>
      </c>
      <c r="E724">
        <f>IF('Reels'!D133="heal",'Reels'!D134*'Slots'!D24,0)+IF('Reels'!D139="heal",'Reels'!D140*'Slots'!D24,0)+IF('Reels'!D164="heal",'Reels'!D165*'Slots'!D24,0)</f>
        <v>0</v>
      </c>
      <c r="F724">
        <f>IF('Reels'!D133="block",'Reels'!D134*'Slots'!D25,0)+IF('Reels'!D139="block",'Reels'!D140*'Slots'!D25,0)+IF('Reels'!D164="block",'Reels'!D165*'Slots'!D25,0)</f>
        <v>0</v>
      </c>
      <c r="G724" t="b">
        <f>AND('Reels'!D133&lt;&gt;"blank",'Reels'!D133&lt;&gt;"class",'Reels'!D133='Reels'!D164,'Reels'!D134='Reels'!D165,OR('Reels'!D139="class",AND('Reels'!D139='Reels'!D133,'Reels'!D140='Reels'!D134)))</f>
        <v>0</v>
      </c>
      <c r="H724">
        <f>IF(G724,C724,0)</f>
        <v>0</v>
      </c>
    </row>
    <row r="725" spans="1:8" x14ac:dyDescent="0.25">
      <c r="A725" t="s">
        <v>258</v>
      </c>
      <c r="B725" t="s">
        <v>3986</v>
      </c>
      <c r="C725" s="4">
        <f>('Reels'!D135/('Reels'!D120+'Reels'!D123+'Reels'!D126+'Reels'!D129+'Reels'!D132+'Reels'!D135))*('Reels'!D141/('Reels'!D138+'Reels'!D141+'Reels'!D144+'Reels'!D147+'Reels'!D150+'Reels'!D153+'Reels'!D156))*('Reels'!D169/('Reels'!D160+'Reels'!D163+'Reels'!D166+'Reels'!D169+'Reels'!D172+'Reels'!D175))</f>
        <v>0.002448429944298219</v>
      </c>
      <c r="D725">
        <f>IF(OR('Reels'!D133="attack",'Reels'!D133="magic"),CHOOSE('Reels'!D134+1,'Slots'!D29,'Slots'!D30,'Slots'!D31,'Slots'!D32,'Slots'!D33),0)+IF(OR('Reels'!D139="attack",'Reels'!D139="magic"),CHOOSE('Reels'!D140+1,'Slots'!D29,'Slots'!D30,'Slots'!D31,'Slots'!D32,'Slots'!D33),0)+IF(OR('Reels'!D167="attack",'Reels'!D167="magic"),CHOOSE('Reels'!D168+1,'Slots'!D29,'Slots'!D30,'Slots'!D31,'Slots'!D32,'Slots'!D33),0)</f>
        <v>4</v>
      </c>
      <c r="E725">
        <f>IF('Reels'!D133="heal",'Reels'!D134*'Slots'!D24,0)+IF('Reels'!D139="heal",'Reels'!D140*'Slots'!D24,0)+IF('Reels'!D167="heal",'Reels'!D168*'Slots'!D24,0)</f>
        <v>0</v>
      </c>
      <c r="F725">
        <f>IF('Reels'!D133="block",'Reels'!D134*'Slots'!D25,0)+IF('Reels'!D139="block",'Reels'!D140*'Slots'!D25,0)+IF('Reels'!D167="block",'Reels'!D168*'Slots'!D25,0)</f>
        <v>0</v>
      </c>
      <c r="G725" t="b">
        <f>AND('Reels'!D133&lt;&gt;"blank",'Reels'!D133&lt;&gt;"class",'Reels'!D133='Reels'!D167,'Reels'!D134='Reels'!D168,OR('Reels'!D139="class",AND('Reels'!D139='Reels'!D133,'Reels'!D140='Reels'!D134)))</f>
        <v>0</v>
      </c>
      <c r="H725">
        <f>IF(G725,C725,0)</f>
        <v>0</v>
      </c>
    </row>
    <row r="726" spans="1:8" x14ac:dyDescent="0.25">
      <c r="A726" t="s">
        <v>258</v>
      </c>
      <c r="B726" t="s">
        <v>3583</v>
      </c>
      <c r="C726" s="4">
        <f>('Reels'!D135/('Reels'!D120+'Reels'!D123+'Reels'!D126+'Reels'!D129+'Reels'!D132+'Reels'!D135))*('Reels'!D141/('Reels'!D138+'Reels'!D141+'Reels'!D144+'Reels'!D147+'Reels'!D150+'Reels'!D153+'Reels'!D156))*('Reels'!D172/('Reels'!D160+'Reels'!D163+'Reels'!D166+'Reels'!D169+'Reels'!D172+'Reels'!D175))</f>
        <v>0.0012242149721491094</v>
      </c>
      <c r="D726">
        <f>IF(OR('Reels'!D133="attack",'Reels'!D133="magic"),CHOOSE('Reels'!D134+1,'Slots'!D29,'Slots'!D30,'Slots'!D31,'Slots'!D32,'Slots'!D33),0)+IF(OR('Reels'!D139="attack",'Reels'!D139="magic"),CHOOSE('Reels'!D140+1,'Slots'!D29,'Slots'!D30,'Slots'!D31,'Slots'!D32,'Slots'!D33),0)+IF(OR('Reels'!D170="attack",'Reels'!D170="magic"),CHOOSE('Reels'!D171+1,'Slots'!D29,'Slots'!D30,'Slots'!D31,'Slots'!D32,'Slots'!D33),0)</f>
        <v>4</v>
      </c>
      <c r="E726">
        <f>IF('Reels'!D133="heal",'Reels'!D134*'Slots'!D24,0)+IF('Reels'!D139="heal",'Reels'!D140*'Slots'!D24,0)+IF('Reels'!D170="heal",'Reels'!D171*'Slots'!D24,0)</f>
        <v>0</v>
      </c>
      <c r="F726">
        <f>IF('Reels'!D133="block",'Reels'!D134*'Slots'!D25,0)+IF('Reels'!D139="block",'Reels'!D140*'Slots'!D25,0)+IF('Reels'!D170="block",'Reels'!D171*'Slots'!D25,0)</f>
        <v>1</v>
      </c>
      <c r="G726" t="b">
        <f>AND('Reels'!D133&lt;&gt;"blank",'Reels'!D133&lt;&gt;"class",'Reels'!D133='Reels'!D170,'Reels'!D134='Reels'!D171,OR('Reels'!D139="class",AND('Reels'!D139='Reels'!D133,'Reels'!D140='Reels'!D134)))</f>
        <v>0</v>
      </c>
      <c r="H726">
        <f>IF(G726,C726,0)</f>
        <v>0</v>
      </c>
    </row>
    <row r="727" spans="1:8" x14ac:dyDescent="0.25">
      <c r="A727" t="s">
        <v>258</v>
      </c>
      <c r="B727" t="s">
        <v>3586</v>
      </c>
      <c r="C727" s="4">
        <f>('Reels'!D135/('Reels'!D120+'Reels'!D123+'Reels'!D126+'Reels'!D129+'Reels'!D132+'Reels'!D135))*('Reels'!D141/('Reels'!D138+'Reels'!D141+'Reels'!D144+'Reels'!D147+'Reels'!D150+'Reels'!D153+'Reels'!D156))*('Reels'!D175/('Reels'!D160+'Reels'!D163+'Reels'!D166+'Reels'!D169+'Reels'!D172+'Reels'!D175))</f>
        <v>0.004896859888596438</v>
      </c>
      <c r="D727">
        <f>IF(OR('Reels'!D133="attack",'Reels'!D133="magic"),CHOOSE('Reels'!D134+1,'Slots'!D29,'Slots'!D30,'Slots'!D31,'Slots'!D32,'Slots'!D33),0)+IF(OR('Reels'!D139="attack",'Reels'!D139="magic"),CHOOSE('Reels'!D140+1,'Slots'!D29,'Slots'!D30,'Slots'!D31,'Slots'!D32,'Slots'!D33),0)+IF(OR('Reels'!D173="attack",'Reels'!D173="magic"),CHOOSE('Reels'!D174+1,'Slots'!D29,'Slots'!D30,'Slots'!D31,'Slots'!D32,'Slots'!D33),0)</f>
        <v>4</v>
      </c>
      <c r="E727">
        <f>IF('Reels'!D133="heal",'Reels'!D134*'Slots'!D24,0)+IF('Reels'!D139="heal",'Reels'!D140*'Slots'!D24,0)+IF('Reels'!D173="heal",'Reels'!D174*'Slots'!D24,0)</f>
        <v>0</v>
      </c>
      <c r="F727">
        <f>IF('Reels'!D133="block",'Reels'!D134*'Slots'!D25,0)+IF('Reels'!D139="block",'Reels'!D140*'Slots'!D25,0)+IF('Reels'!D173="block",'Reels'!D174*'Slots'!D25,0)</f>
        <v>0</v>
      </c>
      <c r="G727" t="b">
        <f>AND('Reels'!D133&lt;&gt;"blank",'Reels'!D133&lt;&gt;"class",'Reels'!D133='Reels'!D173,'Reels'!D134='Reels'!D174,OR('Reels'!D139="class",AND('Reels'!D139='Reels'!D133,'Reels'!D140='Reels'!D134)))</f>
        <v>0</v>
      </c>
      <c r="H727">
        <f>IF(G727,C727,0)</f>
        <v>0</v>
      </c>
    </row>
    <row r="728" spans="1:8" x14ac:dyDescent="0.25">
      <c r="A728" t="s">
        <v>258</v>
      </c>
      <c r="B728" t="s">
        <v>3987</v>
      </c>
      <c r="C728" s="4">
        <f>('Reels'!D135/('Reels'!D120+'Reels'!D123+'Reels'!D126+'Reels'!D129+'Reels'!D132+'Reels'!D135))*('Reels'!D144/('Reels'!D138+'Reels'!D141+'Reels'!D144+'Reels'!D147+'Reels'!D150+'Reels'!D153+'Reels'!D156))*('Reels'!D160/('Reels'!D160+'Reels'!D163+'Reels'!D166+'Reels'!D169+'Reels'!D172+'Reels'!D175))</f>
        <v>0.004039909408092061</v>
      </c>
      <c r="D728">
        <f>IF(OR('Reels'!D133="attack",'Reels'!D133="magic"),CHOOSE('Reels'!D134+1,'Slots'!D29,'Slots'!D30,'Slots'!D31,'Slots'!D32,'Slots'!D33),0)+IF(OR('Reels'!D142="attack",'Reels'!D142="magic"),CHOOSE('Reels'!D143+1,'Slots'!D29,'Slots'!D30,'Slots'!D31,'Slots'!D32,'Slots'!D33),0)+IF(OR('Reels'!D158="attack",'Reels'!D158="magic"),CHOOSE('Reels'!D159+1,'Slots'!D29,'Slots'!D30,'Slots'!D31,'Slots'!D32,'Slots'!D33),0)</f>
        <v>9</v>
      </c>
      <c r="E728">
        <f>IF('Reels'!D133="heal",'Reels'!D134*'Slots'!D24,0)+IF('Reels'!D142="heal",'Reels'!D143*'Slots'!D24,0)+IF('Reels'!D158="heal",'Reels'!D159*'Slots'!D24,0)</f>
        <v>0</v>
      </c>
      <c r="F728">
        <f>IF('Reels'!D133="block",'Reels'!D134*'Slots'!D25,0)+IF('Reels'!D142="block",'Reels'!D143*'Slots'!D25,0)+IF('Reels'!D158="block",'Reels'!D159*'Slots'!D25,0)</f>
        <v>0</v>
      </c>
      <c r="G728" t="b">
        <f>AND('Reels'!D133&lt;&gt;"blank",'Reels'!D133&lt;&gt;"class",'Reels'!D133='Reels'!D158,'Reels'!D134='Reels'!D159,OR('Reels'!D142="class",AND('Reels'!D142='Reels'!D133,'Reels'!D143='Reels'!D134)))</f>
        <v>0</v>
      </c>
      <c r="H728">
        <f>IF(G728,C728,0)</f>
        <v>0</v>
      </c>
    </row>
    <row r="729" spans="1:8" x14ac:dyDescent="0.25">
      <c r="A729" t="s">
        <v>258</v>
      </c>
      <c r="B729" t="s">
        <v>3988</v>
      </c>
      <c r="C729" s="4">
        <f>('Reels'!D135/('Reels'!D120+'Reels'!D123+'Reels'!D126+'Reels'!D129+'Reels'!D132+'Reels'!D135))*('Reels'!D144/('Reels'!D138+'Reels'!D141+'Reels'!D144+'Reels'!D147+'Reels'!D150+'Reels'!D153+'Reels'!D156))*('Reels'!D163/('Reels'!D160+'Reels'!D163+'Reels'!D166+'Reels'!D169+'Reels'!D172+'Reels'!D175))</f>
        <v>0.003672644916447328</v>
      </c>
      <c r="D729">
        <f>IF(OR('Reels'!D133="attack",'Reels'!D133="magic"),CHOOSE('Reels'!D134+1,'Slots'!D29,'Slots'!D30,'Slots'!D31,'Slots'!D32,'Slots'!D33),0)+IF(OR('Reels'!D142="attack",'Reels'!D142="magic"),CHOOSE('Reels'!D143+1,'Slots'!D29,'Slots'!D30,'Slots'!D31,'Slots'!D32,'Slots'!D33),0)+IF(OR('Reels'!D161="attack",'Reels'!D161="magic"),CHOOSE('Reels'!D162+1,'Slots'!D29,'Slots'!D30,'Slots'!D31,'Slots'!D32,'Slots'!D33),0)</f>
        <v>11</v>
      </c>
      <c r="E729">
        <f>IF('Reels'!D133="heal",'Reels'!D134*'Slots'!D24,0)+IF('Reels'!D142="heal",'Reels'!D143*'Slots'!D24,0)+IF('Reels'!D161="heal",'Reels'!D162*'Slots'!D24,0)</f>
        <v>0</v>
      </c>
      <c r="F729">
        <f>IF('Reels'!D133="block",'Reels'!D134*'Slots'!D25,0)+IF('Reels'!D142="block",'Reels'!D143*'Slots'!D25,0)+IF('Reels'!D161="block",'Reels'!D162*'Slots'!D25,0)</f>
        <v>0</v>
      </c>
      <c r="G729" t="b">
        <f>AND('Reels'!D133&lt;&gt;"blank",'Reels'!D133&lt;&gt;"class",'Reels'!D133='Reels'!D161,'Reels'!D134='Reels'!D162,OR('Reels'!D142="class",AND('Reels'!D142='Reels'!D133,'Reels'!D143='Reels'!D134)))</f>
        <v>0</v>
      </c>
      <c r="H729">
        <f>IF(G729,C729,0)</f>
        <v>0</v>
      </c>
    </row>
    <row r="730" spans="1:8" x14ac:dyDescent="0.25">
      <c r="A730" t="s">
        <v>258</v>
      </c>
      <c r="B730" t="s">
        <v>3989</v>
      </c>
      <c r="C730" s="4">
        <f>('Reels'!D135/('Reels'!D120+'Reels'!D123+'Reels'!D126+'Reels'!D129+'Reels'!D132+'Reels'!D135))*('Reels'!D144/('Reels'!D138+'Reels'!D141+'Reels'!D144+'Reels'!D147+'Reels'!D150+'Reels'!D153+'Reels'!D156))*('Reels'!D166/('Reels'!D160+'Reels'!D163+'Reels'!D166+'Reels'!D169+'Reels'!D172+'Reels'!D175))</f>
        <v>0.0011017934749341985</v>
      </c>
      <c r="D730">
        <f>IF(OR('Reels'!D133="attack",'Reels'!D133="magic"),CHOOSE('Reels'!D134+1,'Slots'!D29,'Slots'!D30,'Slots'!D31,'Slots'!D32,'Slots'!D33),0)+IF(OR('Reels'!D142="attack",'Reels'!D142="magic"),CHOOSE('Reels'!D143+1,'Slots'!D29,'Slots'!D30,'Slots'!D31,'Slots'!D32,'Slots'!D33),0)+IF(OR('Reels'!D164="attack",'Reels'!D164="magic"),CHOOSE('Reels'!D165+1,'Slots'!D29,'Slots'!D30,'Slots'!D31,'Slots'!D32,'Slots'!D33),0)</f>
        <v>14</v>
      </c>
      <c r="E730">
        <f>IF('Reels'!D133="heal",'Reels'!D134*'Slots'!D24,0)+IF('Reels'!D142="heal",'Reels'!D143*'Slots'!D24,0)+IF('Reels'!D164="heal",'Reels'!D165*'Slots'!D24,0)</f>
        <v>0</v>
      </c>
      <c r="F730">
        <f>IF('Reels'!D133="block",'Reels'!D134*'Slots'!D25,0)+IF('Reels'!D142="block",'Reels'!D143*'Slots'!D25,0)+IF('Reels'!D164="block",'Reels'!D165*'Slots'!D25,0)</f>
        <v>0</v>
      </c>
      <c r="G730" t="b">
        <f>AND('Reels'!D133&lt;&gt;"blank",'Reels'!D133&lt;&gt;"class",'Reels'!D133='Reels'!D164,'Reels'!D134='Reels'!D165,OR('Reels'!D142="class",AND('Reels'!D142='Reels'!D133,'Reels'!D143='Reels'!D134)))</f>
        <v>0</v>
      </c>
      <c r="H730">
        <f>IF(G730,C730,0)</f>
        <v>0</v>
      </c>
    </row>
    <row r="731" spans="1:8" x14ac:dyDescent="0.25">
      <c r="A731" t="s">
        <v>258</v>
      </c>
      <c r="B731" t="s">
        <v>3990</v>
      </c>
      <c r="C731" s="4">
        <f>('Reels'!D135/('Reels'!D120+'Reels'!D123+'Reels'!D126+'Reels'!D129+'Reels'!D132+'Reels'!D135))*('Reels'!D144/('Reels'!D138+'Reels'!D141+'Reels'!D144+'Reels'!D147+'Reels'!D150+'Reels'!D153+'Reels'!D156))*('Reels'!D169/('Reels'!D160+'Reels'!D163+'Reels'!D166+'Reels'!D169+'Reels'!D172+'Reels'!D175))</f>
        <v>0.0007345289832894656</v>
      </c>
      <c r="D731">
        <f>IF(OR('Reels'!D133="attack",'Reels'!D133="magic"),CHOOSE('Reels'!D134+1,'Slots'!D29,'Slots'!D30,'Slots'!D31,'Slots'!D32,'Slots'!D33),0)+IF(OR('Reels'!D142="attack",'Reels'!D142="magic"),CHOOSE('Reels'!D143+1,'Slots'!D29,'Slots'!D30,'Slots'!D31,'Slots'!D32,'Slots'!D33),0)+IF(OR('Reels'!D167="attack",'Reels'!D167="magic"),CHOOSE('Reels'!D168+1,'Slots'!D29,'Slots'!D30,'Slots'!D31,'Slots'!D32,'Slots'!D33),0)</f>
        <v>7</v>
      </c>
      <c r="E731">
        <f>IF('Reels'!D133="heal",'Reels'!D134*'Slots'!D24,0)+IF('Reels'!D142="heal",'Reels'!D143*'Slots'!D24,0)+IF('Reels'!D167="heal",'Reels'!D168*'Slots'!D24,0)</f>
        <v>0</v>
      </c>
      <c r="F731">
        <f>IF('Reels'!D133="block",'Reels'!D134*'Slots'!D25,0)+IF('Reels'!D142="block",'Reels'!D143*'Slots'!D25,0)+IF('Reels'!D167="block",'Reels'!D168*'Slots'!D25,0)</f>
        <v>0</v>
      </c>
      <c r="G731" t="b">
        <f>AND('Reels'!D133&lt;&gt;"blank",'Reels'!D133&lt;&gt;"class",'Reels'!D133='Reels'!D167,'Reels'!D134='Reels'!D168,OR('Reels'!D142="class",AND('Reels'!D142='Reels'!D133,'Reels'!D143='Reels'!D134)))</f>
        <v>0</v>
      </c>
      <c r="H731">
        <f>IF(G731,C731,0)</f>
        <v>0</v>
      </c>
    </row>
    <row r="732" spans="1:8" x14ac:dyDescent="0.25">
      <c r="A732" t="s">
        <v>258</v>
      </c>
      <c r="B732" t="s">
        <v>3991</v>
      </c>
      <c r="C732" s="4">
        <f>('Reels'!D135/('Reels'!D120+'Reels'!D123+'Reels'!D126+'Reels'!D129+'Reels'!D132+'Reels'!D135))*('Reels'!D144/('Reels'!D138+'Reels'!D141+'Reels'!D144+'Reels'!D147+'Reels'!D150+'Reels'!D153+'Reels'!D156))*('Reels'!D172/('Reels'!D160+'Reels'!D163+'Reels'!D166+'Reels'!D169+'Reels'!D172+'Reels'!D175))</f>
        <v>0.0003672644916447328</v>
      </c>
      <c r="D732">
        <f>IF(OR('Reels'!D133="attack",'Reels'!D133="magic"),CHOOSE('Reels'!D134+1,'Slots'!D29,'Slots'!D30,'Slots'!D31,'Slots'!D32,'Slots'!D33),0)+IF(OR('Reels'!D142="attack",'Reels'!D142="magic"),CHOOSE('Reels'!D143+1,'Slots'!D29,'Slots'!D30,'Slots'!D31,'Slots'!D32,'Slots'!D33),0)+IF(OR('Reels'!D170="attack",'Reels'!D170="magic"),CHOOSE('Reels'!D171+1,'Slots'!D29,'Slots'!D30,'Slots'!D31,'Slots'!D32,'Slots'!D33),0)</f>
        <v>7</v>
      </c>
      <c r="E732">
        <f>IF('Reels'!D133="heal",'Reels'!D134*'Slots'!D24,0)+IF('Reels'!D142="heal",'Reels'!D143*'Slots'!D24,0)+IF('Reels'!D170="heal",'Reels'!D171*'Slots'!D24,0)</f>
        <v>0</v>
      </c>
      <c r="F732">
        <f>IF('Reels'!D133="block",'Reels'!D134*'Slots'!D25,0)+IF('Reels'!D142="block",'Reels'!D143*'Slots'!D25,0)+IF('Reels'!D170="block",'Reels'!D171*'Slots'!D25,0)</f>
        <v>1</v>
      </c>
      <c r="G732" t="b">
        <f>AND('Reels'!D133&lt;&gt;"blank",'Reels'!D133&lt;&gt;"class",'Reels'!D133='Reels'!D170,'Reels'!D134='Reels'!D171,OR('Reels'!D142="class",AND('Reels'!D142='Reels'!D133,'Reels'!D143='Reels'!D134)))</f>
        <v>0</v>
      </c>
      <c r="H732">
        <f>IF(G732,C732,0)</f>
        <v>0</v>
      </c>
    </row>
    <row r="733" spans="1:8" x14ac:dyDescent="0.25">
      <c r="A733" t="s">
        <v>258</v>
      </c>
      <c r="B733" t="s">
        <v>3992</v>
      </c>
      <c r="C733" s="4">
        <f>('Reels'!D135/('Reels'!D120+'Reels'!D123+'Reels'!D126+'Reels'!D129+'Reels'!D132+'Reels'!D135))*('Reels'!D144/('Reels'!D138+'Reels'!D141+'Reels'!D144+'Reels'!D147+'Reels'!D150+'Reels'!D153+'Reels'!D156))*('Reels'!D175/('Reels'!D160+'Reels'!D163+'Reels'!D166+'Reels'!D169+'Reels'!D172+'Reels'!D175))</f>
        <v>0.0014690579665789312</v>
      </c>
      <c r="D733">
        <f>IF(OR('Reels'!D133="attack",'Reels'!D133="magic"),CHOOSE('Reels'!D134+1,'Slots'!D29,'Slots'!D30,'Slots'!D31,'Slots'!D32,'Slots'!D33),0)+IF(OR('Reels'!D142="attack",'Reels'!D142="magic"),CHOOSE('Reels'!D143+1,'Slots'!D29,'Slots'!D30,'Slots'!D31,'Slots'!D32,'Slots'!D33),0)+IF(OR('Reels'!D173="attack",'Reels'!D173="magic"),CHOOSE('Reels'!D174+1,'Slots'!D29,'Slots'!D30,'Slots'!D31,'Slots'!D32,'Slots'!D33),0)</f>
        <v>7</v>
      </c>
      <c r="E733">
        <f>IF('Reels'!D133="heal",'Reels'!D134*'Slots'!D24,0)+IF('Reels'!D142="heal",'Reels'!D143*'Slots'!D24,0)+IF('Reels'!D173="heal",'Reels'!D174*'Slots'!D24,0)</f>
        <v>0</v>
      </c>
      <c r="F733">
        <f>IF('Reels'!D133="block",'Reels'!D134*'Slots'!D25,0)+IF('Reels'!D142="block",'Reels'!D143*'Slots'!D25,0)+IF('Reels'!D173="block",'Reels'!D174*'Slots'!D25,0)</f>
        <v>0</v>
      </c>
      <c r="G733" t="b">
        <f>AND('Reels'!D133&lt;&gt;"blank",'Reels'!D133&lt;&gt;"class",'Reels'!D133='Reels'!D173,'Reels'!D134='Reels'!D174,OR('Reels'!D142="class",AND('Reels'!D142='Reels'!D133,'Reels'!D143='Reels'!D134)))</f>
        <v>0</v>
      </c>
      <c r="H733">
        <f>IF(G733,C733,0)</f>
        <v>0</v>
      </c>
    </row>
    <row r="734" spans="1:8" x14ac:dyDescent="0.25">
      <c r="A734" t="s">
        <v>258</v>
      </c>
      <c r="B734" t="s">
        <v>3993</v>
      </c>
      <c r="C734" s="4">
        <f>('Reels'!D135/('Reels'!D120+'Reels'!D123+'Reels'!D126+'Reels'!D129+'Reels'!D132+'Reels'!D135))*('Reels'!D147/('Reels'!D138+'Reels'!D141+'Reels'!D144+'Reels'!D147+'Reels'!D150+'Reels'!D153+'Reels'!D156))*('Reels'!D160/('Reels'!D160+'Reels'!D163+'Reels'!D166+'Reels'!D169+'Reels'!D172+'Reels'!D175))</f>
        <v>0.0026932729387280406</v>
      </c>
      <c r="D734">
        <f>IF(OR('Reels'!D133="attack",'Reels'!D133="magic"),CHOOSE('Reels'!D134+1,'Slots'!D29,'Slots'!D30,'Slots'!D31,'Slots'!D32,'Slots'!D33),0)+IF(OR('Reels'!D145="attack",'Reels'!D145="magic"),CHOOSE('Reels'!D146+1,'Slots'!D29,'Slots'!D30,'Slots'!D31,'Slots'!D32,'Slots'!D33),0)+IF(OR('Reels'!D158="attack",'Reels'!D158="magic"),CHOOSE('Reels'!D159+1,'Slots'!D29,'Slots'!D30,'Slots'!D31,'Slots'!D32,'Slots'!D33),0)</f>
        <v>2</v>
      </c>
      <c r="E734">
        <f>IF('Reels'!D133="heal",'Reels'!D134*'Slots'!D24,0)+IF('Reels'!D145="heal",'Reels'!D146*'Slots'!D24,0)+IF('Reels'!D158="heal",'Reels'!D159*'Slots'!D24,0)</f>
        <v>0</v>
      </c>
      <c r="F734">
        <f>IF('Reels'!D133="block",'Reels'!D134*'Slots'!D25,0)+IF('Reels'!D145="block",'Reels'!D146*'Slots'!D25,0)+IF('Reels'!D158="block",'Reels'!D159*'Slots'!D25,0)</f>
        <v>0</v>
      </c>
      <c r="G734" t="b">
        <f>AND('Reels'!D133&lt;&gt;"blank",'Reels'!D133&lt;&gt;"class",'Reels'!D133='Reels'!D158,'Reels'!D134='Reels'!D159,OR('Reels'!D145="class",AND('Reels'!D145='Reels'!D133,'Reels'!D146='Reels'!D134)))</f>
        <v>0</v>
      </c>
      <c r="H734">
        <f>IF(G734,C734,0)</f>
        <v>0</v>
      </c>
    </row>
    <row r="735" spans="1:8" x14ac:dyDescent="0.25">
      <c r="A735" t="s">
        <v>258</v>
      </c>
      <c r="B735" t="s">
        <v>3994</v>
      </c>
      <c r="C735" s="4">
        <f>('Reels'!D135/('Reels'!D120+'Reels'!D123+'Reels'!D126+'Reels'!D129+'Reels'!D132+'Reels'!D135))*('Reels'!D147/('Reels'!D138+'Reels'!D141+'Reels'!D144+'Reels'!D147+'Reels'!D150+'Reels'!D153+'Reels'!D156))*('Reels'!D163/('Reels'!D160+'Reels'!D163+'Reels'!D166+'Reels'!D169+'Reels'!D172+'Reels'!D175))</f>
        <v>0.002448429944298219</v>
      </c>
      <c r="D735">
        <f>IF(OR('Reels'!D133="attack",'Reels'!D133="magic"),CHOOSE('Reels'!D134+1,'Slots'!D29,'Slots'!D30,'Slots'!D31,'Slots'!D32,'Slots'!D33),0)+IF(OR('Reels'!D145="attack",'Reels'!D145="magic"),CHOOSE('Reels'!D146+1,'Slots'!D29,'Slots'!D30,'Slots'!D31,'Slots'!D32,'Slots'!D33),0)+IF(OR('Reels'!D161="attack",'Reels'!D161="magic"),CHOOSE('Reels'!D162+1,'Slots'!D29,'Slots'!D30,'Slots'!D31,'Slots'!D32,'Slots'!D33),0)</f>
        <v>4</v>
      </c>
      <c r="E735">
        <f>IF('Reels'!D133="heal",'Reels'!D134*'Slots'!D24,0)+IF('Reels'!D145="heal",'Reels'!D146*'Slots'!D24,0)+IF('Reels'!D161="heal",'Reels'!D162*'Slots'!D24,0)</f>
        <v>0</v>
      </c>
      <c r="F735">
        <f>IF('Reels'!D133="block",'Reels'!D134*'Slots'!D25,0)+IF('Reels'!D145="block",'Reels'!D146*'Slots'!D25,0)+IF('Reels'!D161="block",'Reels'!D162*'Slots'!D25,0)</f>
        <v>0</v>
      </c>
      <c r="G735" t="b">
        <f>AND('Reels'!D133&lt;&gt;"blank",'Reels'!D133&lt;&gt;"class",'Reels'!D133='Reels'!D161,'Reels'!D134='Reels'!D162,OR('Reels'!D145="class",AND('Reels'!D145='Reels'!D133,'Reels'!D146='Reels'!D134)))</f>
        <v>0</v>
      </c>
      <c r="H735">
        <f>IF(G735,C735,0)</f>
        <v>0</v>
      </c>
    </row>
    <row r="736" spans="1:8" x14ac:dyDescent="0.25">
      <c r="A736" t="s">
        <v>258</v>
      </c>
      <c r="B736" t="s">
        <v>3995</v>
      </c>
      <c r="C736" s="4">
        <f>('Reels'!D135/('Reels'!D120+'Reels'!D123+'Reels'!D126+'Reels'!D129+'Reels'!D132+'Reels'!D135))*('Reels'!D147/('Reels'!D138+'Reels'!D141+'Reels'!D144+'Reels'!D147+'Reels'!D150+'Reels'!D153+'Reels'!D156))*('Reels'!D166/('Reels'!D160+'Reels'!D163+'Reels'!D166+'Reels'!D169+'Reels'!D172+'Reels'!D175))</f>
        <v>0.0007345289832894656</v>
      </c>
      <c r="D736">
        <f>IF(OR('Reels'!D133="attack",'Reels'!D133="magic"),CHOOSE('Reels'!D134+1,'Slots'!D29,'Slots'!D30,'Slots'!D31,'Slots'!D32,'Slots'!D33),0)+IF(OR('Reels'!D145="attack",'Reels'!D145="magic"),CHOOSE('Reels'!D146+1,'Slots'!D29,'Slots'!D30,'Slots'!D31,'Slots'!D32,'Slots'!D33),0)+IF(OR('Reels'!D164="attack",'Reels'!D164="magic"),CHOOSE('Reels'!D165+1,'Slots'!D29,'Slots'!D30,'Slots'!D31,'Slots'!D32,'Slots'!D33),0)</f>
        <v>7</v>
      </c>
      <c r="E736">
        <f>IF('Reels'!D133="heal",'Reels'!D134*'Slots'!D24,0)+IF('Reels'!D145="heal",'Reels'!D146*'Slots'!D24,0)+IF('Reels'!D164="heal",'Reels'!D165*'Slots'!D24,0)</f>
        <v>0</v>
      </c>
      <c r="F736">
        <f>IF('Reels'!D133="block",'Reels'!D134*'Slots'!D25,0)+IF('Reels'!D145="block",'Reels'!D146*'Slots'!D25,0)+IF('Reels'!D164="block",'Reels'!D165*'Slots'!D25,0)</f>
        <v>0</v>
      </c>
      <c r="G736" t="b">
        <f>AND('Reels'!D133&lt;&gt;"blank",'Reels'!D133&lt;&gt;"class",'Reels'!D133='Reels'!D164,'Reels'!D134='Reels'!D165,OR('Reels'!D145="class",AND('Reels'!D145='Reels'!D133,'Reels'!D146='Reels'!D134)))</f>
        <v>0</v>
      </c>
      <c r="H736">
        <f>IF(G736,C736,0)</f>
        <v>0</v>
      </c>
    </row>
    <row r="737" spans="1:8" x14ac:dyDescent="0.25">
      <c r="A737" t="s">
        <v>258</v>
      </c>
      <c r="B737" t="s">
        <v>3996</v>
      </c>
      <c r="C737" s="4">
        <f>('Reels'!D135/('Reels'!D120+'Reels'!D123+'Reels'!D126+'Reels'!D129+'Reels'!D132+'Reels'!D135))*('Reels'!D147/('Reels'!D138+'Reels'!D141+'Reels'!D144+'Reels'!D147+'Reels'!D150+'Reels'!D153+'Reels'!D156))*('Reels'!D169/('Reels'!D160+'Reels'!D163+'Reels'!D166+'Reels'!D169+'Reels'!D172+'Reels'!D175))</f>
        <v>0.0004896859888596438</v>
      </c>
      <c r="D737">
        <f>IF(OR('Reels'!D133="attack",'Reels'!D133="magic"),CHOOSE('Reels'!D134+1,'Slots'!D29,'Slots'!D30,'Slots'!D31,'Slots'!D32,'Slots'!D33),0)+IF(OR('Reels'!D145="attack",'Reels'!D145="magic"),CHOOSE('Reels'!D146+1,'Slots'!D29,'Slots'!D30,'Slots'!D31,'Slots'!D32,'Slots'!D33),0)+IF(OR('Reels'!D167="attack",'Reels'!D167="magic"),CHOOSE('Reels'!D168+1,'Slots'!D29,'Slots'!D30,'Slots'!D31,'Slots'!D32,'Slots'!D33),0)</f>
        <v>0</v>
      </c>
      <c r="E737">
        <f>IF('Reels'!D133="heal",'Reels'!D134*'Slots'!D24,0)+IF('Reels'!D145="heal",'Reels'!D146*'Slots'!D24,0)+IF('Reels'!D167="heal",'Reels'!D168*'Slots'!D24,0)</f>
        <v>0</v>
      </c>
      <c r="F737">
        <f>IF('Reels'!D133="block",'Reels'!D134*'Slots'!D25,0)+IF('Reels'!D145="block",'Reels'!D146*'Slots'!D25,0)+IF('Reels'!D167="block",'Reels'!D168*'Slots'!D25,0)</f>
        <v>0</v>
      </c>
      <c r="G737" t="b">
        <f>AND('Reels'!D133&lt;&gt;"blank",'Reels'!D133&lt;&gt;"class",'Reels'!D133='Reels'!D167,'Reels'!D134='Reels'!D168,OR('Reels'!D145="class",AND('Reels'!D145='Reels'!D133,'Reels'!D146='Reels'!D134)))</f>
        <v>0</v>
      </c>
      <c r="H737">
        <f>IF(G737,C737,0)</f>
        <v>0</v>
      </c>
    </row>
    <row r="738" spans="1:8" x14ac:dyDescent="0.25">
      <c r="A738" t="s">
        <v>258</v>
      </c>
      <c r="B738" t="s">
        <v>3997</v>
      </c>
      <c r="C738" s="4">
        <f>('Reels'!D135/('Reels'!D120+'Reels'!D123+'Reels'!D126+'Reels'!D129+'Reels'!D132+'Reels'!D135))*('Reels'!D147/('Reels'!D138+'Reels'!D141+'Reels'!D144+'Reels'!D147+'Reels'!D150+'Reels'!D153+'Reels'!D156))*('Reels'!D172/('Reels'!D160+'Reels'!D163+'Reels'!D166+'Reels'!D169+'Reels'!D172+'Reels'!D175))</f>
        <v>0.0002448429944298219</v>
      </c>
      <c r="D738">
        <f>IF(OR('Reels'!D133="attack",'Reels'!D133="magic"),CHOOSE('Reels'!D134+1,'Slots'!D29,'Slots'!D30,'Slots'!D31,'Slots'!D32,'Slots'!D33),0)+IF(OR('Reels'!D145="attack",'Reels'!D145="magic"),CHOOSE('Reels'!D146+1,'Slots'!D29,'Slots'!D30,'Slots'!D31,'Slots'!D32,'Slots'!D33),0)+IF(OR('Reels'!D170="attack",'Reels'!D170="magic"),CHOOSE('Reels'!D171+1,'Slots'!D29,'Slots'!D30,'Slots'!D31,'Slots'!D32,'Slots'!D33),0)</f>
        <v>0</v>
      </c>
      <c r="E738">
        <f>IF('Reels'!D133="heal",'Reels'!D134*'Slots'!D24,0)+IF('Reels'!D145="heal",'Reels'!D146*'Slots'!D24,0)+IF('Reels'!D170="heal",'Reels'!D171*'Slots'!D24,0)</f>
        <v>0</v>
      </c>
      <c r="F738">
        <f>IF('Reels'!D133="block",'Reels'!D134*'Slots'!D25,0)+IF('Reels'!D145="block",'Reels'!D146*'Slots'!D25,0)+IF('Reels'!D170="block",'Reels'!D171*'Slots'!D25,0)</f>
        <v>1</v>
      </c>
      <c r="G738" t="b">
        <f>AND('Reels'!D133&lt;&gt;"blank",'Reels'!D133&lt;&gt;"class",'Reels'!D133='Reels'!D170,'Reels'!D134='Reels'!D171,OR('Reels'!D145="class",AND('Reels'!D145='Reels'!D133,'Reels'!D146='Reels'!D134)))</f>
        <v>0</v>
      </c>
      <c r="H738">
        <f>IF(G738,C738,0)</f>
        <v>0</v>
      </c>
    </row>
    <row r="739" spans="1:8" x14ac:dyDescent="0.25">
      <c r="A739" t="s">
        <v>258</v>
      </c>
      <c r="B739" t="s">
        <v>3998</v>
      </c>
      <c r="C739" s="4">
        <f>('Reels'!D135/('Reels'!D120+'Reels'!D123+'Reels'!D126+'Reels'!D129+'Reels'!D132+'Reels'!D135))*('Reels'!D147/('Reels'!D138+'Reels'!D141+'Reels'!D144+'Reels'!D147+'Reels'!D150+'Reels'!D153+'Reels'!D156))*('Reels'!D175/('Reels'!D160+'Reels'!D163+'Reels'!D166+'Reels'!D169+'Reels'!D172+'Reels'!D175))</f>
        <v>0.0009793719777192876</v>
      </c>
      <c r="D739">
        <f>IF(OR('Reels'!D133="attack",'Reels'!D133="magic"),CHOOSE('Reels'!D134+1,'Slots'!D29,'Slots'!D30,'Slots'!D31,'Slots'!D32,'Slots'!D33),0)+IF(OR('Reels'!D145="attack",'Reels'!D145="magic"),CHOOSE('Reels'!D146+1,'Slots'!D29,'Slots'!D30,'Slots'!D31,'Slots'!D32,'Slots'!D33),0)+IF(OR('Reels'!D173="attack",'Reels'!D173="magic"),CHOOSE('Reels'!D174+1,'Slots'!D29,'Slots'!D30,'Slots'!D31,'Slots'!D32,'Slots'!D33),0)</f>
        <v>0</v>
      </c>
      <c r="E739">
        <f>IF('Reels'!D133="heal",'Reels'!D134*'Slots'!D24,0)+IF('Reels'!D145="heal",'Reels'!D146*'Slots'!D24,0)+IF('Reels'!D173="heal",'Reels'!D174*'Slots'!D24,0)</f>
        <v>0</v>
      </c>
      <c r="F739">
        <f>IF('Reels'!D133="block",'Reels'!D134*'Slots'!D25,0)+IF('Reels'!D145="block",'Reels'!D146*'Slots'!D25,0)+IF('Reels'!D173="block",'Reels'!D174*'Slots'!D25,0)</f>
        <v>0</v>
      </c>
      <c r="G739" t="b">
        <f>AND('Reels'!D133&lt;&gt;"blank",'Reels'!D133&lt;&gt;"class",'Reels'!D133='Reels'!D173,'Reels'!D134='Reels'!D174,OR('Reels'!D145="class",AND('Reels'!D145='Reels'!D133,'Reels'!D146='Reels'!D134)))</f>
        <v>0</v>
      </c>
      <c r="H739">
        <f>IF(G739,C739,0)</f>
        <v>0</v>
      </c>
    </row>
    <row r="740" spans="1:8" x14ac:dyDescent="0.25">
      <c r="A740" t="s">
        <v>258</v>
      </c>
      <c r="B740" t="s">
        <v>3587</v>
      </c>
      <c r="C740" s="4">
        <f>('Reels'!D135/('Reels'!D120+'Reels'!D123+'Reels'!D126+'Reels'!D129+'Reels'!D132+'Reels'!D135))*('Reels'!D150/('Reels'!D138+'Reels'!D141+'Reels'!D144+'Reels'!D147+'Reels'!D150+'Reels'!D153+'Reels'!D156))*('Reels'!D160/('Reels'!D160+'Reels'!D163+'Reels'!D166+'Reels'!D169+'Reels'!D172+'Reels'!D175))</f>
        <v>0.0013466364693640203</v>
      </c>
      <c r="D740">
        <f>IF(OR('Reels'!D133="attack",'Reels'!D133="magic"),CHOOSE('Reels'!D134+1,'Slots'!D29,'Slots'!D30,'Slots'!D31,'Slots'!D32,'Slots'!D33),0)+IF(OR('Reels'!D148="attack",'Reels'!D148="magic"),CHOOSE('Reels'!D149+1,'Slots'!D29,'Slots'!D30,'Slots'!D31,'Slots'!D32,'Slots'!D33),0)+IF(OR('Reels'!D158="attack",'Reels'!D158="magic"),CHOOSE('Reels'!D159+1,'Slots'!D29,'Slots'!D30,'Slots'!D31,'Slots'!D32,'Slots'!D33),0)</f>
        <v>2</v>
      </c>
      <c r="E740">
        <f>IF('Reels'!D133="heal",'Reels'!D134*'Slots'!D24,0)+IF('Reels'!D148="heal",'Reels'!D149*'Slots'!D24,0)+IF('Reels'!D158="heal",'Reels'!D159*'Slots'!D24,0)</f>
        <v>0</v>
      </c>
      <c r="F740">
        <f>IF('Reels'!D133="block",'Reels'!D134*'Slots'!D25,0)+IF('Reels'!D148="block",'Reels'!D149*'Slots'!D25,0)+IF('Reels'!D158="block",'Reels'!D159*'Slots'!D25,0)</f>
        <v>1</v>
      </c>
      <c r="G740" t="b">
        <f>AND('Reels'!D133&lt;&gt;"blank",'Reels'!D133&lt;&gt;"class",'Reels'!D133='Reels'!D158,'Reels'!D134='Reels'!D159,OR('Reels'!D148="class",AND('Reels'!D148='Reels'!D133,'Reels'!D149='Reels'!D134)))</f>
        <v>0</v>
      </c>
      <c r="H740">
        <f>IF(G740,C740,0)</f>
        <v>0</v>
      </c>
    </row>
    <row r="741" spans="1:8" x14ac:dyDescent="0.25">
      <c r="A741" t="s">
        <v>258</v>
      </c>
      <c r="B741" t="s">
        <v>3588</v>
      </c>
      <c r="C741" s="4">
        <f>('Reels'!D135/('Reels'!D120+'Reels'!D123+'Reels'!D126+'Reels'!D129+'Reels'!D132+'Reels'!D135))*('Reels'!D150/('Reels'!D138+'Reels'!D141+'Reels'!D144+'Reels'!D147+'Reels'!D150+'Reels'!D153+'Reels'!D156))*('Reels'!D163/('Reels'!D160+'Reels'!D163+'Reels'!D166+'Reels'!D169+'Reels'!D172+'Reels'!D175))</f>
        <v>0.0012242149721491094</v>
      </c>
      <c r="D741">
        <f>IF(OR('Reels'!D133="attack",'Reels'!D133="magic"),CHOOSE('Reels'!D134+1,'Slots'!D29,'Slots'!D30,'Slots'!D31,'Slots'!D32,'Slots'!D33),0)+IF(OR('Reels'!D148="attack",'Reels'!D148="magic"),CHOOSE('Reels'!D149+1,'Slots'!D29,'Slots'!D30,'Slots'!D31,'Slots'!D32,'Slots'!D33),0)+IF(OR('Reels'!D161="attack",'Reels'!D161="magic"),CHOOSE('Reels'!D162+1,'Slots'!D29,'Slots'!D30,'Slots'!D31,'Slots'!D32,'Slots'!D33),0)</f>
        <v>4</v>
      </c>
      <c r="E741">
        <f>IF('Reels'!D133="heal",'Reels'!D134*'Slots'!D24,0)+IF('Reels'!D148="heal",'Reels'!D149*'Slots'!D24,0)+IF('Reels'!D161="heal",'Reels'!D162*'Slots'!D24,0)</f>
        <v>0</v>
      </c>
      <c r="F741">
        <f>IF('Reels'!D133="block",'Reels'!D134*'Slots'!D25,0)+IF('Reels'!D148="block",'Reels'!D149*'Slots'!D25,0)+IF('Reels'!D161="block",'Reels'!D162*'Slots'!D25,0)</f>
        <v>1</v>
      </c>
      <c r="G741" t="b">
        <f>AND('Reels'!D133&lt;&gt;"blank",'Reels'!D133&lt;&gt;"class",'Reels'!D133='Reels'!D161,'Reels'!D134='Reels'!D162,OR('Reels'!D148="class",AND('Reels'!D148='Reels'!D133,'Reels'!D149='Reels'!D134)))</f>
        <v>0</v>
      </c>
      <c r="H741">
        <f>IF(G741,C741,0)</f>
        <v>0</v>
      </c>
    </row>
    <row r="742" spans="1:8" x14ac:dyDescent="0.25">
      <c r="A742" t="s">
        <v>258</v>
      </c>
      <c r="B742" t="s">
        <v>3999</v>
      </c>
      <c r="C742" s="4">
        <f>('Reels'!D135/('Reels'!D120+'Reels'!D123+'Reels'!D126+'Reels'!D129+'Reels'!D132+'Reels'!D135))*('Reels'!D150/('Reels'!D138+'Reels'!D141+'Reels'!D144+'Reels'!D147+'Reels'!D150+'Reels'!D153+'Reels'!D156))*('Reels'!D166/('Reels'!D160+'Reels'!D163+'Reels'!D166+'Reels'!D169+'Reels'!D172+'Reels'!D175))</f>
        <v>0.0003672644916447328</v>
      </c>
      <c r="D742">
        <f>IF(OR('Reels'!D133="attack",'Reels'!D133="magic"),CHOOSE('Reels'!D134+1,'Slots'!D29,'Slots'!D30,'Slots'!D31,'Slots'!D32,'Slots'!D33),0)+IF(OR('Reels'!D148="attack",'Reels'!D148="magic"),CHOOSE('Reels'!D149+1,'Slots'!D29,'Slots'!D30,'Slots'!D31,'Slots'!D32,'Slots'!D33),0)+IF(OR('Reels'!D164="attack",'Reels'!D164="magic"),CHOOSE('Reels'!D165+1,'Slots'!D29,'Slots'!D30,'Slots'!D31,'Slots'!D32,'Slots'!D33),0)</f>
        <v>7</v>
      </c>
      <c r="E742">
        <f>IF('Reels'!D133="heal",'Reels'!D134*'Slots'!D24,0)+IF('Reels'!D148="heal",'Reels'!D149*'Slots'!D24,0)+IF('Reels'!D164="heal",'Reels'!D165*'Slots'!D24,0)</f>
        <v>0</v>
      </c>
      <c r="F742">
        <f>IF('Reels'!D133="block",'Reels'!D134*'Slots'!D25,0)+IF('Reels'!D148="block",'Reels'!D149*'Slots'!D25,0)+IF('Reels'!D164="block",'Reels'!D165*'Slots'!D25,0)</f>
        <v>1</v>
      </c>
      <c r="G742" t="b">
        <f>AND('Reels'!D133&lt;&gt;"blank",'Reels'!D133&lt;&gt;"class",'Reels'!D133='Reels'!D164,'Reels'!D134='Reels'!D165,OR('Reels'!D148="class",AND('Reels'!D148='Reels'!D133,'Reels'!D149='Reels'!D134)))</f>
        <v>0</v>
      </c>
      <c r="H742">
        <f>IF(G742,C742,0)</f>
        <v>0</v>
      </c>
    </row>
    <row r="743" spans="1:8" x14ac:dyDescent="0.25">
      <c r="A743" t="s">
        <v>258</v>
      </c>
      <c r="B743" t="s">
        <v>4000</v>
      </c>
      <c r="C743" s="4">
        <f>('Reels'!D135/('Reels'!D120+'Reels'!D123+'Reels'!D126+'Reels'!D129+'Reels'!D132+'Reels'!D135))*('Reels'!D150/('Reels'!D138+'Reels'!D141+'Reels'!D144+'Reels'!D147+'Reels'!D150+'Reels'!D153+'Reels'!D156))*('Reels'!D169/('Reels'!D160+'Reels'!D163+'Reels'!D166+'Reels'!D169+'Reels'!D172+'Reels'!D175))</f>
        <v>0.0002448429944298219</v>
      </c>
      <c r="D743">
        <f>IF(OR('Reels'!D133="attack",'Reels'!D133="magic"),CHOOSE('Reels'!D134+1,'Slots'!D29,'Slots'!D30,'Slots'!D31,'Slots'!D32,'Slots'!D33),0)+IF(OR('Reels'!D148="attack",'Reels'!D148="magic"),CHOOSE('Reels'!D149+1,'Slots'!D29,'Slots'!D30,'Slots'!D31,'Slots'!D32,'Slots'!D33),0)+IF(OR('Reels'!D167="attack",'Reels'!D167="magic"),CHOOSE('Reels'!D168+1,'Slots'!D29,'Slots'!D30,'Slots'!D31,'Slots'!D32,'Slots'!D33),0)</f>
        <v>0</v>
      </c>
      <c r="E743">
        <f>IF('Reels'!D133="heal",'Reels'!D134*'Slots'!D24,0)+IF('Reels'!D148="heal",'Reels'!D149*'Slots'!D24,0)+IF('Reels'!D167="heal",'Reels'!D168*'Slots'!D24,0)</f>
        <v>0</v>
      </c>
      <c r="F743">
        <f>IF('Reels'!D133="block",'Reels'!D134*'Slots'!D25,0)+IF('Reels'!D148="block",'Reels'!D149*'Slots'!D25,0)+IF('Reels'!D167="block",'Reels'!D168*'Slots'!D25,0)</f>
        <v>1</v>
      </c>
      <c r="G743" t="b">
        <f>AND('Reels'!D133&lt;&gt;"blank",'Reels'!D133&lt;&gt;"class",'Reels'!D133='Reels'!D167,'Reels'!D134='Reels'!D168,OR('Reels'!D148="class",AND('Reels'!D148='Reels'!D133,'Reels'!D149='Reels'!D134)))</f>
        <v>0</v>
      </c>
      <c r="H743">
        <f>IF(G743,C743,0)</f>
        <v>0</v>
      </c>
    </row>
    <row r="744" spans="1:8" x14ac:dyDescent="0.25">
      <c r="A744" t="s">
        <v>258</v>
      </c>
      <c r="B744" t="s">
        <v>3589</v>
      </c>
      <c r="C744" s="4">
        <f>('Reels'!D135/('Reels'!D120+'Reels'!D123+'Reels'!D126+'Reels'!D129+'Reels'!D132+'Reels'!D135))*('Reels'!D150/('Reels'!D138+'Reels'!D141+'Reels'!D144+'Reels'!D147+'Reels'!D150+'Reels'!D153+'Reels'!D156))*('Reels'!D172/('Reels'!D160+'Reels'!D163+'Reels'!D166+'Reels'!D169+'Reels'!D172+'Reels'!D175))</f>
        <v>0.00012242149721491095</v>
      </c>
      <c r="D744">
        <f>IF(OR('Reels'!D133="attack",'Reels'!D133="magic"),CHOOSE('Reels'!D134+1,'Slots'!D29,'Slots'!D30,'Slots'!D31,'Slots'!D32,'Slots'!D33),0)+IF(OR('Reels'!D148="attack",'Reels'!D148="magic"),CHOOSE('Reels'!D149+1,'Slots'!D29,'Slots'!D30,'Slots'!D31,'Slots'!D32,'Slots'!D33),0)+IF(OR('Reels'!D170="attack",'Reels'!D170="magic"),CHOOSE('Reels'!D171+1,'Slots'!D29,'Slots'!D30,'Slots'!D31,'Slots'!D32,'Slots'!D33),0)</f>
        <v>0</v>
      </c>
      <c r="E744">
        <f>IF('Reels'!D133="heal",'Reels'!D134*'Slots'!D24,0)+IF('Reels'!D148="heal",'Reels'!D149*'Slots'!D24,0)+IF('Reels'!D170="heal",'Reels'!D171*'Slots'!D24,0)</f>
        <v>0</v>
      </c>
      <c r="F744">
        <f>IF('Reels'!D133="block",'Reels'!D134*'Slots'!D25,0)+IF('Reels'!D148="block",'Reels'!D149*'Slots'!D25,0)+IF('Reels'!D170="block",'Reels'!D171*'Slots'!D25,0)</f>
        <v>2</v>
      </c>
      <c r="G744" t="b">
        <f>AND('Reels'!D133&lt;&gt;"blank",'Reels'!D133&lt;&gt;"class",'Reels'!D133='Reels'!D170,'Reels'!D134='Reels'!D171,OR('Reels'!D148="class",AND('Reels'!D148='Reels'!D133,'Reels'!D149='Reels'!D134)))</f>
        <v>0</v>
      </c>
      <c r="H744">
        <f>IF(G744,C744,0)</f>
        <v>0</v>
      </c>
    </row>
    <row r="745" spans="1:8" x14ac:dyDescent="0.25">
      <c r="A745" t="s">
        <v>258</v>
      </c>
      <c r="B745" t="s">
        <v>3592</v>
      </c>
      <c r="C745" s="4">
        <f>('Reels'!D135/('Reels'!D120+'Reels'!D123+'Reels'!D126+'Reels'!D129+'Reels'!D132+'Reels'!D135))*('Reels'!D150/('Reels'!D138+'Reels'!D141+'Reels'!D144+'Reels'!D147+'Reels'!D150+'Reels'!D153+'Reels'!D156))*('Reels'!D175/('Reels'!D160+'Reels'!D163+'Reels'!D166+'Reels'!D169+'Reels'!D172+'Reels'!D175))</f>
        <v>0.0004896859888596438</v>
      </c>
      <c r="D745">
        <f>IF(OR('Reels'!D133="attack",'Reels'!D133="magic"),CHOOSE('Reels'!D134+1,'Slots'!D29,'Slots'!D30,'Slots'!D31,'Slots'!D32,'Slots'!D33),0)+IF(OR('Reels'!D148="attack",'Reels'!D148="magic"),CHOOSE('Reels'!D149+1,'Slots'!D29,'Slots'!D30,'Slots'!D31,'Slots'!D32,'Slots'!D33),0)+IF(OR('Reels'!D173="attack",'Reels'!D173="magic"),CHOOSE('Reels'!D174+1,'Slots'!D29,'Slots'!D30,'Slots'!D31,'Slots'!D32,'Slots'!D33),0)</f>
        <v>0</v>
      </c>
      <c r="E745">
        <f>IF('Reels'!D133="heal",'Reels'!D134*'Slots'!D24,0)+IF('Reels'!D148="heal",'Reels'!D149*'Slots'!D24,0)+IF('Reels'!D173="heal",'Reels'!D174*'Slots'!D24,0)</f>
        <v>0</v>
      </c>
      <c r="F745">
        <f>IF('Reels'!D133="block",'Reels'!D134*'Slots'!D25,0)+IF('Reels'!D148="block",'Reels'!D149*'Slots'!D25,0)+IF('Reels'!D173="block",'Reels'!D174*'Slots'!D25,0)</f>
        <v>1</v>
      </c>
      <c r="G745" t="b">
        <f>AND('Reels'!D133&lt;&gt;"blank",'Reels'!D133&lt;&gt;"class",'Reels'!D133='Reels'!D173,'Reels'!D134='Reels'!D174,OR('Reels'!D148="class",AND('Reels'!D148='Reels'!D133,'Reels'!D149='Reels'!D134)))</f>
        <v>0</v>
      </c>
      <c r="H745">
        <f>IF(G745,C745,0)</f>
        <v>0</v>
      </c>
    </row>
    <row r="746" spans="1:8" x14ac:dyDescent="0.25">
      <c r="A746" t="s">
        <v>258</v>
      </c>
      <c r="B746" t="s">
        <v>3605</v>
      </c>
      <c r="C746" s="4">
        <f>('Reels'!D135/('Reels'!D120+'Reels'!D123+'Reels'!D126+'Reels'!D129+'Reels'!D132+'Reels'!D135))*('Reels'!D153/('Reels'!D138+'Reels'!D141+'Reels'!D144+'Reels'!D147+'Reels'!D150+'Reels'!D153+'Reels'!D156))*('Reels'!D160/('Reels'!D160+'Reels'!D163+'Reels'!D166+'Reels'!D169+'Reels'!D172+'Reels'!D175))</f>
        <v>0.005386545877456081</v>
      </c>
      <c r="D746">
        <f>IF(OR('Reels'!D133="attack",'Reels'!D133="magic"),CHOOSE('Reels'!D134+1,'Slots'!D29,'Slots'!D30,'Slots'!D31,'Slots'!D32,'Slots'!D33),0)+IF(OR('Reels'!D151="attack",'Reels'!D151="magic"),CHOOSE('Reels'!D152+1,'Slots'!D29,'Slots'!D30,'Slots'!D31,'Slots'!D32,'Slots'!D33),0)+IF(OR('Reels'!D158="attack",'Reels'!D158="magic"),CHOOSE('Reels'!D159+1,'Slots'!D29,'Slots'!D30,'Slots'!D31,'Slots'!D32,'Slots'!D33),0)</f>
        <v>2</v>
      </c>
      <c r="E746">
        <f>IF('Reels'!D133="heal",'Reels'!D134*'Slots'!D24,0)+IF('Reels'!D151="heal",'Reels'!D152*'Slots'!D24,0)+IF('Reels'!D158="heal",'Reels'!D159*'Slots'!D24,0)</f>
        <v>0</v>
      </c>
      <c r="F746">
        <f>IF('Reels'!D133="block",'Reels'!D134*'Slots'!D25,0)+IF('Reels'!D151="block",'Reels'!D152*'Slots'!D25,0)+IF('Reels'!D158="block",'Reels'!D159*'Slots'!D25,0)</f>
        <v>0</v>
      </c>
      <c r="G746" t="b">
        <f>AND('Reels'!D133&lt;&gt;"blank",'Reels'!D133&lt;&gt;"class",'Reels'!D133='Reels'!D158,'Reels'!D134='Reels'!D159,OR('Reels'!D151="class",AND('Reels'!D151='Reels'!D133,'Reels'!D152='Reels'!D134)))</f>
        <v>0</v>
      </c>
      <c r="H746">
        <f>IF(G746,C746,0)</f>
        <v>0</v>
      </c>
    </row>
    <row r="747" spans="1:8" x14ac:dyDescent="0.25">
      <c r="A747" t="s">
        <v>258</v>
      </c>
      <c r="B747" t="s">
        <v>3606</v>
      </c>
      <c r="C747" s="4">
        <f>('Reels'!D135/('Reels'!D120+'Reels'!D123+'Reels'!D126+'Reels'!D129+'Reels'!D132+'Reels'!D135))*('Reels'!D153/('Reels'!D138+'Reels'!D141+'Reels'!D144+'Reels'!D147+'Reels'!D150+'Reels'!D153+'Reels'!D156))*('Reels'!D163/('Reels'!D160+'Reels'!D163+'Reels'!D166+'Reels'!D169+'Reels'!D172+'Reels'!D175))</f>
        <v>0.004896859888596438</v>
      </c>
      <c r="D747">
        <f>IF(OR('Reels'!D133="attack",'Reels'!D133="magic"),CHOOSE('Reels'!D134+1,'Slots'!D29,'Slots'!D30,'Slots'!D31,'Slots'!D32,'Slots'!D33),0)+IF(OR('Reels'!D151="attack",'Reels'!D151="magic"),CHOOSE('Reels'!D152+1,'Slots'!D29,'Slots'!D30,'Slots'!D31,'Slots'!D32,'Slots'!D33),0)+IF(OR('Reels'!D161="attack",'Reels'!D161="magic"),CHOOSE('Reels'!D162+1,'Slots'!D29,'Slots'!D30,'Slots'!D31,'Slots'!D32,'Slots'!D33),0)</f>
        <v>4</v>
      </c>
      <c r="E747">
        <f>IF('Reels'!D133="heal",'Reels'!D134*'Slots'!D24,0)+IF('Reels'!D151="heal",'Reels'!D152*'Slots'!D24,0)+IF('Reels'!D161="heal",'Reels'!D162*'Slots'!D24,0)</f>
        <v>0</v>
      </c>
      <c r="F747">
        <f>IF('Reels'!D133="block",'Reels'!D134*'Slots'!D25,0)+IF('Reels'!D151="block",'Reels'!D152*'Slots'!D25,0)+IF('Reels'!D161="block",'Reels'!D162*'Slots'!D25,0)</f>
        <v>0</v>
      </c>
      <c r="G747" t="b">
        <f>AND('Reels'!D133&lt;&gt;"blank",'Reels'!D133&lt;&gt;"class",'Reels'!D133='Reels'!D161,'Reels'!D134='Reels'!D162,OR('Reels'!D151="class",AND('Reels'!D151='Reels'!D133,'Reels'!D152='Reels'!D134)))</f>
        <v>0</v>
      </c>
      <c r="H747">
        <f>IF(G747,C747,0)</f>
        <v>0</v>
      </c>
    </row>
    <row r="748" spans="1:8" x14ac:dyDescent="0.25">
      <c r="A748" t="s">
        <v>258</v>
      </c>
      <c r="B748" t="s">
        <v>4001</v>
      </c>
      <c r="C748" s="4">
        <f>('Reels'!D135/('Reels'!D120+'Reels'!D123+'Reels'!D126+'Reels'!D129+'Reels'!D132+'Reels'!D135))*('Reels'!D153/('Reels'!D138+'Reels'!D141+'Reels'!D144+'Reels'!D147+'Reels'!D150+'Reels'!D153+'Reels'!D156))*('Reels'!D166/('Reels'!D160+'Reels'!D163+'Reels'!D166+'Reels'!D169+'Reels'!D172+'Reels'!D175))</f>
        <v>0.0014690579665789312</v>
      </c>
      <c r="D748">
        <f>IF(OR('Reels'!D133="attack",'Reels'!D133="magic"),CHOOSE('Reels'!D134+1,'Slots'!D29,'Slots'!D30,'Slots'!D31,'Slots'!D32,'Slots'!D33),0)+IF(OR('Reels'!D151="attack",'Reels'!D151="magic"),CHOOSE('Reels'!D152+1,'Slots'!D29,'Slots'!D30,'Slots'!D31,'Slots'!D32,'Slots'!D33),0)+IF(OR('Reels'!D164="attack",'Reels'!D164="magic"),CHOOSE('Reels'!D165+1,'Slots'!D29,'Slots'!D30,'Slots'!D31,'Slots'!D32,'Slots'!D33),0)</f>
        <v>7</v>
      </c>
      <c r="E748">
        <f>IF('Reels'!D133="heal",'Reels'!D134*'Slots'!D24,0)+IF('Reels'!D151="heal",'Reels'!D152*'Slots'!D24,0)+IF('Reels'!D164="heal",'Reels'!D165*'Slots'!D24,0)</f>
        <v>0</v>
      </c>
      <c r="F748">
        <f>IF('Reels'!D133="block",'Reels'!D134*'Slots'!D25,0)+IF('Reels'!D151="block",'Reels'!D152*'Slots'!D25,0)+IF('Reels'!D164="block",'Reels'!D165*'Slots'!D25,0)</f>
        <v>0</v>
      </c>
      <c r="G748" t="b">
        <f>AND('Reels'!D133&lt;&gt;"blank",'Reels'!D133&lt;&gt;"class",'Reels'!D133='Reels'!D164,'Reels'!D134='Reels'!D165,OR('Reels'!D151="class",AND('Reels'!D151='Reels'!D133,'Reels'!D152='Reels'!D134)))</f>
        <v>0</v>
      </c>
      <c r="H748">
        <f>IF(G748,C748,0)</f>
        <v>0</v>
      </c>
    </row>
    <row r="749" spans="1:8" x14ac:dyDescent="0.25">
      <c r="A749" t="s">
        <v>258</v>
      </c>
      <c r="B749" t="s">
        <v>4002</v>
      </c>
      <c r="C749" s="4">
        <f>('Reels'!D135/('Reels'!D120+'Reels'!D123+'Reels'!D126+'Reels'!D129+'Reels'!D132+'Reels'!D135))*('Reels'!D153/('Reels'!D138+'Reels'!D141+'Reels'!D144+'Reels'!D147+'Reels'!D150+'Reels'!D153+'Reels'!D156))*('Reels'!D169/('Reels'!D160+'Reels'!D163+'Reels'!D166+'Reels'!D169+'Reels'!D172+'Reels'!D175))</f>
        <v>0.0009793719777192876</v>
      </c>
      <c r="D749">
        <f>IF(OR('Reels'!D133="attack",'Reels'!D133="magic"),CHOOSE('Reels'!D134+1,'Slots'!D29,'Slots'!D30,'Slots'!D31,'Slots'!D32,'Slots'!D33),0)+IF(OR('Reels'!D151="attack",'Reels'!D151="magic"),CHOOSE('Reels'!D152+1,'Slots'!D29,'Slots'!D30,'Slots'!D31,'Slots'!D32,'Slots'!D33),0)+IF(OR('Reels'!D167="attack",'Reels'!D167="magic"),CHOOSE('Reels'!D168+1,'Slots'!D29,'Slots'!D30,'Slots'!D31,'Slots'!D32,'Slots'!D33),0)</f>
        <v>0</v>
      </c>
      <c r="E749">
        <f>IF('Reels'!D133="heal",'Reels'!D134*'Slots'!D24,0)+IF('Reels'!D151="heal",'Reels'!D152*'Slots'!D24,0)+IF('Reels'!D167="heal",'Reels'!D168*'Slots'!D24,0)</f>
        <v>0</v>
      </c>
      <c r="F749">
        <f>IF('Reels'!D133="block",'Reels'!D134*'Slots'!D25,0)+IF('Reels'!D151="block",'Reels'!D152*'Slots'!D25,0)+IF('Reels'!D167="block",'Reels'!D168*'Slots'!D25,0)</f>
        <v>0</v>
      </c>
      <c r="G749" t="b">
        <f>AND('Reels'!D133&lt;&gt;"blank",'Reels'!D133&lt;&gt;"class",'Reels'!D133='Reels'!D167,'Reels'!D134='Reels'!D168,OR('Reels'!D151="class",AND('Reels'!D151='Reels'!D133,'Reels'!D152='Reels'!D134)))</f>
        <v>0</v>
      </c>
      <c r="H749">
        <f>IF(G749,C749,0)</f>
        <v>0</v>
      </c>
    </row>
    <row r="750" spans="1:8" x14ac:dyDescent="0.25">
      <c r="A750" t="s">
        <v>258</v>
      </c>
      <c r="B750" t="s">
        <v>3607</v>
      </c>
      <c r="C750" s="4">
        <f>('Reels'!D135/('Reels'!D120+'Reels'!D123+'Reels'!D126+'Reels'!D129+'Reels'!D132+'Reels'!D135))*('Reels'!D153/('Reels'!D138+'Reels'!D141+'Reels'!D144+'Reels'!D147+'Reels'!D150+'Reels'!D153+'Reels'!D156))*('Reels'!D172/('Reels'!D160+'Reels'!D163+'Reels'!D166+'Reels'!D169+'Reels'!D172+'Reels'!D175))</f>
        <v>0.0004896859888596438</v>
      </c>
      <c r="D750">
        <f>IF(OR('Reels'!D133="attack",'Reels'!D133="magic"),CHOOSE('Reels'!D134+1,'Slots'!D29,'Slots'!D30,'Slots'!D31,'Slots'!D32,'Slots'!D33),0)+IF(OR('Reels'!D151="attack",'Reels'!D151="magic"),CHOOSE('Reels'!D152+1,'Slots'!D29,'Slots'!D30,'Slots'!D31,'Slots'!D32,'Slots'!D33),0)+IF(OR('Reels'!D170="attack",'Reels'!D170="magic"),CHOOSE('Reels'!D171+1,'Slots'!D29,'Slots'!D30,'Slots'!D31,'Slots'!D32,'Slots'!D33),0)</f>
        <v>0</v>
      </c>
      <c r="E750">
        <f>IF('Reels'!D133="heal",'Reels'!D134*'Slots'!D24,0)+IF('Reels'!D151="heal",'Reels'!D152*'Slots'!D24,0)+IF('Reels'!D170="heal",'Reels'!D171*'Slots'!D24,0)</f>
        <v>0</v>
      </c>
      <c r="F750">
        <f>IF('Reels'!D133="block",'Reels'!D134*'Slots'!D25,0)+IF('Reels'!D151="block",'Reels'!D152*'Slots'!D25,0)+IF('Reels'!D170="block",'Reels'!D171*'Slots'!D25,0)</f>
        <v>1</v>
      </c>
      <c r="G750" t="b">
        <f>AND('Reels'!D133&lt;&gt;"blank",'Reels'!D133&lt;&gt;"class",'Reels'!D133='Reels'!D170,'Reels'!D134='Reels'!D171,OR('Reels'!D151="class",AND('Reels'!D151='Reels'!D133,'Reels'!D152='Reels'!D134)))</f>
        <v>0</v>
      </c>
      <c r="H750">
        <f>IF(G750,C750,0)</f>
        <v>0</v>
      </c>
    </row>
    <row r="751" spans="1:8" x14ac:dyDescent="0.25">
      <c r="A751" t="s">
        <v>258</v>
      </c>
      <c r="B751" t="s">
        <v>3610</v>
      </c>
      <c r="C751" s="4">
        <f>('Reels'!D135/('Reels'!D120+'Reels'!D123+'Reels'!D126+'Reels'!D129+'Reels'!D132+'Reels'!D135))*('Reels'!D153/('Reels'!D138+'Reels'!D141+'Reels'!D144+'Reels'!D147+'Reels'!D150+'Reels'!D153+'Reels'!D156))*('Reels'!D175/('Reels'!D160+'Reels'!D163+'Reels'!D166+'Reels'!D169+'Reels'!D172+'Reels'!D175))</f>
        <v>0.0019587439554385752</v>
      </c>
      <c r="D751">
        <f>IF(OR('Reels'!D133="attack",'Reels'!D133="magic"),CHOOSE('Reels'!D134+1,'Slots'!D29,'Slots'!D30,'Slots'!D31,'Slots'!D32,'Slots'!D33),0)+IF(OR('Reels'!D151="attack",'Reels'!D151="magic"),CHOOSE('Reels'!D152+1,'Slots'!D29,'Slots'!D30,'Slots'!D31,'Slots'!D32,'Slots'!D33),0)+IF(OR('Reels'!D173="attack",'Reels'!D173="magic"),CHOOSE('Reels'!D174+1,'Slots'!D29,'Slots'!D30,'Slots'!D31,'Slots'!D32,'Slots'!D33),0)</f>
        <v>0</v>
      </c>
      <c r="E751">
        <f>IF('Reels'!D133="heal",'Reels'!D134*'Slots'!D24,0)+IF('Reels'!D151="heal",'Reels'!D152*'Slots'!D24,0)+IF('Reels'!D173="heal",'Reels'!D174*'Slots'!D24,0)</f>
        <v>0</v>
      </c>
      <c r="F751">
        <f>IF('Reels'!D133="block",'Reels'!D134*'Slots'!D25,0)+IF('Reels'!D151="block",'Reels'!D152*'Slots'!D25,0)+IF('Reels'!D173="block",'Reels'!D174*'Slots'!D25,0)</f>
        <v>0</v>
      </c>
      <c r="G751" t="b">
        <f>AND('Reels'!D133&lt;&gt;"blank",'Reels'!D133&lt;&gt;"class",'Reels'!D133='Reels'!D173,'Reels'!D134='Reels'!D174,OR('Reels'!D151="class",AND('Reels'!D151='Reels'!D133,'Reels'!D152='Reels'!D134)))</f>
        <v>0</v>
      </c>
      <c r="H751">
        <f>IF(G751,C751,0)</f>
        <v>0</v>
      </c>
    </row>
    <row r="752" spans="1:8" x14ac:dyDescent="0.25">
      <c r="A752" t="s">
        <v>258</v>
      </c>
      <c r="B752" t="s">
        <v>3611</v>
      </c>
      <c r="C752" s="4">
        <f>('Reels'!D135/('Reels'!D120+'Reels'!D123+'Reels'!D126+'Reels'!D129+'Reels'!D132+'Reels'!D135))*('Reels'!D156/('Reels'!D138+'Reels'!D141+'Reels'!D144+'Reels'!D147+'Reels'!D150+'Reels'!D153+'Reels'!D156))*('Reels'!D160/('Reels'!D160+'Reels'!D163+'Reels'!D166+'Reels'!D169+'Reels'!D172+'Reels'!D175))</f>
        <v>0.004039909408092061</v>
      </c>
      <c r="D752">
        <f>IF(OR('Reels'!D133="attack",'Reels'!D133="magic"),CHOOSE('Reels'!D134+1,'Slots'!D29,'Slots'!D30,'Slots'!D31,'Slots'!D32,'Slots'!D33),0)+IF(OR('Reels'!D154="attack",'Reels'!D154="magic"),CHOOSE('Reels'!D155+1,'Slots'!D29,'Slots'!D30,'Slots'!D31,'Slots'!D32,'Slots'!D33),0)+IF(OR('Reels'!D158="attack",'Reels'!D158="magic"),CHOOSE('Reels'!D159+1,'Slots'!D29,'Slots'!D30,'Slots'!D31,'Slots'!D32,'Slots'!D33),0)</f>
        <v>2</v>
      </c>
      <c r="E752">
        <f>IF('Reels'!D133="heal",'Reels'!D134*'Slots'!D24,0)+IF('Reels'!D154="heal",'Reels'!D155*'Slots'!D24,0)+IF('Reels'!D158="heal",'Reels'!D159*'Slots'!D24,0)</f>
        <v>0</v>
      </c>
      <c r="F752">
        <f>IF('Reels'!D133="block",'Reels'!D134*'Slots'!D25,0)+IF('Reels'!D154="block",'Reels'!D155*'Slots'!D25,0)+IF('Reels'!D158="block",'Reels'!D159*'Slots'!D25,0)</f>
        <v>0</v>
      </c>
      <c r="G752" t="b">
        <f>AND('Reels'!D133&lt;&gt;"blank",'Reels'!D133&lt;&gt;"class",'Reels'!D133='Reels'!D158,'Reels'!D134='Reels'!D159,OR('Reels'!D154="class",AND('Reels'!D154='Reels'!D133,'Reels'!D155='Reels'!D134)))</f>
        <v>0</v>
      </c>
      <c r="H752">
        <f>IF(G752,C752,0)</f>
        <v>0</v>
      </c>
    </row>
    <row r="753" spans="1:8" x14ac:dyDescent="0.25">
      <c r="A753" t="s">
        <v>258</v>
      </c>
      <c r="B753" t="s">
        <v>3612</v>
      </c>
      <c r="C753" s="4">
        <f>('Reels'!D135/('Reels'!D120+'Reels'!D123+'Reels'!D126+'Reels'!D129+'Reels'!D132+'Reels'!D135))*('Reels'!D156/('Reels'!D138+'Reels'!D141+'Reels'!D144+'Reels'!D147+'Reels'!D150+'Reels'!D153+'Reels'!D156))*('Reels'!D163/('Reels'!D160+'Reels'!D163+'Reels'!D166+'Reels'!D169+'Reels'!D172+'Reels'!D175))</f>
        <v>0.003672644916447328</v>
      </c>
      <c r="D753">
        <f>IF(OR('Reels'!D133="attack",'Reels'!D133="magic"),CHOOSE('Reels'!D134+1,'Slots'!D29,'Slots'!D30,'Slots'!D31,'Slots'!D32,'Slots'!D33),0)+IF(OR('Reels'!D154="attack",'Reels'!D154="magic"),CHOOSE('Reels'!D155+1,'Slots'!D29,'Slots'!D30,'Slots'!D31,'Slots'!D32,'Slots'!D33),0)+IF(OR('Reels'!D161="attack",'Reels'!D161="magic"),CHOOSE('Reels'!D162+1,'Slots'!D29,'Slots'!D30,'Slots'!D31,'Slots'!D32,'Slots'!D33),0)</f>
        <v>4</v>
      </c>
      <c r="E753">
        <f>IF('Reels'!D133="heal",'Reels'!D134*'Slots'!D24,0)+IF('Reels'!D154="heal",'Reels'!D155*'Slots'!D24,0)+IF('Reels'!D161="heal",'Reels'!D162*'Slots'!D24,0)</f>
        <v>0</v>
      </c>
      <c r="F753">
        <f>IF('Reels'!D133="block",'Reels'!D134*'Slots'!D25,0)+IF('Reels'!D154="block",'Reels'!D155*'Slots'!D25,0)+IF('Reels'!D161="block",'Reels'!D162*'Slots'!D25,0)</f>
        <v>0</v>
      </c>
      <c r="G753" t="b">
        <f>AND('Reels'!D133&lt;&gt;"blank",'Reels'!D133&lt;&gt;"class",'Reels'!D133='Reels'!D161,'Reels'!D134='Reels'!D162,OR('Reels'!D154="class",AND('Reels'!D154='Reels'!D133,'Reels'!D155='Reels'!D134)))</f>
        <v>0</v>
      </c>
      <c r="H753">
        <f>IF(G753,C753,0)</f>
        <v>0</v>
      </c>
    </row>
    <row r="754" spans="1:8" x14ac:dyDescent="0.25">
      <c r="A754" t="s">
        <v>258</v>
      </c>
      <c r="B754" t="s">
        <v>4003</v>
      </c>
      <c r="C754" s="4">
        <f>('Reels'!D135/('Reels'!D120+'Reels'!D123+'Reels'!D126+'Reels'!D129+'Reels'!D132+'Reels'!D135))*('Reels'!D156/('Reels'!D138+'Reels'!D141+'Reels'!D144+'Reels'!D147+'Reels'!D150+'Reels'!D153+'Reels'!D156))*('Reels'!D166/('Reels'!D160+'Reels'!D163+'Reels'!D166+'Reels'!D169+'Reels'!D172+'Reels'!D175))</f>
        <v>0.0011017934749341985</v>
      </c>
      <c r="D754">
        <f>IF(OR('Reels'!D133="attack",'Reels'!D133="magic"),CHOOSE('Reels'!D134+1,'Slots'!D29,'Slots'!D30,'Slots'!D31,'Slots'!D32,'Slots'!D33),0)+IF(OR('Reels'!D154="attack",'Reels'!D154="magic"),CHOOSE('Reels'!D155+1,'Slots'!D29,'Slots'!D30,'Slots'!D31,'Slots'!D32,'Slots'!D33),0)+IF(OR('Reels'!D164="attack",'Reels'!D164="magic"),CHOOSE('Reels'!D165+1,'Slots'!D29,'Slots'!D30,'Slots'!D31,'Slots'!D32,'Slots'!D33),0)</f>
        <v>7</v>
      </c>
      <c r="E754">
        <f>IF('Reels'!D133="heal",'Reels'!D134*'Slots'!D24,0)+IF('Reels'!D154="heal",'Reels'!D155*'Slots'!D24,0)+IF('Reels'!D164="heal",'Reels'!D165*'Slots'!D24,0)</f>
        <v>0</v>
      </c>
      <c r="F754">
        <f>IF('Reels'!D133="block",'Reels'!D134*'Slots'!D25,0)+IF('Reels'!D154="block",'Reels'!D155*'Slots'!D25,0)+IF('Reels'!D164="block",'Reels'!D165*'Slots'!D25,0)</f>
        <v>0</v>
      </c>
      <c r="G754" t="b">
        <f>AND('Reels'!D133&lt;&gt;"blank",'Reels'!D133&lt;&gt;"class",'Reels'!D133='Reels'!D164,'Reels'!D134='Reels'!D165,OR('Reels'!D154="class",AND('Reels'!D154='Reels'!D133,'Reels'!D155='Reels'!D134)))</f>
        <v>0</v>
      </c>
      <c r="H754">
        <f>IF(G754,C754,0)</f>
        <v>0</v>
      </c>
    </row>
    <row r="755" spans="1:8" x14ac:dyDescent="0.25">
      <c r="A755" t="s">
        <v>258</v>
      </c>
      <c r="B755" t="s">
        <v>4004</v>
      </c>
      <c r="C755" s="4">
        <f>('Reels'!D135/('Reels'!D120+'Reels'!D123+'Reels'!D126+'Reels'!D129+'Reels'!D132+'Reels'!D135))*('Reels'!D156/('Reels'!D138+'Reels'!D141+'Reels'!D144+'Reels'!D147+'Reels'!D150+'Reels'!D153+'Reels'!D156))*('Reels'!D169/('Reels'!D160+'Reels'!D163+'Reels'!D166+'Reels'!D169+'Reels'!D172+'Reels'!D175))</f>
        <v>0.0007345289832894656</v>
      </c>
      <c r="D755">
        <f>IF(OR('Reels'!D133="attack",'Reels'!D133="magic"),CHOOSE('Reels'!D134+1,'Slots'!D29,'Slots'!D30,'Slots'!D31,'Slots'!D32,'Slots'!D33),0)+IF(OR('Reels'!D154="attack",'Reels'!D154="magic"),CHOOSE('Reels'!D155+1,'Slots'!D29,'Slots'!D30,'Slots'!D31,'Slots'!D32,'Slots'!D33),0)+IF(OR('Reels'!D167="attack",'Reels'!D167="magic"),CHOOSE('Reels'!D168+1,'Slots'!D29,'Slots'!D30,'Slots'!D31,'Slots'!D32,'Slots'!D33),0)</f>
        <v>0</v>
      </c>
      <c r="E755">
        <f>IF('Reels'!D133="heal",'Reels'!D134*'Slots'!D24,0)+IF('Reels'!D154="heal",'Reels'!D155*'Slots'!D24,0)+IF('Reels'!D167="heal",'Reels'!D168*'Slots'!D24,0)</f>
        <v>0</v>
      </c>
      <c r="F755">
        <f>IF('Reels'!D133="block",'Reels'!D134*'Slots'!D25,0)+IF('Reels'!D154="block",'Reels'!D155*'Slots'!D25,0)+IF('Reels'!D167="block",'Reels'!D168*'Slots'!D25,0)</f>
        <v>0</v>
      </c>
      <c r="G755" t="b">
        <f>AND('Reels'!D133&lt;&gt;"blank",'Reels'!D133&lt;&gt;"class",'Reels'!D133='Reels'!D167,'Reels'!D134='Reels'!D168,OR('Reels'!D154="class",AND('Reels'!D154='Reels'!D133,'Reels'!D155='Reels'!D134)))</f>
        <v>0</v>
      </c>
      <c r="H755">
        <f>IF(G755,C755,0)</f>
        <v>0</v>
      </c>
    </row>
    <row r="756" spans="1:8" x14ac:dyDescent="0.25">
      <c r="A756" t="s">
        <v>258</v>
      </c>
      <c r="B756" t="s">
        <v>3613</v>
      </c>
      <c r="C756" s="4">
        <f>('Reels'!D135/('Reels'!D120+'Reels'!D123+'Reels'!D126+'Reels'!D129+'Reels'!D132+'Reels'!D135))*('Reels'!D156/('Reels'!D138+'Reels'!D141+'Reels'!D144+'Reels'!D147+'Reels'!D150+'Reels'!D153+'Reels'!D156))*('Reels'!D172/('Reels'!D160+'Reels'!D163+'Reels'!D166+'Reels'!D169+'Reels'!D172+'Reels'!D175))</f>
        <v>0.0003672644916447328</v>
      </c>
      <c r="D756">
        <f>IF(OR('Reels'!D133="attack",'Reels'!D133="magic"),CHOOSE('Reels'!D134+1,'Slots'!D29,'Slots'!D30,'Slots'!D31,'Slots'!D32,'Slots'!D33),0)+IF(OR('Reels'!D154="attack",'Reels'!D154="magic"),CHOOSE('Reels'!D155+1,'Slots'!D29,'Slots'!D30,'Slots'!D31,'Slots'!D32,'Slots'!D33),0)+IF(OR('Reels'!D170="attack",'Reels'!D170="magic"),CHOOSE('Reels'!D171+1,'Slots'!D29,'Slots'!D30,'Slots'!D31,'Slots'!D32,'Slots'!D33),0)</f>
        <v>0</v>
      </c>
      <c r="E756">
        <f>IF('Reels'!D133="heal",'Reels'!D134*'Slots'!D24,0)+IF('Reels'!D154="heal",'Reels'!D155*'Slots'!D24,0)+IF('Reels'!D170="heal",'Reels'!D171*'Slots'!D24,0)</f>
        <v>0</v>
      </c>
      <c r="F756">
        <f>IF('Reels'!D133="block",'Reels'!D134*'Slots'!D25,0)+IF('Reels'!D154="block",'Reels'!D155*'Slots'!D25,0)+IF('Reels'!D170="block",'Reels'!D171*'Slots'!D25,0)</f>
        <v>1</v>
      </c>
      <c r="G756" t="b">
        <f>AND('Reels'!D133&lt;&gt;"blank",'Reels'!D133&lt;&gt;"class",'Reels'!D133='Reels'!D170,'Reels'!D134='Reels'!D171,OR('Reels'!D154="class",AND('Reels'!D154='Reels'!D133,'Reels'!D155='Reels'!D134)))</f>
        <v>0</v>
      </c>
      <c r="H756">
        <f>IF(G756,C756,0)</f>
        <v>0</v>
      </c>
    </row>
    <row r="757" spans="1:8" x14ac:dyDescent="0.25">
      <c r="A757" t="s">
        <v>258</v>
      </c>
      <c r="B757" t="s">
        <v>3616</v>
      </c>
      <c r="C757" s="4">
        <f>('Reels'!D135/('Reels'!D120+'Reels'!D123+'Reels'!D126+'Reels'!D129+'Reels'!D132+'Reels'!D135))*('Reels'!D156/('Reels'!D138+'Reels'!D141+'Reels'!D144+'Reels'!D147+'Reels'!D150+'Reels'!D153+'Reels'!D156))*('Reels'!D175/('Reels'!D160+'Reels'!D163+'Reels'!D166+'Reels'!D169+'Reels'!D172+'Reels'!D175))</f>
        <v>0.0014690579665789312</v>
      </c>
      <c r="D757">
        <f>IF(OR('Reels'!D133="attack",'Reels'!D133="magic"),CHOOSE('Reels'!D134+1,'Slots'!D29,'Slots'!D30,'Slots'!D31,'Slots'!D32,'Slots'!D33),0)+IF(OR('Reels'!D154="attack",'Reels'!D154="magic"),CHOOSE('Reels'!D155+1,'Slots'!D29,'Slots'!D30,'Slots'!D31,'Slots'!D32,'Slots'!D33),0)+IF(OR('Reels'!D173="attack",'Reels'!D173="magic"),CHOOSE('Reels'!D174+1,'Slots'!D29,'Slots'!D30,'Slots'!D31,'Slots'!D32,'Slots'!D33),0)</f>
        <v>0</v>
      </c>
      <c r="E757">
        <f>IF('Reels'!D133="heal",'Reels'!D134*'Slots'!D24,0)+IF('Reels'!D154="heal",'Reels'!D155*'Slots'!D24,0)+IF('Reels'!D173="heal",'Reels'!D174*'Slots'!D24,0)</f>
        <v>0</v>
      </c>
      <c r="F757">
        <f>IF('Reels'!D133="block",'Reels'!D134*'Slots'!D25,0)+IF('Reels'!D154="block",'Reels'!D155*'Slots'!D25,0)+IF('Reels'!D173="block",'Reels'!D174*'Slots'!D25,0)</f>
        <v>0</v>
      </c>
      <c r="G757" t="b">
        <f>AND('Reels'!D133&lt;&gt;"blank",'Reels'!D133&lt;&gt;"class",'Reels'!D133='Reels'!D173,'Reels'!D134='Reels'!D174,OR('Reels'!D154="class",AND('Reels'!D154='Reels'!D133,'Reels'!D155='Reels'!D134)))</f>
        <v>0</v>
      </c>
      <c r="H757">
        <f>IF(G757,C757,0)</f>
        <v>0</v>
      </c>
    </row>
    <row r="758" spans="1:8" x14ac:dyDescent="0.25">
      <c r="A758" t="s">
        <v>269</v>
      </c>
      <c r="B758" t="s">
        <v>3789</v>
      </c>
      <c r="C758" s="4">
        <f>('Reels'!D178/('Reels'!D178+'Reels'!D181+'Reels'!D184+'Reels'!D187+'Reels'!D190+'Reels'!D193))*('Reels'!D196/('Reels'!D196+'Reels'!D199+'Reels'!D202+'Reels'!D205+'Reels'!D208+'Reels'!D211+'Reels'!D214))*('Reels'!D218/('Reels'!D218+'Reels'!D221+'Reels'!D224+'Reels'!D227+'Reels'!D230+'Reels'!D233))</f>
        <v>0.04073575319826162</v>
      </c>
      <c r="D758">
        <f>IF(OR('Reels'!D176="attack",'Reels'!D176="magic"),CHOOSE('Reels'!D177+1,'Slots'!D29,'Slots'!D30,'Slots'!D31,'Slots'!D32,'Slots'!D33),0)+IF(OR('Reels'!D194="attack",'Reels'!D194="magic"),CHOOSE('Reels'!D195+1,'Slots'!D29,'Slots'!D30,'Slots'!D31,'Slots'!D32,'Slots'!D33),0)+IF(OR('Reels'!D216="attack",'Reels'!D216="magic"),CHOOSE('Reels'!D217+1,'Slots'!D29,'Slots'!D30,'Slots'!D31,'Slots'!D32,'Slots'!D33),0)</f>
        <v>6</v>
      </c>
      <c r="E758">
        <f>IF('Reels'!D176="heal",'Reels'!D177*'Slots'!D24,0)+IF('Reels'!D194="heal",'Reels'!D195*'Slots'!D24,0)+IF('Reels'!D216="heal",'Reels'!D217*'Slots'!D24,0)</f>
        <v>0</v>
      </c>
      <c r="F758">
        <f>IF('Reels'!D176="block",'Reels'!D177*'Slots'!D25,0)+IF('Reels'!D194="block",'Reels'!D195*'Slots'!D25,0)+IF('Reels'!D216="block",'Reels'!D217*'Slots'!D25,0)</f>
        <v>0</v>
      </c>
      <c r="G758" t="b">
        <f>AND('Reels'!D176&lt;&gt;"blank",'Reels'!D176&lt;&gt;"class",'Reels'!D176='Reels'!D216,'Reels'!D177='Reels'!D217,OR('Reels'!D194="class",AND('Reels'!D194='Reels'!D176,'Reels'!D195='Reels'!D177)))</f>
        <v>1</v>
      </c>
      <c r="H758">
        <f>IF(G758,C758,0)</f>
        <v>0.04073575319826162</v>
      </c>
    </row>
    <row r="759" spans="1:8" x14ac:dyDescent="0.25">
      <c r="A759" t="s">
        <v>269</v>
      </c>
      <c r="B759" t="s">
        <v>4005</v>
      </c>
      <c r="C759" s="4">
        <f>('Reels'!D178/('Reels'!D178+'Reels'!D181+'Reels'!D184+'Reels'!D187+'Reels'!D190+'Reels'!D193))*('Reels'!D196/('Reels'!D196+'Reels'!D199+'Reels'!D202+'Reels'!D205+'Reels'!D208+'Reels'!D211+'Reels'!D214))*('Reels'!D221/('Reels'!D218+'Reels'!D221+'Reels'!D224+'Reels'!D227+'Reels'!D230+'Reels'!D233))</f>
        <v>0.025922752035257395</v>
      </c>
      <c r="D759">
        <f>IF(OR('Reels'!D176="attack",'Reels'!D176="magic"),CHOOSE('Reels'!D177+1,'Slots'!D29,'Slots'!D30,'Slots'!D31,'Slots'!D32,'Slots'!D33),0)+IF(OR('Reels'!D194="attack",'Reels'!D194="magic"),CHOOSE('Reels'!D195+1,'Slots'!D29,'Slots'!D30,'Slots'!D31,'Slots'!D32,'Slots'!D33),0)+IF(OR('Reels'!D219="attack",'Reels'!D219="magic"),CHOOSE('Reels'!D220+1,'Slots'!D29,'Slots'!D30,'Slots'!D31,'Slots'!D32,'Slots'!D33),0)</f>
        <v>8</v>
      </c>
      <c r="E759">
        <f>IF('Reels'!D176="heal",'Reels'!D177*'Slots'!D24,0)+IF('Reels'!D194="heal",'Reels'!D195*'Slots'!D24,0)+IF('Reels'!D219="heal",'Reels'!D220*'Slots'!D24,0)</f>
        <v>0</v>
      </c>
      <c r="F759">
        <f>IF('Reels'!D176="block",'Reels'!D177*'Slots'!D25,0)+IF('Reels'!D194="block",'Reels'!D195*'Slots'!D25,0)+IF('Reels'!D219="block",'Reels'!D220*'Slots'!D25,0)</f>
        <v>0</v>
      </c>
      <c r="G759" t="b">
        <f>AND('Reels'!D176&lt;&gt;"blank",'Reels'!D176&lt;&gt;"class",'Reels'!D176='Reels'!D219,'Reels'!D177='Reels'!D220,OR('Reels'!D194="class",AND('Reels'!D194='Reels'!D176,'Reels'!D195='Reels'!D177)))</f>
        <v>0</v>
      </c>
      <c r="H759">
        <f>IF(G759,C759,0)</f>
        <v>0</v>
      </c>
    </row>
    <row r="760" spans="1:8" x14ac:dyDescent="0.25">
      <c r="A760" t="s">
        <v>269</v>
      </c>
      <c r="B760" t="s">
        <v>4006</v>
      </c>
      <c r="C760" s="4">
        <f>('Reels'!D178/('Reels'!D178+'Reels'!D181+'Reels'!D184+'Reels'!D187+'Reels'!D190+'Reels'!D193))*('Reels'!D196/('Reels'!D196+'Reels'!D199+'Reels'!D202+'Reels'!D205+'Reels'!D208+'Reels'!D211+'Reels'!D214))*('Reels'!D224/('Reels'!D218+'Reels'!D221+'Reels'!D224+'Reels'!D227+'Reels'!D230+'Reels'!D233))</f>
        <v>0.011109750872253169</v>
      </c>
      <c r="D760">
        <f>IF(OR('Reels'!D176="attack",'Reels'!D176="magic"),CHOOSE('Reels'!D177+1,'Slots'!D29,'Slots'!D30,'Slots'!D31,'Slots'!D32,'Slots'!D33),0)+IF(OR('Reels'!D194="attack",'Reels'!D194="magic"),CHOOSE('Reels'!D195+1,'Slots'!D29,'Slots'!D30,'Slots'!D31,'Slots'!D32,'Slots'!D33),0)+IF(OR('Reels'!D222="attack",'Reels'!D222="magic"),CHOOSE('Reels'!D223+1,'Slots'!D29,'Slots'!D30,'Slots'!D31,'Slots'!D32,'Slots'!D33),0)</f>
        <v>4</v>
      </c>
      <c r="E760">
        <f>IF('Reels'!D176="heal",'Reels'!D177*'Slots'!D24,0)+IF('Reels'!D194="heal",'Reels'!D195*'Slots'!D24,0)+IF('Reels'!D222="heal",'Reels'!D223*'Slots'!D24,0)</f>
        <v>0</v>
      </c>
      <c r="F760">
        <f>IF('Reels'!D176="block",'Reels'!D177*'Slots'!D25,0)+IF('Reels'!D194="block",'Reels'!D195*'Slots'!D25,0)+IF('Reels'!D222="block",'Reels'!D223*'Slots'!D25,0)</f>
        <v>0</v>
      </c>
      <c r="G760" t="b">
        <f>AND('Reels'!D176&lt;&gt;"blank",'Reels'!D176&lt;&gt;"class",'Reels'!D176='Reels'!D222,'Reels'!D177='Reels'!D223,OR('Reels'!D194="class",AND('Reels'!D194='Reels'!D176,'Reels'!D195='Reels'!D177)))</f>
        <v>0</v>
      </c>
      <c r="H760">
        <f>IF(G760,C760,0)</f>
        <v>0</v>
      </c>
    </row>
    <row r="761" spans="1:8" x14ac:dyDescent="0.25">
      <c r="A761" t="s">
        <v>269</v>
      </c>
      <c r="B761" t="s">
        <v>4007</v>
      </c>
      <c r="C761" s="4">
        <f>('Reels'!D178/('Reels'!D178+'Reels'!D181+'Reels'!D184+'Reels'!D187+'Reels'!D190+'Reels'!D193))*('Reels'!D196/('Reels'!D196+'Reels'!D199+'Reels'!D202+'Reels'!D205+'Reels'!D208+'Reels'!D211+'Reels'!D214))*('Reels'!D227/('Reels'!D218+'Reels'!D221+'Reels'!D224+'Reels'!D227+'Reels'!D230+'Reels'!D233))</f>
        <v>0.011109750872253169</v>
      </c>
      <c r="D761">
        <f>IF(OR('Reels'!D176="attack",'Reels'!D176="magic"),CHOOSE('Reels'!D177+1,'Slots'!D29,'Slots'!D30,'Slots'!D31,'Slots'!D32,'Slots'!D33),0)+IF(OR('Reels'!D194="attack",'Reels'!D194="magic"),CHOOSE('Reels'!D195+1,'Slots'!D29,'Slots'!D30,'Slots'!D31,'Slots'!D32,'Slots'!D33),0)+IF(OR('Reels'!D225="attack",'Reels'!D225="magic"),CHOOSE('Reels'!D226+1,'Slots'!D29,'Slots'!D30,'Slots'!D31,'Slots'!D32,'Slots'!D33),0)</f>
        <v>4</v>
      </c>
      <c r="E761">
        <f>IF('Reels'!D176="heal",'Reels'!D177*'Slots'!D24,0)+IF('Reels'!D194="heal",'Reels'!D195*'Slots'!D24,0)+IF('Reels'!D225="heal",'Reels'!D226*'Slots'!D24,0)</f>
        <v>0</v>
      </c>
      <c r="F761">
        <f>IF('Reels'!D176="block",'Reels'!D177*'Slots'!D25,0)+IF('Reels'!D194="block",'Reels'!D195*'Slots'!D25,0)+IF('Reels'!D225="block",'Reels'!D226*'Slots'!D25,0)</f>
        <v>0</v>
      </c>
      <c r="G761" t="b">
        <f>AND('Reels'!D176&lt;&gt;"blank",'Reels'!D176&lt;&gt;"class",'Reels'!D176='Reels'!D225,'Reels'!D177='Reels'!D226,OR('Reels'!D194="class",AND('Reels'!D194='Reels'!D176,'Reels'!D195='Reels'!D177)))</f>
        <v>0</v>
      </c>
      <c r="H761">
        <f>IF(G761,C761,0)</f>
        <v>0</v>
      </c>
    </row>
    <row r="762" spans="1:8" x14ac:dyDescent="0.25">
      <c r="A762" t="s">
        <v>269</v>
      </c>
      <c r="B762" t="s">
        <v>3787</v>
      </c>
      <c r="C762" s="4">
        <f>('Reels'!D178/('Reels'!D178+'Reels'!D181+'Reels'!D184+'Reels'!D187+'Reels'!D190+'Reels'!D193))*('Reels'!D196/('Reels'!D196+'Reels'!D199+'Reels'!D202+'Reels'!D205+'Reels'!D208+'Reels'!D211+'Reels'!D214))*('Reels'!D230/('Reels'!D218+'Reels'!D221+'Reels'!D224+'Reels'!D227+'Reels'!D230+'Reels'!D233))</f>
        <v>0.007406500581502112</v>
      </c>
      <c r="D762">
        <f>IF(OR('Reels'!D176="attack",'Reels'!D176="magic"),CHOOSE('Reels'!D177+1,'Slots'!D29,'Slots'!D30,'Slots'!D31,'Slots'!D32,'Slots'!D33),0)+IF(OR('Reels'!D194="attack",'Reels'!D194="magic"),CHOOSE('Reels'!D195+1,'Slots'!D29,'Slots'!D30,'Slots'!D31,'Slots'!D32,'Slots'!D33),0)+IF(OR('Reels'!D228="attack",'Reels'!D228="magic"),CHOOSE('Reels'!D229+1,'Slots'!D29,'Slots'!D30,'Slots'!D31,'Slots'!D32,'Slots'!D33),0)</f>
        <v>4</v>
      </c>
      <c r="E762">
        <f>IF('Reels'!D176="heal",'Reels'!D177*'Slots'!D24,0)+IF('Reels'!D194="heal",'Reels'!D195*'Slots'!D24,0)+IF('Reels'!D228="heal",'Reels'!D229*'Slots'!D24,0)</f>
        <v>0</v>
      </c>
      <c r="F762">
        <f>IF('Reels'!D176="block",'Reels'!D177*'Slots'!D25,0)+IF('Reels'!D194="block",'Reels'!D195*'Slots'!D25,0)+IF('Reels'!D228="block",'Reels'!D229*'Slots'!D25,0)</f>
        <v>1</v>
      </c>
      <c r="G762" t="b">
        <f>AND('Reels'!D176&lt;&gt;"blank",'Reels'!D176&lt;&gt;"class",'Reels'!D176='Reels'!D228,'Reels'!D177='Reels'!D229,OR('Reels'!D194="class",AND('Reels'!D194='Reels'!D176,'Reels'!D195='Reels'!D177)))</f>
        <v>0</v>
      </c>
      <c r="H762">
        <f>IF(G762,C762,0)</f>
        <v>0</v>
      </c>
    </row>
    <row r="763" spans="1:8" x14ac:dyDescent="0.25">
      <c r="A763" t="s">
        <v>269</v>
      </c>
      <c r="B763" t="s">
        <v>3790</v>
      </c>
      <c r="C763" s="4">
        <f>('Reels'!D178/('Reels'!D178+'Reels'!D181+'Reels'!D184+'Reels'!D187+'Reels'!D190+'Reels'!D193))*('Reels'!D196/('Reels'!D196+'Reels'!D199+'Reels'!D202+'Reels'!D205+'Reels'!D208+'Reels'!D211+'Reels'!D214))*('Reels'!D233/('Reels'!D218+'Reels'!D221+'Reels'!D224+'Reels'!D227+'Reels'!D230+'Reels'!D233))</f>
        <v>0.018516251453755277</v>
      </c>
      <c r="D763">
        <f>IF(OR('Reels'!D176="attack",'Reels'!D176="magic"),CHOOSE('Reels'!D177+1,'Slots'!D29,'Slots'!D30,'Slots'!D31,'Slots'!D32,'Slots'!D33),0)+IF(OR('Reels'!D194="attack",'Reels'!D194="magic"),CHOOSE('Reels'!D195+1,'Slots'!D29,'Slots'!D30,'Slots'!D31,'Slots'!D32,'Slots'!D33),0)+IF(OR('Reels'!D231="attack",'Reels'!D231="magic"),CHOOSE('Reels'!D232+1,'Slots'!D29,'Slots'!D30,'Slots'!D31,'Slots'!D32,'Slots'!D33),0)</f>
        <v>4</v>
      </c>
      <c r="E763">
        <f>IF('Reels'!D176="heal",'Reels'!D177*'Slots'!D24,0)+IF('Reels'!D194="heal",'Reels'!D195*'Slots'!D24,0)+IF('Reels'!D231="heal",'Reels'!D232*'Slots'!D24,0)</f>
        <v>0</v>
      </c>
      <c r="F763">
        <f>IF('Reels'!D176="block",'Reels'!D177*'Slots'!D25,0)+IF('Reels'!D194="block",'Reels'!D195*'Slots'!D25,0)+IF('Reels'!D231="block",'Reels'!D232*'Slots'!D25,0)</f>
        <v>0</v>
      </c>
      <c r="G763" t="b">
        <f>AND('Reels'!D176&lt;&gt;"blank",'Reels'!D176&lt;&gt;"class",'Reels'!D176='Reels'!D231,'Reels'!D177='Reels'!D232,OR('Reels'!D194="class",AND('Reels'!D194='Reels'!D176,'Reels'!D195='Reels'!D177)))</f>
        <v>0</v>
      </c>
      <c r="H763">
        <f>IF(G763,C763,0)</f>
        <v>0</v>
      </c>
    </row>
    <row r="764" spans="1:8" x14ac:dyDescent="0.25">
      <c r="A764" t="s">
        <v>269</v>
      </c>
      <c r="B764" t="s">
        <v>4008</v>
      </c>
      <c r="C764" s="4">
        <f>('Reels'!D178/('Reels'!D178+'Reels'!D181+'Reels'!D184+'Reels'!D187+'Reels'!D190+'Reels'!D193))*('Reels'!D199/('Reels'!D196+'Reels'!D199+'Reels'!D202+'Reels'!D205+'Reels'!D208+'Reels'!D211+'Reels'!D214))*('Reels'!D218/('Reels'!D218+'Reels'!D221+'Reels'!D224+'Reels'!D227+'Reels'!D230+'Reels'!D233))</f>
        <v>0.025922752035257395</v>
      </c>
      <c r="D764">
        <f>IF(OR('Reels'!D176="attack",'Reels'!D176="magic"),CHOOSE('Reels'!D177+1,'Slots'!D29,'Slots'!D30,'Slots'!D31,'Slots'!D32,'Slots'!D33),0)+IF(OR('Reels'!D197="attack",'Reels'!D197="magic"),CHOOSE('Reels'!D198+1,'Slots'!D29,'Slots'!D30,'Slots'!D31,'Slots'!D32,'Slots'!D33),0)+IF(OR('Reels'!D216="attack",'Reels'!D216="magic"),CHOOSE('Reels'!D217+1,'Slots'!D29,'Slots'!D30,'Slots'!D31,'Slots'!D32,'Slots'!D33),0)</f>
        <v>8</v>
      </c>
      <c r="E764">
        <f>IF('Reels'!D176="heal",'Reels'!D177*'Slots'!D24,0)+IF('Reels'!D197="heal",'Reels'!D198*'Slots'!D24,0)+IF('Reels'!D216="heal",'Reels'!D217*'Slots'!D24,0)</f>
        <v>0</v>
      </c>
      <c r="F764">
        <f>IF('Reels'!D176="block",'Reels'!D177*'Slots'!D25,0)+IF('Reels'!D197="block",'Reels'!D198*'Slots'!D25,0)+IF('Reels'!D216="block",'Reels'!D217*'Slots'!D25,0)</f>
        <v>0</v>
      </c>
      <c r="G764" t="b">
        <f>AND('Reels'!D176&lt;&gt;"blank",'Reels'!D176&lt;&gt;"class",'Reels'!D176='Reels'!D216,'Reels'!D177='Reels'!D217,OR('Reels'!D197="class",AND('Reels'!D197='Reels'!D176,'Reels'!D198='Reels'!D177)))</f>
        <v>0</v>
      </c>
      <c r="H764">
        <f>IF(G764,C764,0)</f>
        <v>0</v>
      </c>
    </row>
    <row r="765" spans="1:8" x14ac:dyDescent="0.25">
      <c r="A765" t="s">
        <v>269</v>
      </c>
      <c r="B765" t="s">
        <v>4009</v>
      </c>
      <c r="C765" s="4">
        <f>('Reels'!D178/('Reels'!D178+'Reels'!D181+'Reels'!D184+'Reels'!D187+'Reels'!D190+'Reels'!D193))*('Reels'!D199/('Reels'!D196+'Reels'!D199+'Reels'!D202+'Reels'!D205+'Reels'!D208+'Reels'!D211+'Reels'!D214))*('Reels'!D221/('Reels'!D218+'Reels'!D221+'Reels'!D224+'Reels'!D227+'Reels'!D230+'Reels'!D233))</f>
        <v>0.01649629674970925</v>
      </c>
      <c r="D765">
        <f>IF(OR('Reels'!D176="attack",'Reels'!D176="magic"),CHOOSE('Reels'!D177+1,'Slots'!D29,'Slots'!D30,'Slots'!D31,'Slots'!D32,'Slots'!D33),0)+IF(OR('Reels'!D197="attack",'Reels'!D197="magic"),CHOOSE('Reels'!D198+1,'Slots'!D29,'Slots'!D30,'Slots'!D31,'Slots'!D32,'Slots'!D33),0)+IF(OR('Reels'!D219="attack",'Reels'!D219="magic"),CHOOSE('Reels'!D220+1,'Slots'!D29,'Slots'!D30,'Slots'!D31,'Slots'!D32,'Slots'!D33),0)</f>
        <v>10</v>
      </c>
      <c r="E765">
        <f>IF('Reels'!D176="heal",'Reels'!D177*'Slots'!D24,0)+IF('Reels'!D197="heal",'Reels'!D198*'Slots'!D24,0)+IF('Reels'!D219="heal",'Reels'!D220*'Slots'!D24,0)</f>
        <v>0</v>
      </c>
      <c r="F765">
        <f>IF('Reels'!D176="block",'Reels'!D177*'Slots'!D25,0)+IF('Reels'!D197="block",'Reels'!D198*'Slots'!D25,0)+IF('Reels'!D219="block",'Reels'!D220*'Slots'!D25,0)</f>
        <v>0</v>
      </c>
      <c r="G765" t="b">
        <f>AND('Reels'!D176&lt;&gt;"blank",'Reels'!D176&lt;&gt;"class",'Reels'!D176='Reels'!D219,'Reels'!D177='Reels'!D220,OR('Reels'!D197="class",AND('Reels'!D197='Reels'!D176,'Reels'!D198='Reels'!D177)))</f>
        <v>0</v>
      </c>
      <c r="H765">
        <f>IF(G765,C765,0)</f>
        <v>0</v>
      </c>
    </row>
    <row r="766" spans="1:8" x14ac:dyDescent="0.25">
      <c r="A766" t="s">
        <v>269</v>
      </c>
      <c r="B766" t="s">
        <v>4010</v>
      </c>
      <c r="C766" s="4">
        <f>('Reels'!D178/('Reels'!D178+'Reels'!D181+'Reels'!D184+'Reels'!D187+'Reels'!D190+'Reels'!D193))*('Reels'!D199/('Reels'!D196+'Reels'!D199+'Reels'!D202+'Reels'!D205+'Reels'!D208+'Reels'!D211+'Reels'!D214))*('Reels'!D224/('Reels'!D218+'Reels'!D221+'Reels'!D224+'Reels'!D227+'Reels'!D230+'Reels'!D233))</f>
        <v>0.0070698414641611074</v>
      </c>
      <c r="D766">
        <f>IF(OR('Reels'!D176="attack",'Reels'!D176="magic"),CHOOSE('Reels'!D177+1,'Slots'!D29,'Slots'!D30,'Slots'!D31,'Slots'!D32,'Slots'!D33),0)+IF(OR('Reels'!D197="attack",'Reels'!D197="magic"),CHOOSE('Reels'!D198+1,'Slots'!D29,'Slots'!D30,'Slots'!D31,'Slots'!D32,'Slots'!D33),0)+IF(OR('Reels'!D222="attack",'Reels'!D222="magic"),CHOOSE('Reels'!D223+1,'Slots'!D29,'Slots'!D30,'Slots'!D31,'Slots'!D32,'Slots'!D33),0)</f>
        <v>6</v>
      </c>
      <c r="E766">
        <f>IF('Reels'!D176="heal",'Reels'!D177*'Slots'!D24,0)+IF('Reels'!D197="heal",'Reels'!D198*'Slots'!D24,0)+IF('Reels'!D222="heal",'Reels'!D223*'Slots'!D24,0)</f>
        <v>0</v>
      </c>
      <c r="F766">
        <f>IF('Reels'!D176="block",'Reels'!D177*'Slots'!D25,0)+IF('Reels'!D197="block",'Reels'!D198*'Slots'!D25,0)+IF('Reels'!D222="block",'Reels'!D223*'Slots'!D25,0)</f>
        <v>0</v>
      </c>
      <c r="G766" t="b">
        <f>AND('Reels'!D176&lt;&gt;"blank",'Reels'!D176&lt;&gt;"class",'Reels'!D176='Reels'!D222,'Reels'!D177='Reels'!D223,OR('Reels'!D197="class",AND('Reels'!D197='Reels'!D176,'Reels'!D198='Reels'!D177)))</f>
        <v>0</v>
      </c>
      <c r="H766">
        <f>IF(G766,C766,0)</f>
        <v>0</v>
      </c>
    </row>
    <row r="767" spans="1:8" x14ac:dyDescent="0.25">
      <c r="A767" t="s">
        <v>269</v>
      </c>
      <c r="B767" t="s">
        <v>4011</v>
      </c>
      <c r="C767" s="4">
        <f>('Reels'!D178/('Reels'!D178+'Reels'!D181+'Reels'!D184+'Reels'!D187+'Reels'!D190+'Reels'!D193))*('Reels'!D199/('Reels'!D196+'Reels'!D199+'Reels'!D202+'Reels'!D205+'Reels'!D208+'Reels'!D211+'Reels'!D214))*('Reels'!D227/('Reels'!D218+'Reels'!D221+'Reels'!D224+'Reels'!D227+'Reels'!D230+'Reels'!D233))</f>
        <v>0.0070698414641611074</v>
      </c>
      <c r="D767">
        <f>IF(OR('Reels'!D176="attack",'Reels'!D176="magic"),CHOOSE('Reels'!D177+1,'Slots'!D29,'Slots'!D30,'Slots'!D31,'Slots'!D32,'Slots'!D33),0)+IF(OR('Reels'!D197="attack",'Reels'!D197="magic"),CHOOSE('Reels'!D198+1,'Slots'!D29,'Slots'!D30,'Slots'!D31,'Slots'!D32,'Slots'!D33),0)+IF(OR('Reels'!D225="attack",'Reels'!D225="magic"),CHOOSE('Reels'!D226+1,'Slots'!D29,'Slots'!D30,'Slots'!D31,'Slots'!D32,'Slots'!D33),0)</f>
        <v>6</v>
      </c>
      <c r="E767">
        <f>IF('Reels'!D176="heal",'Reels'!D177*'Slots'!D24,0)+IF('Reels'!D197="heal",'Reels'!D198*'Slots'!D24,0)+IF('Reels'!D225="heal",'Reels'!D226*'Slots'!D24,0)</f>
        <v>0</v>
      </c>
      <c r="F767">
        <f>IF('Reels'!D176="block",'Reels'!D177*'Slots'!D25,0)+IF('Reels'!D197="block",'Reels'!D198*'Slots'!D25,0)+IF('Reels'!D225="block",'Reels'!D226*'Slots'!D25,0)</f>
        <v>0</v>
      </c>
      <c r="G767" t="b">
        <f>AND('Reels'!D176&lt;&gt;"blank",'Reels'!D176&lt;&gt;"class",'Reels'!D176='Reels'!D225,'Reels'!D177='Reels'!D226,OR('Reels'!D197="class",AND('Reels'!D197='Reels'!D176,'Reels'!D198='Reels'!D177)))</f>
        <v>0</v>
      </c>
      <c r="H767">
        <f>IF(G767,C767,0)</f>
        <v>0</v>
      </c>
    </row>
    <row r="768" spans="1:8" x14ac:dyDescent="0.25">
      <c r="A768" t="s">
        <v>269</v>
      </c>
      <c r="B768" t="s">
        <v>4012</v>
      </c>
      <c r="C768" s="4">
        <f>('Reels'!D178/('Reels'!D178+'Reels'!D181+'Reels'!D184+'Reels'!D187+'Reels'!D190+'Reels'!D193))*('Reels'!D199/('Reels'!D196+'Reels'!D199+'Reels'!D202+'Reels'!D205+'Reels'!D208+'Reels'!D211+'Reels'!D214))*('Reels'!D230/('Reels'!D218+'Reels'!D221+'Reels'!D224+'Reels'!D227+'Reels'!D230+'Reels'!D233))</f>
        <v>0.004713227642774071</v>
      </c>
      <c r="D768">
        <f>IF(OR('Reels'!D176="attack",'Reels'!D176="magic"),CHOOSE('Reels'!D177+1,'Slots'!D29,'Slots'!D30,'Slots'!D31,'Slots'!D32,'Slots'!D33),0)+IF(OR('Reels'!D197="attack",'Reels'!D197="magic"),CHOOSE('Reels'!D198+1,'Slots'!D29,'Slots'!D30,'Slots'!D31,'Slots'!D32,'Slots'!D33),0)+IF(OR('Reels'!D228="attack",'Reels'!D228="magic"),CHOOSE('Reels'!D229+1,'Slots'!D29,'Slots'!D30,'Slots'!D31,'Slots'!D32,'Slots'!D33),0)</f>
        <v>6</v>
      </c>
      <c r="E768">
        <f>IF('Reels'!D176="heal",'Reels'!D177*'Slots'!D24,0)+IF('Reels'!D197="heal",'Reels'!D198*'Slots'!D24,0)+IF('Reels'!D228="heal",'Reels'!D229*'Slots'!D24,0)</f>
        <v>0</v>
      </c>
      <c r="F768">
        <f>IF('Reels'!D176="block",'Reels'!D177*'Slots'!D25,0)+IF('Reels'!D197="block",'Reels'!D198*'Slots'!D25,0)+IF('Reels'!D228="block",'Reels'!D229*'Slots'!D25,0)</f>
        <v>1</v>
      </c>
      <c r="G768" t="b">
        <f>AND('Reels'!D176&lt;&gt;"blank",'Reels'!D176&lt;&gt;"class",'Reels'!D176='Reels'!D228,'Reels'!D177='Reels'!D229,OR('Reels'!D197="class",AND('Reels'!D197='Reels'!D176,'Reels'!D198='Reels'!D177)))</f>
        <v>0</v>
      </c>
      <c r="H768">
        <f>IF(G768,C768,0)</f>
        <v>0</v>
      </c>
    </row>
    <row r="769" spans="1:8" x14ac:dyDescent="0.25">
      <c r="A769" t="s">
        <v>269</v>
      </c>
      <c r="B769" t="s">
        <v>4013</v>
      </c>
      <c r="C769" s="4">
        <f>('Reels'!D178/('Reels'!D178+'Reels'!D181+'Reels'!D184+'Reels'!D187+'Reels'!D190+'Reels'!D193))*('Reels'!D199/('Reels'!D196+'Reels'!D199+'Reels'!D202+'Reels'!D205+'Reels'!D208+'Reels'!D211+'Reels'!D214))*('Reels'!D233/('Reels'!D218+'Reels'!D221+'Reels'!D224+'Reels'!D227+'Reels'!D230+'Reels'!D233))</f>
        <v>0.011783069106935178</v>
      </c>
      <c r="D769">
        <f>IF(OR('Reels'!D176="attack",'Reels'!D176="magic"),CHOOSE('Reels'!D177+1,'Slots'!D29,'Slots'!D30,'Slots'!D31,'Slots'!D32,'Slots'!D33),0)+IF(OR('Reels'!D197="attack",'Reels'!D197="magic"),CHOOSE('Reels'!D198+1,'Slots'!D29,'Slots'!D30,'Slots'!D31,'Slots'!D32,'Slots'!D33),0)+IF(OR('Reels'!D231="attack",'Reels'!D231="magic"),CHOOSE('Reels'!D232+1,'Slots'!D29,'Slots'!D30,'Slots'!D31,'Slots'!D32,'Slots'!D33),0)</f>
        <v>6</v>
      </c>
      <c r="E769">
        <f>IF('Reels'!D176="heal",'Reels'!D177*'Slots'!D24,0)+IF('Reels'!D197="heal",'Reels'!D198*'Slots'!D24,0)+IF('Reels'!D231="heal",'Reels'!D232*'Slots'!D24,0)</f>
        <v>0</v>
      </c>
      <c r="F769">
        <f>IF('Reels'!D176="block",'Reels'!D177*'Slots'!D25,0)+IF('Reels'!D197="block",'Reels'!D198*'Slots'!D25,0)+IF('Reels'!D231="block",'Reels'!D232*'Slots'!D25,0)</f>
        <v>0</v>
      </c>
      <c r="G769" t="b">
        <f>AND('Reels'!D176&lt;&gt;"blank",'Reels'!D176&lt;&gt;"class",'Reels'!D176='Reels'!D231,'Reels'!D177='Reels'!D232,OR('Reels'!D197="class",AND('Reels'!D197='Reels'!D176,'Reels'!D198='Reels'!D177)))</f>
        <v>0</v>
      </c>
      <c r="H769">
        <f>IF(G769,C769,0)</f>
        <v>0</v>
      </c>
    </row>
    <row r="770" spans="1:8" x14ac:dyDescent="0.25">
      <c r="A770" t="s">
        <v>269</v>
      </c>
      <c r="B770" t="s">
        <v>4014</v>
      </c>
      <c r="C770" s="4">
        <f>('Reels'!D178/('Reels'!D178+'Reels'!D181+'Reels'!D184+'Reels'!D187+'Reels'!D190+'Reels'!D193))*('Reels'!D202/('Reels'!D196+'Reels'!D199+'Reels'!D202+'Reels'!D205+'Reels'!D208+'Reels'!D211+'Reels'!D214))*('Reels'!D218/('Reels'!D218+'Reels'!D221+'Reels'!D224+'Reels'!D227+'Reels'!D230+'Reels'!D233))</f>
        <v>0.011109750872253169</v>
      </c>
      <c r="D770">
        <f>IF(OR('Reels'!D176="attack",'Reels'!D176="magic"),CHOOSE('Reels'!D177+1,'Slots'!D29,'Slots'!D30,'Slots'!D31,'Slots'!D32,'Slots'!D33),0)+IF(OR('Reels'!D200="attack",'Reels'!D200="magic"),CHOOSE('Reels'!D201+1,'Slots'!D29,'Slots'!D30,'Slots'!D31,'Slots'!D32,'Slots'!D33),0)+IF(OR('Reels'!D216="attack",'Reels'!D216="magic"),CHOOSE('Reels'!D217+1,'Slots'!D29,'Slots'!D30,'Slots'!D31,'Slots'!D32,'Slots'!D33),0)</f>
        <v>4</v>
      </c>
      <c r="E770">
        <f>IF('Reels'!D176="heal",'Reels'!D177*'Slots'!D24,0)+IF('Reels'!D200="heal",'Reels'!D201*'Slots'!D24,0)+IF('Reels'!D216="heal",'Reels'!D217*'Slots'!D24,0)</f>
        <v>0</v>
      </c>
      <c r="F770">
        <f>IF('Reels'!D176="block",'Reels'!D177*'Slots'!D25,0)+IF('Reels'!D200="block",'Reels'!D201*'Slots'!D25,0)+IF('Reels'!D216="block",'Reels'!D217*'Slots'!D25,0)</f>
        <v>0</v>
      </c>
      <c r="G770" t="b">
        <f>AND('Reels'!D176&lt;&gt;"blank",'Reels'!D176&lt;&gt;"class",'Reels'!D176='Reels'!D216,'Reels'!D177='Reels'!D217,OR('Reels'!D200="class",AND('Reels'!D200='Reels'!D176,'Reels'!D201='Reels'!D177)))</f>
        <v>0</v>
      </c>
      <c r="H770">
        <f>IF(G770,C770,0)</f>
        <v>0</v>
      </c>
    </row>
    <row r="771" spans="1:8" x14ac:dyDescent="0.25">
      <c r="A771" t="s">
        <v>269</v>
      </c>
      <c r="B771" t="s">
        <v>4015</v>
      </c>
      <c r="C771" s="4">
        <f>('Reels'!D178/('Reels'!D178+'Reels'!D181+'Reels'!D184+'Reels'!D187+'Reels'!D190+'Reels'!D193))*('Reels'!D202/('Reels'!D196+'Reels'!D199+'Reels'!D202+'Reels'!D205+'Reels'!D208+'Reels'!D211+'Reels'!D214))*('Reels'!D221/('Reels'!D218+'Reels'!D221+'Reels'!D224+'Reels'!D227+'Reels'!D230+'Reels'!D233))</f>
        <v>0.0070698414641611074</v>
      </c>
      <c r="D771">
        <f>IF(OR('Reels'!D176="attack",'Reels'!D176="magic"),CHOOSE('Reels'!D177+1,'Slots'!D29,'Slots'!D30,'Slots'!D31,'Slots'!D32,'Slots'!D33),0)+IF(OR('Reels'!D200="attack",'Reels'!D200="magic"),CHOOSE('Reels'!D201+1,'Slots'!D29,'Slots'!D30,'Slots'!D31,'Slots'!D32,'Slots'!D33),0)+IF(OR('Reels'!D219="attack",'Reels'!D219="magic"),CHOOSE('Reels'!D220+1,'Slots'!D29,'Slots'!D30,'Slots'!D31,'Slots'!D32,'Slots'!D33),0)</f>
        <v>6</v>
      </c>
      <c r="E771">
        <f>IF('Reels'!D176="heal",'Reels'!D177*'Slots'!D24,0)+IF('Reels'!D200="heal",'Reels'!D201*'Slots'!D24,0)+IF('Reels'!D219="heal",'Reels'!D220*'Slots'!D24,0)</f>
        <v>0</v>
      </c>
      <c r="F771">
        <f>IF('Reels'!D176="block",'Reels'!D177*'Slots'!D25,0)+IF('Reels'!D200="block",'Reels'!D201*'Slots'!D25,0)+IF('Reels'!D219="block",'Reels'!D220*'Slots'!D25,0)</f>
        <v>0</v>
      </c>
      <c r="G771" t="b">
        <f>AND('Reels'!D176&lt;&gt;"blank",'Reels'!D176&lt;&gt;"class",'Reels'!D176='Reels'!D219,'Reels'!D177='Reels'!D220,OR('Reels'!D200="class",AND('Reels'!D200='Reels'!D176,'Reels'!D201='Reels'!D177)))</f>
        <v>0</v>
      </c>
      <c r="H771">
        <f>IF(G771,C771,0)</f>
        <v>0</v>
      </c>
    </row>
    <row r="772" spans="1:8" x14ac:dyDescent="0.25">
      <c r="A772" t="s">
        <v>269</v>
      </c>
      <c r="B772" t="s">
        <v>4016</v>
      </c>
      <c r="C772" s="4">
        <f>('Reels'!D178/('Reels'!D178+'Reels'!D181+'Reels'!D184+'Reels'!D187+'Reels'!D190+'Reels'!D193))*('Reels'!D202/('Reels'!D196+'Reels'!D199+'Reels'!D202+'Reels'!D205+'Reels'!D208+'Reels'!D211+'Reels'!D214))*('Reels'!D224/('Reels'!D218+'Reels'!D221+'Reels'!D224+'Reels'!D227+'Reels'!D230+'Reels'!D233))</f>
        <v>0.003029932056069046</v>
      </c>
      <c r="D772">
        <f>IF(OR('Reels'!D176="attack",'Reels'!D176="magic"),CHOOSE('Reels'!D177+1,'Slots'!D29,'Slots'!D30,'Slots'!D31,'Slots'!D32,'Slots'!D33),0)+IF(OR('Reels'!D200="attack",'Reels'!D200="magic"),CHOOSE('Reels'!D201+1,'Slots'!D29,'Slots'!D30,'Slots'!D31,'Slots'!D32,'Slots'!D33),0)+IF(OR('Reels'!D222="attack",'Reels'!D222="magic"),CHOOSE('Reels'!D223+1,'Slots'!D29,'Slots'!D30,'Slots'!D31,'Slots'!D32,'Slots'!D33),0)</f>
        <v>2</v>
      </c>
      <c r="E772">
        <f>IF('Reels'!D176="heal",'Reels'!D177*'Slots'!D24,0)+IF('Reels'!D200="heal",'Reels'!D201*'Slots'!D24,0)+IF('Reels'!D222="heal",'Reels'!D223*'Slots'!D24,0)</f>
        <v>0</v>
      </c>
      <c r="F772">
        <f>IF('Reels'!D176="block",'Reels'!D177*'Slots'!D25,0)+IF('Reels'!D200="block",'Reels'!D201*'Slots'!D25,0)+IF('Reels'!D222="block",'Reels'!D223*'Slots'!D25,0)</f>
        <v>0</v>
      </c>
      <c r="G772" t="b">
        <f>AND('Reels'!D176&lt;&gt;"blank",'Reels'!D176&lt;&gt;"class",'Reels'!D176='Reels'!D222,'Reels'!D177='Reels'!D223,OR('Reels'!D200="class",AND('Reels'!D200='Reels'!D176,'Reels'!D201='Reels'!D177)))</f>
        <v>0</v>
      </c>
      <c r="H772">
        <f>IF(G772,C772,0)</f>
        <v>0</v>
      </c>
    </row>
    <row r="773" spans="1:8" x14ac:dyDescent="0.25">
      <c r="A773" t="s">
        <v>269</v>
      </c>
      <c r="B773" t="s">
        <v>4017</v>
      </c>
      <c r="C773" s="4">
        <f>('Reels'!D178/('Reels'!D178+'Reels'!D181+'Reels'!D184+'Reels'!D187+'Reels'!D190+'Reels'!D193))*('Reels'!D202/('Reels'!D196+'Reels'!D199+'Reels'!D202+'Reels'!D205+'Reels'!D208+'Reels'!D211+'Reels'!D214))*('Reels'!D227/('Reels'!D218+'Reels'!D221+'Reels'!D224+'Reels'!D227+'Reels'!D230+'Reels'!D233))</f>
        <v>0.003029932056069046</v>
      </c>
      <c r="D773">
        <f>IF(OR('Reels'!D176="attack",'Reels'!D176="magic"),CHOOSE('Reels'!D177+1,'Slots'!D29,'Slots'!D30,'Slots'!D31,'Slots'!D32,'Slots'!D33),0)+IF(OR('Reels'!D200="attack",'Reels'!D200="magic"),CHOOSE('Reels'!D201+1,'Slots'!D29,'Slots'!D30,'Slots'!D31,'Slots'!D32,'Slots'!D33),0)+IF(OR('Reels'!D225="attack",'Reels'!D225="magic"),CHOOSE('Reels'!D226+1,'Slots'!D29,'Slots'!D30,'Slots'!D31,'Slots'!D32,'Slots'!D33),0)</f>
        <v>2</v>
      </c>
      <c r="E773">
        <f>IF('Reels'!D176="heal",'Reels'!D177*'Slots'!D24,0)+IF('Reels'!D200="heal",'Reels'!D201*'Slots'!D24,0)+IF('Reels'!D225="heal",'Reels'!D226*'Slots'!D24,0)</f>
        <v>0</v>
      </c>
      <c r="F773">
        <f>IF('Reels'!D176="block",'Reels'!D177*'Slots'!D25,0)+IF('Reels'!D200="block",'Reels'!D201*'Slots'!D25,0)+IF('Reels'!D225="block",'Reels'!D226*'Slots'!D25,0)</f>
        <v>0</v>
      </c>
      <c r="G773" t="b">
        <f>AND('Reels'!D176&lt;&gt;"blank",'Reels'!D176&lt;&gt;"class",'Reels'!D176='Reels'!D225,'Reels'!D177='Reels'!D226,OR('Reels'!D200="class",AND('Reels'!D200='Reels'!D176,'Reels'!D201='Reels'!D177)))</f>
        <v>0</v>
      </c>
      <c r="H773">
        <f>IF(G773,C773,0)</f>
        <v>0</v>
      </c>
    </row>
    <row r="774" spans="1:8" x14ac:dyDescent="0.25">
      <c r="A774" t="s">
        <v>269</v>
      </c>
      <c r="B774" t="s">
        <v>4018</v>
      </c>
      <c r="C774" s="4">
        <f>('Reels'!D178/('Reels'!D178+'Reels'!D181+'Reels'!D184+'Reels'!D187+'Reels'!D190+'Reels'!D193))*('Reels'!D202/('Reels'!D196+'Reels'!D199+'Reels'!D202+'Reels'!D205+'Reels'!D208+'Reels'!D211+'Reels'!D214))*('Reels'!D230/('Reels'!D218+'Reels'!D221+'Reels'!D224+'Reels'!D227+'Reels'!D230+'Reels'!D233))</f>
        <v>0.0020199547040460307</v>
      </c>
      <c r="D774">
        <f>IF(OR('Reels'!D176="attack",'Reels'!D176="magic"),CHOOSE('Reels'!D177+1,'Slots'!D29,'Slots'!D30,'Slots'!D31,'Slots'!D32,'Slots'!D33),0)+IF(OR('Reels'!D200="attack",'Reels'!D200="magic"),CHOOSE('Reels'!D201+1,'Slots'!D29,'Slots'!D30,'Slots'!D31,'Slots'!D32,'Slots'!D33),0)+IF(OR('Reels'!D228="attack",'Reels'!D228="magic"),CHOOSE('Reels'!D229+1,'Slots'!D29,'Slots'!D30,'Slots'!D31,'Slots'!D32,'Slots'!D33),0)</f>
        <v>2</v>
      </c>
      <c r="E774">
        <f>IF('Reels'!D176="heal",'Reels'!D177*'Slots'!D24,0)+IF('Reels'!D200="heal",'Reels'!D201*'Slots'!D24,0)+IF('Reels'!D228="heal",'Reels'!D229*'Slots'!D24,0)</f>
        <v>0</v>
      </c>
      <c r="F774">
        <f>IF('Reels'!D176="block",'Reels'!D177*'Slots'!D25,0)+IF('Reels'!D200="block",'Reels'!D201*'Slots'!D25,0)+IF('Reels'!D228="block",'Reels'!D229*'Slots'!D25,0)</f>
        <v>1</v>
      </c>
      <c r="G774" t="b">
        <f>AND('Reels'!D176&lt;&gt;"blank",'Reels'!D176&lt;&gt;"class",'Reels'!D176='Reels'!D228,'Reels'!D177='Reels'!D229,OR('Reels'!D200="class",AND('Reels'!D200='Reels'!D176,'Reels'!D201='Reels'!D177)))</f>
        <v>0</v>
      </c>
      <c r="H774">
        <f>IF(G774,C774,0)</f>
        <v>0</v>
      </c>
    </row>
    <row r="775" spans="1:8" x14ac:dyDescent="0.25">
      <c r="A775" t="s">
        <v>269</v>
      </c>
      <c r="B775" t="s">
        <v>4019</v>
      </c>
      <c r="C775" s="4">
        <f>('Reels'!D178/('Reels'!D178+'Reels'!D181+'Reels'!D184+'Reels'!D187+'Reels'!D190+'Reels'!D193))*('Reels'!D202/('Reels'!D196+'Reels'!D199+'Reels'!D202+'Reels'!D205+'Reels'!D208+'Reels'!D211+'Reels'!D214))*('Reels'!D233/('Reels'!D218+'Reels'!D221+'Reels'!D224+'Reels'!D227+'Reels'!D230+'Reels'!D233))</f>
        <v>0.005049886760115077</v>
      </c>
      <c r="D775">
        <f>IF(OR('Reels'!D176="attack",'Reels'!D176="magic"),CHOOSE('Reels'!D177+1,'Slots'!D29,'Slots'!D30,'Slots'!D31,'Slots'!D32,'Slots'!D33),0)+IF(OR('Reels'!D200="attack",'Reels'!D200="magic"),CHOOSE('Reels'!D201+1,'Slots'!D29,'Slots'!D30,'Slots'!D31,'Slots'!D32,'Slots'!D33),0)+IF(OR('Reels'!D231="attack",'Reels'!D231="magic"),CHOOSE('Reels'!D232+1,'Slots'!D29,'Slots'!D30,'Slots'!D31,'Slots'!D32,'Slots'!D33),0)</f>
        <v>2</v>
      </c>
      <c r="E775">
        <f>IF('Reels'!D176="heal",'Reels'!D177*'Slots'!D24,0)+IF('Reels'!D200="heal",'Reels'!D201*'Slots'!D24,0)+IF('Reels'!D231="heal",'Reels'!D232*'Slots'!D24,0)</f>
        <v>0</v>
      </c>
      <c r="F775">
        <f>IF('Reels'!D176="block",'Reels'!D177*'Slots'!D25,0)+IF('Reels'!D200="block",'Reels'!D201*'Slots'!D25,0)+IF('Reels'!D231="block",'Reels'!D232*'Slots'!D25,0)</f>
        <v>0</v>
      </c>
      <c r="G775" t="b">
        <f>AND('Reels'!D176&lt;&gt;"blank",'Reels'!D176&lt;&gt;"class",'Reels'!D176='Reels'!D231,'Reels'!D177='Reels'!D232,OR('Reels'!D200="class",AND('Reels'!D200='Reels'!D176,'Reels'!D201='Reels'!D177)))</f>
        <v>0</v>
      </c>
      <c r="H775">
        <f>IF(G775,C775,0)</f>
        <v>0</v>
      </c>
    </row>
    <row r="776" spans="1:8" x14ac:dyDescent="0.25">
      <c r="A776" t="s">
        <v>269</v>
      </c>
      <c r="B776" t="s">
        <v>4020</v>
      </c>
      <c r="C776" s="4">
        <f>('Reels'!D178/('Reels'!D178+'Reels'!D181+'Reels'!D184+'Reels'!D187+'Reels'!D190+'Reels'!D193))*('Reels'!D205/('Reels'!D196+'Reels'!D199+'Reels'!D202+'Reels'!D205+'Reels'!D208+'Reels'!D211+'Reels'!D214))*('Reels'!D218/('Reels'!D218+'Reels'!D221+'Reels'!D224+'Reels'!D227+'Reels'!D230+'Reels'!D233))</f>
        <v>0.011109750872253169</v>
      </c>
      <c r="D776">
        <f>IF(OR('Reels'!D176="attack",'Reels'!D176="magic"),CHOOSE('Reels'!D177+1,'Slots'!D29,'Slots'!D30,'Slots'!D31,'Slots'!D32,'Slots'!D33),0)+IF(OR('Reels'!D203="attack",'Reels'!D203="magic"),CHOOSE('Reels'!D204+1,'Slots'!D29,'Slots'!D30,'Slots'!D31,'Slots'!D32,'Slots'!D33),0)+IF(OR('Reels'!D216="attack",'Reels'!D216="magic"),CHOOSE('Reels'!D217+1,'Slots'!D29,'Slots'!D30,'Slots'!D31,'Slots'!D32,'Slots'!D33),0)</f>
        <v>4</v>
      </c>
      <c r="E776">
        <f>IF('Reels'!D176="heal",'Reels'!D177*'Slots'!D24,0)+IF('Reels'!D203="heal",'Reels'!D204*'Slots'!D24,0)+IF('Reels'!D216="heal",'Reels'!D217*'Slots'!D24,0)</f>
        <v>0</v>
      </c>
      <c r="F776">
        <f>IF('Reels'!D176="block",'Reels'!D177*'Slots'!D25,0)+IF('Reels'!D203="block",'Reels'!D204*'Slots'!D25,0)+IF('Reels'!D216="block",'Reels'!D217*'Slots'!D25,0)</f>
        <v>0</v>
      </c>
      <c r="G776" t="b">
        <f>AND('Reels'!D176&lt;&gt;"blank",'Reels'!D176&lt;&gt;"class",'Reels'!D176='Reels'!D216,'Reels'!D177='Reels'!D217,OR('Reels'!D203="class",AND('Reels'!D203='Reels'!D176,'Reels'!D204='Reels'!D177)))</f>
        <v>0</v>
      </c>
      <c r="H776">
        <f>IF(G776,C776,0)</f>
        <v>0</v>
      </c>
    </row>
    <row r="777" spans="1:8" x14ac:dyDescent="0.25">
      <c r="A777" t="s">
        <v>269</v>
      </c>
      <c r="B777" t="s">
        <v>4021</v>
      </c>
      <c r="C777" s="4">
        <f>('Reels'!D178/('Reels'!D178+'Reels'!D181+'Reels'!D184+'Reels'!D187+'Reels'!D190+'Reels'!D193))*('Reels'!D205/('Reels'!D196+'Reels'!D199+'Reels'!D202+'Reels'!D205+'Reels'!D208+'Reels'!D211+'Reels'!D214))*('Reels'!D221/('Reels'!D218+'Reels'!D221+'Reels'!D224+'Reels'!D227+'Reels'!D230+'Reels'!D233))</f>
        <v>0.0070698414641611074</v>
      </c>
      <c r="D777">
        <f>IF(OR('Reels'!D176="attack",'Reels'!D176="magic"),CHOOSE('Reels'!D177+1,'Slots'!D29,'Slots'!D30,'Slots'!D31,'Slots'!D32,'Slots'!D33),0)+IF(OR('Reels'!D203="attack",'Reels'!D203="magic"),CHOOSE('Reels'!D204+1,'Slots'!D29,'Slots'!D30,'Slots'!D31,'Slots'!D32,'Slots'!D33),0)+IF(OR('Reels'!D219="attack",'Reels'!D219="magic"),CHOOSE('Reels'!D220+1,'Slots'!D29,'Slots'!D30,'Slots'!D31,'Slots'!D32,'Slots'!D33),0)</f>
        <v>6</v>
      </c>
      <c r="E777">
        <f>IF('Reels'!D176="heal",'Reels'!D177*'Slots'!D24,0)+IF('Reels'!D203="heal",'Reels'!D204*'Slots'!D24,0)+IF('Reels'!D219="heal",'Reels'!D220*'Slots'!D24,0)</f>
        <v>0</v>
      </c>
      <c r="F777">
        <f>IF('Reels'!D176="block",'Reels'!D177*'Slots'!D25,0)+IF('Reels'!D203="block",'Reels'!D204*'Slots'!D25,0)+IF('Reels'!D219="block",'Reels'!D220*'Slots'!D25,0)</f>
        <v>0</v>
      </c>
      <c r="G777" t="b">
        <f>AND('Reels'!D176&lt;&gt;"blank",'Reels'!D176&lt;&gt;"class",'Reels'!D176='Reels'!D219,'Reels'!D177='Reels'!D220,OR('Reels'!D203="class",AND('Reels'!D203='Reels'!D176,'Reels'!D204='Reels'!D177)))</f>
        <v>0</v>
      </c>
      <c r="H777">
        <f>IF(G777,C777,0)</f>
        <v>0</v>
      </c>
    </row>
    <row r="778" spans="1:8" x14ac:dyDescent="0.25">
      <c r="A778" t="s">
        <v>269</v>
      </c>
      <c r="B778" t="s">
        <v>4022</v>
      </c>
      <c r="C778" s="4">
        <f>('Reels'!D178/('Reels'!D178+'Reels'!D181+'Reels'!D184+'Reels'!D187+'Reels'!D190+'Reels'!D193))*('Reels'!D205/('Reels'!D196+'Reels'!D199+'Reels'!D202+'Reels'!D205+'Reels'!D208+'Reels'!D211+'Reels'!D214))*('Reels'!D224/('Reels'!D218+'Reels'!D221+'Reels'!D224+'Reels'!D227+'Reels'!D230+'Reels'!D233))</f>
        <v>0.003029932056069046</v>
      </c>
      <c r="D778">
        <f>IF(OR('Reels'!D176="attack",'Reels'!D176="magic"),CHOOSE('Reels'!D177+1,'Slots'!D29,'Slots'!D30,'Slots'!D31,'Slots'!D32,'Slots'!D33),0)+IF(OR('Reels'!D203="attack",'Reels'!D203="magic"),CHOOSE('Reels'!D204+1,'Slots'!D29,'Slots'!D30,'Slots'!D31,'Slots'!D32,'Slots'!D33),0)+IF(OR('Reels'!D222="attack",'Reels'!D222="magic"),CHOOSE('Reels'!D223+1,'Slots'!D29,'Slots'!D30,'Slots'!D31,'Slots'!D32,'Slots'!D33),0)</f>
        <v>2</v>
      </c>
      <c r="E778">
        <f>IF('Reels'!D176="heal",'Reels'!D177*'Slots'!D24,0)+IF('Reels'!D203="heal",'Reels'!D204*'Slots'!D24,0)+IF('Reels'!D222="heal",'Reels'!D223*'Slots'!D24,0)</f>
        <v>0</v>
      </c>
      <c r="F778">
        <f>IF('Reels'!D176="block",'Reels'!D177*'Slots'!D25,0)+IF('Reels'!D203="block",'Reels'!D204*'Slots'!D25,0)+IF('Reels'!D222="block",'Reels'!D223*'Slots'!D25,0)</f>
        <v>0</v>
      </c>
      <c r="G778" t="b">
        <f>AND('Reels'!D176&lt;&gt;"blank",'Reels'!D176&lt;&gt;"class",'Reels'!D176='Reels'!D222,'Reels'!D177='Reels'!D223,OR('Reels'!D203="class",AND('Reels'!D203='Reels'!D176,'Reels'!D204='Reels'!D177)))</f>
        <v>0</v>
      </c>
      <c r="H778">
        <f>IF(G778,C778,0)</f>
        <v>0</v>
      </c>
    </row>
    <row r="779" spans="1:8" x14ac:dyDescent="0.25">
      <c r="A779" t="s">
        <v>269</v>
      </c>
      <c r="B779" t="s">
        <v>4023</v>
      </c>
      <c r="C779" s="4">
        <f>('Reels'!D178/('Reels'!D178+'Reels'!D181+'Reels'!D184+'Reels'!D187+'Reels'!D190+'Reels'!D193))*('Reels'!D205/('Reels'!D196+'Reels'!D199+'Reels'!D202+'Reels'!D205+'Reels'!D208+'Reels'!D211+'Reels'!D214))*('Reels'!D227/('Reels'!D218+'Reels'!D221+'Reels'!D224+'Reels'!D227+'Reels'!D230+'Reels'!D233))</f>
        <v>0.003029932056069046</v>
      </c>
      <c r="D779">
        <f>IF(OR('Reels'!D176="attack",'Reels'!D176="magic"),CHOOSE('Reels'!D177+1,'Slots'!D29,'Slots'!D30,'Slots'!D31,'Slots'!D32,'Slots'!D33),0)+IF(OR('Reels'!D203="attack",'Reels'!D203="magic"),CHOOSE('Reels'!D204+1,'Slots'!D29,'Slots'!D30,'Slots'!D31,'Slots'!D32,'Slots'!D33),0)+IF(OR('Reels'!D225="attack",'Reels'!D225="magic"),CHOOSE('Reels'!D226+1,'Slots'!D29,'Slots'!D30,'Slots'!D31,'Slots'!D32,'Slots'!D33),0)</f>
        <v>2</v>
      </c>
      <c r="E779">
        <f>IF('Reels'!D176="heal",'Reels'!D177*'Slots'!D24,0)+IF('Reels'!D203="heal",'Reels'!D204*'Slots'!D24,0)+IF('Reels'!D225="heal",'Reels'!D226*'Slots'!D24,0)</f>
        <v>0</v>
      </c>
      <c r="F779">
        <f>IF('Reels'!D176="block",'Reels'!D177*'Slots'!D25,0)+IF('Reels'!D203="block",'Reels'!D204*'Slots'!D25,0)+IF('Reels'!D225="block",'Reels'!D226*'Slots'!D25,0)</f>
        <v>0</v>
      </c>
      <c r="G779" t="b">
        <f>AND('Reels'!D176&lt;&gt;"blank",'Reels'!D176&lt;&gt;"class",'Reels'!D176='Reels'!D225,'Reels'!D177='Reels'!D226,OR('Reels'!D203="class",AND('Reels'!D203='Reels'!D176,'Reels'!D204='Reels'!D177)))</f>
        <v>0</v>
      </c>
      <c r="H779">
        <f>IF(G779,C779,0)</f>
        <v>0</v>
      </c>
    </row>
    <row r="780" spans="1:8" x14ac:dyDescent="0.25">
      <c r="A780" t="s">
        <v>269</v>
      </c>
      <c r="B780" t="s">
        <v>4024</v>
      </c>
      <c r="C780" s="4">
        <f>('Reels'!D178/('Reels'!D178+'Reels'!D181+'Reels'!D184+'Reels'!D187+'Reels'!D190+'Reels'!D193))*('Reels'!D205/('Reels'!D196+'Reels'!D199+'Reels'!D202+'Reels'!D205+'Reels'!D208+'Reels'!D211+'Reels'!D214))*('Reels'!D230/('Reels'!D218+'Reels'!D221+'Reels'!D224+'Reels'!D227+'Reels'!D230+'Reels'!D233))</f>
        <v>0.0020199547040460307</v>
      </c>
      <c r="D780">
        <f>IF(OR('Reels'!D176="attack",'Reels'!D176="magic"),CHOOSE('Reels'!D177+1,'Slots'!D29,'Slots'!D30,'Slots'!D31,'Slots'!D32,'Slots'!D33),0)+IF(OR('Reels'!D203="attack",'Reels'!D203="magic"),CHOOSE('Reels'!D204+1,'Slots'!D29,'Slots'!D30,'Slots'!D31,'Slots'!D32,'Slots'!D33),0)+IF(OR('Reels'!D228="attack",'Reels'!D228="magic"),CHOOSE('Reels'!D229+1,'Slots'!D29,'Slots'!D30,'Slots'!D31,'Slots'!D32,'Slots'!D33),0)</f>
        <v>2</v>
      </c>
      <c r="E780">
        <f>IF('Reels'!D176="heal",'Reels'!D177*'Slots'!D24,0)+IF('Reels'!D203="heal",'Reels'!D204*'Slots'!D24,0)+IF('Reels'!D228="heal",'Reels'!D229*'Slots'!D24,0)</f>
        <v>0</v>
      </c>
      <c r="F780">
        <f>IF('Reels'!D176="block",'Reels'!D177*'Slots'!D25,0)+IF('Reels'!D203="block",'Reels'!D204*'Slots'!D25,0)+IF('Reels'!D228="block",'Reels'!D229*'Slots'!D25,0)</f>
        <v>1</v>
      </c>
      <c r="G780" t="b">
        <f>AND('Reels'!D176&lt;&gt;"blank",'Reels'!D176&lt;&gt;"class",'Reels'!D176='Reels'!D228,'Reels'!D177='Reels'!D229,OR('Reels'!D203="class",AND('Reels'!D203='Reels'!D176,'Reels'!D204='Reels'!D177)))</f>
        <v>0</v>
      </c>
      <c r="H780">
        <f>IF(G780,C780,0)</f>
        <v>0</v>
      </c>
    </row>
    <row r="781" spans="1:8" x14ac:dyDescent="0.25">
      <c r="A781" t="s">
        <v>269</v>
      </c>
      <c r="B781" t="s">
        <v>4025</v>
      </c>
      <c r="C781" s="4">
        <f>('Reels'!D178/('Reels'!D178+'Reels'!D181+'Reels'!D184+'Reels'!D187+'Reels'!D190+'Reels'!D193))*('Reels'!D205/('Reels'!D196+'Reels'!D199+'Reels'!D202+'Reels'!D205+'Reels'!D208+'Reels'!D211+'Reels'!D214))*('Reels'!D233/('Reels'!D218+'Reels'!D221+'Reels'!D224+'Reels'!D227+'Reels'!D230+'Reels'!D233))</f>
        <v>0.005049886760115077</v>
      </c>
      <c r="D781">
        <f>IF(OR('Reels'!D176="attack",'Reels'!D176="magic"),CHOOSE('Reels'!D177+1,'Slots'!D29,'Slots'!D30,'Slots'!D31,'Slots'!D32,'Slots'!D33),0)+IF(OR('Reels'!D203="attack",'Reels'!D203="magic"),CHOOSE('Reels'!D204+1,'Slots'!D29,'Slots'!D30,'Slots'!D31,'Slots'!D32,'Slots'!D33),0)+IF(OR('Reels'!D231="attack",'Reels'!D231="magic"),CHOOSE('Reels'!D232+1,'Slots'!D29,'Slots'!D30,'Slots'!D31,'Slots'!D32,'Slots'!D33),0)</f>
        <v>2</v>
      </c>
      <c r="E781">
        <f>IF('Reels'!D176="heal",'Reels'!D177*'Slots'!D24,0)+IF('Reels'!D203="heal",'Reels'!D204*'Slots'!D24,0)+IF('Reels'!D231="heal",'Reels'!D232*'Slots'!D24,0)</f>
        <v>0</v>
      </c>
      <c r="F781">
        <f>IF('Reels'!D176="block",'Reels'!D177*'Slots'!D25,0)+IF('Reels'!D203="block",'Reels'!D204*'Slots'!D25,0)+IF('Reels'!D231="block",'Reels'!D232*'Slots'!D25,0)</f>
        <v>0</v>
      </c>
      <c r="G781" t="b">
        <f>AND('Reels'!D176&lt;&gt;"blank",'Reels'!D176&lt;&gt;"class",'Reels'!D176='Reels'!D231,'Reels'!D177='Reels'!D232,OR('Reels'!D203="class",AND('Reels'!D203='Reels'!D176,'Reels'!D204='Reels'!D177)))</f>
        <v>0</v>
      </c>
      <c r="H781">
        <f>IF(G781,C781,0)</f>
        <v>0</v>
      </c>
    </row>
    <row r="782" spans="1:8" x14ac:dyDescent="0.25">
      <c r="A782" t="s">
        <v>269</v>
      </c>
      <c r="B782" t="s">
        <v>3777</v>
      </c>
      <c r="C782" s="4">
        <f>('Reels'!D178/('Reels'!D178+'Reels'!D181+'Reels'!D184+'Reels'!D187+'Reels'!D190+'Reels'!D193))*('Reels'!D208/('Reels'!D196+'Reels'!D199+'Reels'!D202+'Reels'!D205+'Reels'!D208+'Reels'!D211+'Reels'!D214))*('Reels'!D218/('Reels'!D218+'Reels'!D221+'Reels'!D224+'Reels'!D227+'Reels'!D230+'Reels'!D233))</f>
        <v>0.007406500581502112</v>
      </c>
      <c r="D782">
        <f>IF(OR('Reels'!D176="attack",'Reels'!D176="magic"),CHOOSE('Reels'!D177+1,'Slots'!D29,'Slots'!D30,'Slots'!D31,'Slots'!D32,'Slots'!D33),0)+IF(OR('Reels'!D206="attack",'Reels'!D206="magic"),CHOOSE('Reels'!D207+1,'Slots'!D29,'Slots'!D30,'Slots'!D31,'Slots'!D32,'Slots'!D33),0)+IF(OR('Reels'!D216="attack",'Reels'!D216="magic"),CHOOSE('Reels'!D217+1,'Slots'!D29,'Slots'!D30,'Slots'!D31,'Slots'!D32,'Slots'!D33),0)</f>
        <v>4</v>
      </c>
      <c r="E782">
        <f>IF('Reels'!D176="heal",'Reels'!D177*'Slots'!D24,0)+IF('Reels'!D206="heal",'Reels'!D207*'Slots'!D24,0)+IF('Reels'!D216="heal",'Reels'!D217*'Slots'!D24,0)</f>
        <v>0</v>
      </c>
      <c r="F782">
        <f>IF('Reels'!D176="block",'Reels'!D177*'Slots'!D25,0)+IF('Reels'!D206="block",'Reels'!D207*'Slots'!D25,0)+IF('Reels'!D216="block",'Reels'!D217*'Slots'!D25,0)</f>
        <v>1</v>
      </c>
      <c r="G782" t="b">
        <f>AND('Reels'!D176&lt;&gt;"blank",'Reels'!D176&lt;&gt;"class",'Reels'!D176='Reels'!D216,'Reels'!D177='Reels'!D217,OR('Reels'!D206="class",AND('Reels'!D206='Reels'!D176,'Reels'!D207='Reels'!D177)))</f>
        <v>0</v>
      </c>
      <c r="H782">
        <f>IF(G782,C782,0)</f>
        <v>0</v>
      </c>
    </row>
    <row r="783" spans="1:8" x14ac:dyDescent="0.25">
      <c r="A783" t="s">
        <v>269</v>
      </c>
      <c r="B783" t="s">
        <v>4026</v>
      </c>
      <c r="C783" s="4">
        <f>('Reels'!D178/('Reels'!D178+'Reels'!D181+'Reels'!D184+'Reels'!D187+'Reels'!D190+'Reels'!D193))*('Reels'!D208/('Reels'!D196+'Reels'!D199+'Reels'!D202+'Reels'!D205+'Reels'!D208+'Reels'!D211+'Reels'!D214))*('Reels'!D221/('Reels'!D218+'Reels'!D221+'Reels'!D224+'Reels'!D227+'Reels'!D230+'Reels'!D233))</f>
        <v>0.004713227642774071</v>
      </c>
      <c r="D783">
        <f>IF(OR('Reels'!D176="attack",'Reels'!D176="magic"),CHOOSE('Reels'!D177+1,'Slots'!D29,'Slots'!D30,'Slots'!D31,'Slots'!D32,'Slots'!D33),0)+IF(OR('Reels'!D206="attack",'Reels'!D206="magic"),CHOOSE('Reels'!D207+1,'Slots'!D29,'Slots'!D30,'Slots'!D31,'Slots'!D32,'Slots'!D33),0)+IF(OR('Reels'!D219="attack",'Reels'!D219="magic"),CHOOSE('Reels'!D220+1,'Slots'!D29,'Slots'!D30,'Slots'!D31,'Slots'!D32,'Slots'!D33),0)</f>
        <v>6</v>
      </c>
      <c r="E783">
        <f>IF('Reels'!D176="heal",'Reels'!D177*'Slots'!D24,0)+IF('Reels'!D206="heal",'Reels'!D207*'Slots'!D24,0)+IF('Reels'!D219="heal",'Reels'!D220*'Slots'!D24,0)</f>
        <v>0</v>
      </c>
      <c r="F783">
        <f>IF('Reels'!D176="block",'Reels'!D177*'Slots'!D25,0)+IF('Reels'!D206="block",'Reels'!D207*'Slots'!D25,0)+IF('Reels'!D219="block",'Reels'!D220*'Slots'!D25,0)</f>
        <v>1</v>
      </c>
      <c r="G783" t="b">
        <f>AND('Reels'!D176&lt;&gt;"blank",'Reels'!D176&lt;&gt;"class",'Reels'!D176='Reels'!D219,'Reels'!D177='Reels'!D220,OR('Reels'!D206="class",AND('Reels'!D206='Reels'!D176,'Reels'!D207='Reels'!D177)))</f>
        <v>0</v>
      </c>
      <c r="H783">
        <f>IF(G783,C783,0)</f>
        <v>0</v>
      </c>
    </row>
    <row r="784" spans="1:8" x14ac:dyDescent="0.25">
      <c r="A784" t="s">
        <v>269</v>
      </c>
      <c r="B784" t="s">
        <v>4027</v>
      </c>
      <c r="C784" s="4">
        <f>('Reels'!D178/('Reels'!D178+'Reels'!D181+'Reels'!D184+'Reels'!D187+'Reels'!D190+'Reels'!D193))*('Reels'!D208/('Reels'!D196+'Reels'!D199+'Reels'!D202+'Reels'!D205+'Reels'!D208+'Reels'!D211+'Reels'!D214))*('Reels'!D224/('Reels'!D218+'Reels'!D221+'Reels'!D224+'Reels'!D227+'Reels'!D230+'Reels'!D233))</f>
        <v>0.0020199547040460307</v>
      </c>
      <c r="D784">
        <f>IF(OR('Reels'!D176="attack",'Reels'!D176="magic"),CHOOSE('Reels'!D177+1,'Slots'!D29,'Slots'!D30,'Slots'!D31,'Slots'!D32,'Slots'!D33),0)+IF(OR('Reels'!D206="attack",'Reels'!D206="magic"),CHOOSE('Reels'!D207+1,'Slots'!D29,'Slots'!D30,'Slots'!D31,'Slots'!D32,'Slots'!D33),0)+IF(OR('Reels'!D222="attack",'Reels'!D222="magic"),CHOOSE('Reels'!D223+1,'Slots'!D29,'Slots'!D30,'Slots'!D31,'Slots'!D32,'Slots'!D33),0)</f>
        <v>2</v>
      </c>
      <c r="E784">
        <f>IF('Reels'!D176="heal",'Reels'!D177*'Slots'!D24,0)+IF('Reels'!D206="heal",'Reels'!D207*'Slots'!D24,0)+IF('Reels'!D222="heal",'Reels'!D223*'Slots'!D24,0)</f>
        <v>0</v>
      </c>
      <c r="F784">
        <f>IF('Reels'!D176="block",'Reels'!D177*'Slots'!D25,0)+IF('Reels'!D206="block",'Reels'!D207*'Slots'!D25,0)+IF('Reels'!D222="block",'Reels'!D223*'Slots'!D25,0)</f>
        <v>1</v>
      </c>
      <c r="G784" t="b">
        <f>AND('Reels'!D176&lt;&gt;"blank",'Reels'!D176&lt;&gt;"class",'Reels'!D176='Reels'!D222,'Reels'!D177='Reels'!D223,OR('Reels'!D206="class",AND('Reels'!D206='Reels'!D176,'Reels'!D207='Reels'!D177)))</f>
        <v>0</v>
      </c>
      <c r="H784">
        <f>IF(G784,C784,0)</f>
        <v>0</v>
      </c>
    </row>
    <row r="785" spans="1:8" x14ac:dyDescent="0.25">
      <c r="A785" t="s">
        <v>269</v>
      </c>
      <c r="B785" t="s">
        <v>4028</v>
      </c>
      <c r="C785" s="4">
        <f>('Reels'!D178/('Reels'!D178+'Reels'!D181+'Reels'!D184+'Reels'!D187+'Reels'!D190+'Reels'!D193))*('Reels'!D208/('Reels'!D196+'Reels'!D199+'Reels'!D202+'Reels'!D205+'Reels'!D208+'Reels'!D211+'Reels'!D214))*('Reels'!D227/('Reels'!D218+'Reels'!D221+'Reels'!D224+'Reels'!D227+'Reels'!D230+'Reels'!D233))</f>
        <v>0.0020199547040460307</v>
      </c>
      <c r="D785">
        <f>IF(OR('Reels'!D176="attack",'Reels'!D176="magic"),CHOOSE('Reels'!D177+1,'Slots'!D29,'Slots'!D30,'Slots'!D31,'Slots'!D32,'Slots'!D33),0)+IF(OR('Reels'!D206="attack",'Reels'!D206="magic"),CHOOSE('Reels'!D207+1,'Slots'!D29,'Slots'!D30,'Slots'!D31,'Slots'!D32,'Slots'!D33),0)+IF(OR('Reels'!D225="attack",'Reels'!D225="magic"),CHOOSE('Reels'!D226+1,'Slots'!D29,'Slots'!D30,'Slots'!D31,'Slots'!D32,'Slots'!D33),0)</f>
        <v>2</v>
      </c>
      <c r="E785">
        <f>IF('Reels'!D176="heal",'Reels'!D177*'Slots'!D24,0)+IF('Reels'!D206="heal",'Reels'!D207*'Slots'!D24,0)+IF('Reels'!D225="heal",'Reels'!D226*'Slots'!D24,0)</f>
        <v>0</v>
      </c>
      <c r="F785">
        <f>IF('Reels'!D176="block",'Reels'!D177*'Slots'!D25,0)+IF('Reels'!D206="block",'Reels'!D207*'Slots'!D25,0)+IF('Reels'!D225="block",'Reels'!D226*'Slots'!D25,0)</f>
        <v>1</v>
      </c>
      <c r="G785" t="b">
        <f>AND('Reels'!D176&lt;&gt;"blank",'Reels'!D176&lt;&gt;"class",'Reels'!D176='Reels'!D225,'Reels'!D177='Reels'!D226,OR('Reels'!D206="class",AND('Reels'!D206='Reels'!D176,'Reels'!D207='Reels'!D177)))</f>
        <v>0</v>
      </c>
      <c r="H785">
        <f>IF(G785,C785,0)</f>
        <v>0</v>
      </c>
    </row>
    <row r="786" spans="1:8" x14ac:dyDescent="0.25">
      <c r="A786" t="s">
        <v>269</v>
      </c>
      <c r="B786" t="s">
        <v>3775</v>
      </c>
      <c r="C786" s="4">
        <f>('Reels'!D178/('Reels'!D178+'Reels'!D181+'Reels'!D184+'Reels'!D187+'Reels'!D190+'Reels'!D193))*('Reels'!D208/('Reels'!D196+'Reels'!D199+'Reels'!D202+'Reels'!D205+'Reels'!D208+'Reels'!D211+'Reels'!D214))*('Reels'!D230/('Reels'!D218+'Reels'!D221+'Reels'!D224+'Reels'!D227+'Reels'!D230+'Reels'!D233))</f>
        <v>0.0013466364693640203</v>
      </c>
      <c r="D786">
        <f>IF(OR('Reels'!D176="attack",'Reels'!D176="magic"),CHOOSE('Reels'!D177+1,'Slots'!D29,'Slots'!D30,'Slots'!D31,'Slots'!D32,'Slots'!D33),0)+IF(OR('Reels'!D206="attack",'Reels'!D206="magic"),CHOOSE('Reels'!D207+1,'Slots'!D29,'Slots'!D30,'Slots'!D31,'Slots'!D32,'Slots'!D33),0)+IF(OR('Reels'!D228="attack",'Reels'!D228="magic"),CHOOSE('Reels'!D229+1,'Slots'!D29,'Slots'!D30,'Slots'!D31,'Slots'!D32,'Slots'!D33),0)</f>
        <v>2</v>
      </c>
      <c r="E786">
        <f>IF('Reels'!D176="heal",'Reels'!D177*'Slots'!D24,0)+IF('Reels'!D206="heal",'Reels'!D207*'Slots'!D24,0)+IF('Reels'!D228="heal",'Reels'!D229*'Slots'!D24,0)</f>
        <v>0</v>
      </c>
      <c r="F786">
        <f>IF('Reels'!D176="block",'Reels'!D177*'Slots'!D25,0)+IF('Reels'!D206="block",'Reels'!D207*'Slots'!D25,0)+IF('Reels'!D228="block",'Reels'!D229*'Slots'!D25,0)</f>
        <v>2</v>
      </c>
      <c r="G786" t="b">
        <f>AND('Reels'!D176&lt;&gt;"blank",'Reels'!D176&lt;&gt;"class",'Reels'!D176='Reels'!D228,'Reels'!D177='Reels'!D229,OR('Reels'!D206="class",AND('Reels'!D206='Reels'!D176,'Reels'!D207='Reels'!D177)))</f>
        <v>0</v>
      </c>
      <c r="H786">
        <f>IF(G786,C786,0)</f>
        <v>0</v>
      </c>
    </row>
    <row r="787" spans="1:8" x14ac:dyDescent="0.25">
      <c r="A787" t="s">
        <v>269</v>
      </c>
      <c r="B787" t="s">
        <v>3778</v>
      </c>
      <c r="C787" s="4">
        <f>('Reels'!D178/('Reels'!D178+'Reels'!D181+'Reels'!D184+'Reels'!D187+'Reels'!D190+'Reels'!D193))*('Reels'!D208/('Reels'!D196+'Reels'!D199+'Reels'!D202+'Reels'!D205+'Reels'!D208+'Reels'!D211+'Reels'!D214))*('Reels'!D233/('Reels'!D218+'Reels'!D221+'Reels'!D224+'Reels'!D227+'Reels'!D230+'Reels'!D233))</f>
        <v>0.003366591173410051</v>
      </c>
      <c r="D787">
        <f>IF(OR('Reels'!D176="attack",'Reels'!D176="magic"),CHOOSE('Reels'!D177+1,'Slots'!D29,'Slots'!D30,'Slots'!D31,'Slots'!D32,'Slots'!D33),0)+IF(OR('Reels'!D206="attack",'Reels'!D206="magic"),CHOOSE('Reels'!D207+1,'Slots'!D29,'Slots'!D30,'Slots'!D31,'Slots'!D32,'Slots'!D33),0)+IF(OR('Reels'!D231="attack",'Reels'!D231="magic"),CHOOSE('Reels'!D232+1,'Slots'!D29,'Slots'!D30,'Slots'!D31,'Slots'!D32,'Slots'!D33),0)</f>
        <v>2</v>
      </c>
      <c r="E787">
        <f>IF('Reels'!D176="heal",'Reels'!D177*'Slots'!D24,0)+IF('Reels'!D206="heal",'Reels'!D207*'Slots'!D24,0)+IF('Reels'!D231="heal",'Reels'!D232*'Slots'!D24,0)</f>
        <v>0</v>
      </c>
      <c r="F787">
        <f>IF('Reels'!D176="block",'Reels'!D177*'Slots'!D25,0)+IF('Reels'!D206="block",'Reels'!D207*'Slots'!D25,0)+IF('Reels'!D231="block",'Reels'!D232*'Slots'!D25,0)</f>
        <v>1</v>
      </c>
      <c r="G787" t="b">
        <f>AND('Reels'!D176&lt;&gt;"blank",'Reels'!D176&lt;&gt;"class",'Reels'!D176='Reels'!D231,'Reels'!D177='Reels'!D232,OR('Reels'!D206="class",AND('Reels'!D206='Reels'!D176,'Reels'!D207='Reels'!D177)))</f>
        <v>0</v>
      </c>
      <c r="H787">
        <f>IF(G787,C787,0)</f>
        <v>0</v>
      </c>
    </row>
    <row r="788" spans="1:8" x14ac:dyDescent="0.25">
      <c r="A788" t="s">
        <v>269</v>
      </c>
      <c r="B788" t="s">
        <v>3795</v>
      </c>
      <c r="C788" s="4">
        <f>('Reels'!D178/('Reels'!D178+'Reels'!D181+'Reels'!D184+'Reels'!D187+'Reels'!D190+'Reels'!D193))*('Reels'!D211/('Reels'!D196+'Reels'!D199+'Reels'!D202+'Reels'!D205+'Reels'!D208+'Reels'!D211+'Reels'!D214))*('Reels'!D218/('Reels'!D218+'Reels'!D221+'Reels'!D224+'Reels'!D227+'Reels'!D230+'Reels'!D233))</f>
        <v>0.018516251453755277</v>
      </c>
      <c r="D788">
        <f>IF(OR('Reels'!D176="attack",'Reels'!D176="magic"),CHOOSE('Reels'!D177+1,'Slots'!D29,'Slots'!D30,'Slots'!D31,'Slots'!D32,'Slots'!D33),0)+IF(OR('Reels'!D209="attack",'Reels'!D209="magic"),CHOOSE('Reels'!D210+1,'Slots'!D29,'Slots'!D30,'Slots'!D31,'Slots'!D32,'Slots'!D33),0)+IF(OR('Reels'!D216="attack",'Reels'!D216="magic"),CHOOSE('Reels'!D217+1,'Slots'!D29,'Slots'!D30,'Slots'!D31,'Slots'!D32,'Slots'!D33),0)</f>
        <v>4</v>
      </c>
      <c r="E788">
        <f>IF('Reels'!D176="heal",'Reels'!D177*'Slots'!D24,0)+IF('Reels'!D209="heal",'Reels'!D210*'Slots'!D24,0)+IF('Reels'!D216="heal",'Reels'!D217*'Slots'!D24,0)</f>
        <v>0</v>
      </c>
      <c r="F788">
        <f>IF('Reels'!D176="block",'Reels'!D177*'Slots'!D25,0)+IF('Reels'!D209="block",'Reels'!D210*'Slots'!D25,0)+IF('Reels'!D216="block",'Reels'!D217*'Slots'!D25,0)</f>
        <v>0</v>
      </c>
      <c r="G788" t="b">
        <f>AND('Reels'!D176&lt;&gt;"blank",'Reels'!D176&lt;&gt;"class",'Reels'!D176='Reels'!D216,'Reels'!D177='Reels'!D217,OR('Reels'!D209="class",AND('Reels'!D209='Reels'!D176,'Reels'!D210='Reels'!D177)))</f>
        <v>0</v>
      </c>
      <c r="H788">
        <f>IF(G788,C788,0)</f>
        <v>0</v>
      </c>
    </row>
    <row r="789" spans="1:8" x14ac:dyDescent="0.25">
      <c r="A789" t="s">
        <v>269</v>
      </c>
      <c r="B789" t="s">
        <v>4029</v>
      </c>
      <c r="C789" s="4">
        <f>('Reels'!D178/('Reels'!D178+'Reels'!D181+'Reels'!D184+'Reels'!D187+'Reels'!D190+'Reels'!D193))*('Reels'!D211/('Reels'!D196+'Reels'!D199+'Reels'!D202+'Reels'!D205+'Reels'!D208+'Reels'!D211+'Reels'!D214))*('Reels'!D221/('Reels'!D218+'Reels'!D221+'Reels'!D224+'Reels'!D227+'Reels'!D230+'Reels'!D233))</f>
        <v>0.011783069106935178</v>
      </c>
      <c r="D789">
        <f>IF(OR('Reels'!D176="attack",'Reels'!D176="magic"),CHOOSE('Reels'!D177+1,'Slots'!D29,'Slots'!D30,'Slots'!D31,'Slots'!D32,'Slots'!D33),0)+IF(OR('Reels'!D209="attack",'Reels'!D209="magic"),CHOOSE('Reels'!D210+1,'Slots'!D29,'Slots'!D30,'Slots'!D31,'Slots'!D32,'Slots'!D33),0)+IF(OR('Reels'!D219="attack",'Reels'!D219="magic"),CHOOSE('Reels'!D220+1,'Slots'!D29,'Slots'!D30,'Slots'!D31,'Slots'!D32,'Slots'!D33),0)</f>
        <v>6</v>
      </c>
      <c r="E789">
        <f>IF('Reels'!D176="heal",'Reels'!D177*'Slots'!D24,0)+IF('Reels'!D209="heal",'Reels'!D210*'Slots'!D24,0)+IF('Reels'!D219="heal",'Reels'!D220*'Slots'!D24,0)</f>
        <v>0</v>
      </c>
      <c r="F789">
        <f>IF('Reels'!D176="block",'Reels'!D177*'Slots'!D25,0)+IF('Reels'!D209="block",'Reels'!D210*'Slots'!D25,0)+IF('Reels'!D219="block",'Reels'!D220*'Slots'!D25,0)</f>
        <v>0</v>
      </c>
      <c r="G789" t="b">
        <f>AND('Reels'!D176&lt;&gt;"blank",'Reels'!D176&lt;&gt;"class",'Reels'!D176='Reels'!D219,'Reels'!D177='Reels'!D220,OR('Reels'!D209="class",AND('Reels'!D209='Reels'!D176,'Reels'!D210='Reels'!D177)))</f>
        <v>0</v>
      </c>
      <c r="H789">
        <f>IF(G789,C789,0)</f>
        <v>0</v>
      </c>
    </row>
    <row r="790" spans="1:8" x14ac:dyDescent="0.25">
      <c r="A790" t="s">
        <v>269</v>
      </c>
      <c r="B790" t="s">
        <v>4030</v>
      </c>
      <c r="C790" s="4">
        <f>('Reels'!D178/('Reels'!D178+'Reels'!D181+'Reels'!D184+'Reels'!D187+'Reels'!D190+'Reels'!D193))*('Reels'!D211/('Reels'!D196+'Reels'!D199+'Reels'!D202+'Reels'!D205+'Reels'!D208+'Reels'!D211+'Reels'!D214))*('Reels'!D224/('Reels'!D218+'Reels'!D221+'Reels'!D224+'Reels'!D227+'Reels'!D230+'Reels'!D233))</f>
        <v>0.005049886760115077</v>
      </c>
      <c r="D790">
        <f>IF(OR('Reels'!D176="attack",'Reels'!D176="magic"),CHOOSE('Reels'!D177+1,'Slots'!D29,'Slots'!D30,'Slots'!D31,'Slots'!D32,'Slots'!D33),0)+IF(OR('Reels'!D209="attack",'Reels'!D209="magic"),CHOOSE('Reels'!D210+1,'Slots'!D29,'Slots'!D30,'Slots'!D31,'Slots'!D32,'Slots'!D33),0)+IF(OR('Reels'!D222="attack",'Reels'!D222="magic"),CHOOSE('Reels'!D223+1,'Slots'!D29,'Slots'!D30,'Slots'!D31,'Slots'!D32,'Slots'!D33),0)</f>
        <v>2</v>
      </c>
      <c r="E790">
        <f>IF('Reels'!D176="heal",'Reels'!D177*'Slots'!D24,0)+IF('Reels'!D209="heal",'Reels'!D210*'Slots'!D24,0)+IF('Reels'!D222="heal",'Reels'!D223*'Slots'!D24,0)</f>
        <v>0</v>
      </c>
      <c r="F790">
        <f>IF('Reels'!D176="block",'Reels'!D177*'Slots'!D25,0)+IF('Reels'!D209="block",'Reels'!D210*'Slots'!D25,0)+IF('Reels'!D222="block",'Reels'!D223*'Slots'!D25,0)</f>
        <v>0</v>
      </c>
      <c r="G790" t="b">
        <f>AND('Reels'!D176&lt;&gt;"blank",'Reels'!D176&lt;&gt;"class",'Reels'!D176='Reels'!D222,'Reels'!D177='Reels'!D223,OR('Reels'!D209="class",AND('Reels'!D209='Reels'!D176,'Reels'!D210='Reels'!D177)))</f>
        <v>0</v>
      </c>
      <c r="H790">
        <f>IF(G790,C790,0)</f>
        <v>0</v>
      </c>
    </row>
    <row r="791" spans="1:8" x14ac:dyDescent="0.25">
      <c r="A791" t="s">
        <v>269</v>
      </c>
      <c r="B791" t="s">
        <v>4031</v>
      </c>
      <c r="C791" s="4">
        <f>('Reels'!D178/('Reels'!D178+'Reels'!D181+'Reels'!D184+'Reels'!D187+'Reels'!D190+'Reels'!D193))*('Reels'!D211/('Reels'!D196+'Reels'!D199+'Reels'!D202+'Reels'!D205+'Reels'!D208+'Reels'!D211+'Reels'!D214))*('Reels'!D227/('Reels'!D218+'Reels'!D221+'Reels'!D224+'Reels'!D227+'Reels'!D230+'Reels'!D233))</f>
        <v>0.005049886760115077</v>
      </c>
      <c r="D791">
        <f>IF(OR('Reels'!D176="attack",'Reels'!D176="magic"),CHOOSE('Reels'!D177+1,'Slots'!D29,'Slots'!D30,'Slots'!D31,'Slots'!D32,'Slots'!D33),0)+IF(OR('Reels'!D209="attack",'Reels'!D209="magic"),CHOOSE('Reels'!D210+1,'Slots'!D29,'Slots'!D30,'Slots'!D31,'Slots'!D32,'Slots'!D33),0)+IF(OR('Reels'!D225="attack",'Reels'!D225="magic"),CHOOSE('Reels'!D226+1,'Slots'!D29,'Slots'!D30,'Slots'!D31,'Slots'!D32,'Slots'!D33),0)</f>
        <v>2</v>
      </c>
      <c r="E791">
        <f>IF('Reels'!D176="heal",'Reels'!D177*'Slots'!D24,0)+IF('Reels'!D209="heal",'Reels'!D210*'Slots'!D24,0)+IF('Reels'!D225="heal",'Reels'!D226*'Slots'!D24,0)</f>
        <v>0</v>
      </c>
      <c r="F791">
        <f>IF('Reels'!D176="block",'Reels'!D177*'Slots'!D25,0)+IF('Reels'!D209="block",'Reels'!D210*'Slots'!D25,0)+IF('Reels'!D225="block",'Reels'!D226*'Slots'!D25,0)</f>
        <v>0</v>
      </c>
      <c r="G791" t="b">
        <f>AND('Reels'!D176&lt;&gt;"blank",'Reels'!D176&lt;&gt;"class",'Reels'!D176='Reels'!D225,'Reels'!D177='Reels'!D226,OR('Reels'!D209="class",AND('Reels'!D209='Reels'!D176,'Reels'!D210='Reels'!D177)))</f>
        <v>0</v>
      </c>
      <c r="H791">
        <f>IF(G791,C791,0)</f>
        <v>0</v>
      </c>
    </row>
    <row r="792" spans="1:8" x14ac:dyDescent="0.25">
      <c r="A792" t="s">
        <v>269</v>
      </c>
      <c r="B792" t="s">
        <v>3793</v>
      </c>
      <c r="C792" s="4">
        <f>('Reels'!D178/('Reels'!D178+'Reels'!D181+'Reels'!D184+'Reels'!D187+'Reels'!D190+'Reels'!D193))*('Reels'!D211/('Reels'!D196+'Reels'!D199+'Reels'!D202+'Reels'!D205+'Reels'!D208+'Reels'!D211+'Reels'!D214))*('Reels'!D230/('Reels'!D218+'Reels'!D221+'Reels'!D224+'Reels'!D227+'Reels'!D230+'Reels'!D233))</f>
        <v>0.003366591173410051</v>
      </c>
      <c r="D792">
        <f>IF(OR('Reels'!D176="attack",'Reels'!D176="magic"),CHOOSE('Reels'!D177+1,'Slots'!D29,'Slots'!D30,'Slots'!D31,'Slots'!D32,'Slots'!D33),0)+IF(OR('Reels'!D209="attack",'Reels'!D209="magic"),CHOOSE('Reels'!D210+1,'Slots'!D29,'Slots'!D30,'Slots'!D31,'Slots'!D32,'Slots'!D33),0)+IF(OR('Reels'!D228="attack",'Reels'!D228="magic"),CHOOSE('Reels'!D229+1,'Slots'!D29,'Slots'!D30,'Slots'!D31,'Slots'!D32,'Slots'!D33),0)</f>
        <v>2</v>
      </c>
      <c r="E792">
        <f>IF('Reels'!D176="heal",'Reels'!D177*'Slots'!D24,0)+IF('Reels'!D209="heal",'Reels'!D210*'Slots'!D24,0)+IF('Reels'!D228="heal",'Reels'!D229*'Slots'!D24,0)</f>
        <v>0</v>
      </c>
      <c r="F792">
        <f>IF('Reels'!D176="block",'Reels'!D177*'Slots'!D25,0)+IF('Reels'!D209="block",'Reels'!D210*'Slots'!D25,0)+IF('Reels'!D228="block",'Reels'!D229*'Slots'!D25,0)</f>
        <v>1</v>
      </c>
      <c r="G792" t="b">
        <f>AND('Reels'!D176&lt;&gt;"blank",'Reels'!D176&lt;&gt;"class",'Reels'!D176='Reels'!D228,'Reels'!D177='Reels'!D229,OR('Reels'!D209="class",AND('Reels'!D209='Reels'!D176,'Reels'!D210='Reels'!D177)))</f>
        <v>0</v>
      </c>
      <c r="H792">
        <f>IF(G792,C792,0)</f>
        <v>0</v>
      </c>
    </row>
    <row r="793" spans="1:8" x14ac:dyDescent="0.25">
      <c r="A793" t="s">
        <v>269</v>
      </c>
      <c r="B793" t="s">
        <v>3796</v>
      </c>
      <c r="C793" s="4">
        <f>('Reels'!D178/('Reels'!D178+'Reels'!D181+'Reels'!D184+'Reels'!D187+'Reels'!D190+'Reels'!D193))*('Reels'!D211/('Reels'!D196+'Reels'!D199+'Reels'!D202+'Reels'!D205+'Reels'!D208+'Reels'!D211+'Reels'!D214))*('Reels'!D233/('Reels'!D218+'Reels'!D221+'Reels'!D224+'Reels'!D227+'Reels'!D230+'Reels'!D233))</f>
        <v>0.008416477933525127</v>
      </c>
      <c r="D793">
        <f>IF(OR('Reels'!D176="attack",'Reels'!D176="magic"),CHOOSE('Reels'!D177+1,'Slots'!D29,'Slots'!D30,'Slots'!D31,'Slots'!D32,'Slots'!D33),0)+IF(OR('Reels'!D209="attack",'Reels'!D209="magic"),CHOOSE('Reels'!D210+1,'Slots'!D29,'Slots'!D30,'Slots'!D31,'Slots'!D32,'Slots'!D33),0)+IF(OR('Reels'!D231="attack",'Reels'!D231="magic"),CHOOSE('Reels'!D232+1,'Slots'!D29,'Slots'!D30,'Slots'!D31,'Slots'!D32,'Slots'!D33),0)</f>
        <v>2</v>
      </c>
      <c r="E793">
        <f>IF('Reels'!D176="heal",'Reels'!D177*'Slots'!D24,0)+IF('Reels'!D209="heal",'Reels'!D210*'Slots'!D24,0)+IF('Reels'!D231="heal",'Reels'!D232*'Slots'!D24,0)</f>
        <v>0</v>
      </c>
      <c r="F793">
        <f>IF('Reels'!D176="block",'Reels'!D177*'Slots'!D25,0)+IF('Reels'!D209="block",'Reels'!D210*'Slots'!D25,0)+IF('Reels'!D231="block",'Reels'!D232*'Slots'!D25,0)</f>
        <v>0</v>
      </c>
      <c r="G793" t="b">
        <f>AND('Reels'!D176&lt;&gt;"blank",'Reels'!D176&lt;&gt;"class",'Reels'!D176='Reels'!D231,'Reels'!D177='Reels'!D232,OR('Reels'!D209="class",AND('Reels'!D209='Reels'!D176,'Reels'!D210='Reels'!D177)))</f>
        <v>0</v>
      </c>
      <c r="H793">
        <f>IF(G793,C793,0)</f>
        <v>0</v>
      </c>
    </row>
    <row r="794" spans="1:8" x14ac:dyDescent="0.25">
      <c r="A794" t="s">
        <v>269</v>
      </c>
      <c r="B794" t="s">
        <v>3801</v>
      </c>
      <c r="C794" s="4">
        <f>('Reels'!D178/('Reels'!D178+'Reels'!D181+'Reels'!D184+'Reels'!D187+'Reels'!D190+'Reels'!D193))*('Reels'!D214/('Reels'!D196+'Reels'!D199+'Reels'!D202+'Reels'!D205+'Reels'!D208+'Reels'!D211+'Reels'!D214))*('Reels'!D218/('Reels'!D218+'Reels'!D221+'Reels'!D224+'Reels'!D227+'Reels'!D230+'Reels'!D233))</f>
        <v>0.011109750872253169</v>
      </c>
      <c r="D794">
        <f>IF(OR('Reels'!D176="attack",'Reels'!D176="magic"),CHOOSE('Reels'!D177+1,'Slots'!D29,'Slots'!D30,'Slots'!D31,'Slots'!D32,'Slots'!D33),0)+IF(OR('Reels'!D212="attack",'Reels'!D212="magic"),CHOOSE('Reels'!D213+1,'Slots'!D29,'Slots'!D30,'Slots'!D31,'Slots'!D32,'Slots'!D33),0)+IF(OR('Reels'!D216="attack",'Reels'!D216="magic"),CHOOSE('Reels'!D217+1,'Slots'!D29,'Slots'!D30,'Slots'!D31,'Slots'!D32,'Slots'!D33),0)</f>
        <v>4</v>
      </c>
      <c r="E794">
        <f>IF('Reels'!D176="heal",'Reels'!D177*'Slots'!D24,0)+IF('Reels'!D212="heal",'Reels'!D213*'Slots'!D24,0)+IF('Reels'!D216="heal",'Reels'!D217*'Slots'!D24,0)</f>
        <v>0</v>
      </c>
      <c r="F794">
        <f>IF('Reels'!D176="block",'Reels'!D177*'Slots'!D25,0)+IF('Reels'!D212="block",'Reels'!D213*'Slots'!D25,0)+IF('Reels'!D216="block",'Reels'!D217*'Slots'!D25,0)</f>
        <v>0</v>
      </c>
      <c r="G794" t="b">
        <f>AND('Reels'!D176&lt;&gt;"blank",'Reels'!D176&lt;&gt;"class",'Reels'!D176='Reels'!D216,'Reels'!D177='Reels'!D217,OR('Reels'!D212="class",AND('Reels'!D212='Reels'!D176,'Reels'!D213='Reels'!D177)))</f>
        <v>1</v>
      </c>
      <c r="H794">
        <f>IF(G794,C794,0)</f>
        <v>0.011109750872253169</v>
      </c>
    </row>
    <row r="795" spans="1:8" x14ac:dyDescent="0.25">
      <c r="A795" t="s">
        <v>269</v>
      </c>
      <c r="B795" t="s">
        <v>4032</v>
      </c>
      <c r="C795" s="4">
        <f>('Reels'!D178/('Reels'!D178+'Reels'!D181+'Reels'!D184+'Reels'!D187+'Reels'!D190+'Reels'!D193))*('Reels'!D214/('Reels'!D196+'Reels'!D199+'Reels'!D202+'Reels'!D205+'Reels'!D208+'Reels'!D211+'Reels'!D214))*('Reels'!D221/('Reels'!D218+'Reels'!D221+'Reels'!D224+'Reels'!D227+'Reels'!D230+'Reels'!D233))</f>
        <v>0.0070698414641611074</v>
      </c>
      <c r="D795">
        <f>IF(OR('Reels'!D176="attack",'Reels'!D176="magic"),CHOOSE('Reels'!D177+1,'Slots'!D29,'Slots'!D30,'Slots'!D31,'Slots'!D32,'Slots'!D33),0)+IF(OR('Reels'!D212="attack",'Reels'!D212="magic"),CHOOSE('Reels'!D213+1,'Slots'!D29,'Slots'!D30,'Slots'!D31,'Slots'!D32,'Slots'!D33),0)+IF(OR('Reels'!D219="attack",'Reels'!D219="magic"),CHOOSE('Reels'!D220+1,'Slots'!D29,'Slots'!D30,'Slots'!D31,'Slots'!D32,'Slots'!D33),0)</f>
        <v>6</v>
      </c>
      <c r="E795">
        <f>IF('Reels'!D176="heal",'Reels'!D177*'Slots'!D24,0)+IF('Reels'!D212="heal",'Reels'!D213*'Slots'!D24,0)+IF('Reels'!D219="heal",'Reels'!D220*'Slots'!D24,0)</f>
        <v>0</v>
      </c>
      <c r="F795">
        <f>IF('Reels'!D176="block",'Reels'!D177*'Slots'!D25,0)+IF('Reels'!D212="block",'Reels'!D213*'Slots'!D25,0)+IF('Reels'!D219="block",'Reels'!D220*'Slots'!D25,0)</f>
        <v>0</v>
      </c>
      <c r="G795" t="b">
        <f>AND('Reels'!D176&lt;&gt;"blank",'Reels'!D176&lt;&gt;"class",'Reels'!D176='Reels'!D219,'Reels'!D177='Reels'!D220,OR('Reels'!D212="class",AND('Reels'!D212='Reels'!D176,'Reels'!D213='Reels'!D177)))</f>
        <v>0</v>
      </c>
      <c r="H795">
        <f>IF(G795,C795,0)</f>
        <v>0</v>
      </c>
    </row>
    <row r="796" spans="1:8" x14ac:dyDescent="0.25">
      <c r="A796" t="s">
        <v>269</v>
      </c>
      <c r="B796" t="s">
        <v>4033</v>
      </c>
      <c r="C796" s="4">
        <f>('Reels'!D178/('Reels'!D178+'Reels'!D181+'Reels'!D184+'Reels'!D187+'Reels'!D190+'Reels'!D193))*('Reels'!D214/('Reels'!D196+'Reels'!D199+'Reels'!D202+'Reels'!D205+'Reels'!D208+'Reels'!D211+'Reels'!D214))*('Reels'!D224/('Reels'!D218+'Reels'!D221+'Reels'!D224+'Reels'!D227+'Reels'!D230+'Reels'!D233))</f>
        <v>0.003029932056069046</v>
      </c>
      <c r="D796">
        <f>IF(OR('Reels'!D176="attack",'Reels'!D176="magic"),CHOOSE('Reels'!D177+1,'Slots'!D29,'Slots'!D30,'Slots'!D31,'Slots'!D32,'Slots'!D33),0)+IF(OR('Reels'!D212="attack",'Reels'!D212="magic"),CHOOSE('Reels'!D213+1,'Slots'!D29,'Slots'!D30,'Slots'!D31,'Slots'!D32,'Slots'!D33),0)+IF(OR('Reels'!D222="attack",'Reels'!D222="magic"),CHOOSE('Reels'!D223+1,'Slots'!D29,'Slots'!D30,'Slots'!D31,'Slots'!D32,'Slots'!D33),0)</f>
        <v>2</v>
      </c>
      <c r="E796">
        <f>IF('Reels'!D176="heal",'Reels'!D177*'Slots'!D24,0)+IF('Reels'!D212="heal",'Reels'!D213*'Slots'!D24,0)+IF('Reels'!D222="heal",'Reels'!D223*'Slots'!D24,0)</f>
        <v>0</v>
      </c>
      <c r="F796">
        <f>IF('Reels'!D176="block",'Reels'!D177*'Slots'!D25,0)+IF('Reels'!D212="block",'Reels'!D213*'Slots'!D25,0)+IF('Reels'!D222="block",'Reels'!D223*'Slots'!D25,0)</f>
        <v>0</v>
      </c>
      <c r="G796" t="b">
        <f>AND('Reels'!D176&lt;&gt;"blank",'Reels'!D176&lt;&gt;"class",'Reels'!D176='Reels'!D222,'Reels'!D177='Reels'!D223,OR('Reels'!D212="class",AND('Reels'!D212='Reels'!D176,'Reels'!D213='Reels'!D177)))</f>
        <v>0</v>
      </c>
      <c r="H796">
        <f>IF(G796,C796,0)</f>
        <v>0</v>
      </c>
    </row>
    <row r="797" spans="1:8" x14ac:dyDescent="0.25">
      <c r="A797" t="s">
        <v>269</v>
      </c>
      <c r="B797" t="s">
        <v>4034</v>
      </c>
      <c r="C797" s="4">
        <f>('Reels'!D178/('Reels'!D178+'Reels'!D181+'Reels'!D184+'Reels'!D187+'Reels'!D190+'Reels'!D193))*('Reels'!D214/('Reels'!D196+'Reels'!D199+'Reels'!D202+'Reels'!D205+'Reels'!D208+'Reels'!D211+'Reels'!D214))*('Reels'!D227/('Reels'!D218+'Reels'!D221+'Reels'!D224+'Reels'!D227+'Reels'!D230+'Reels'!D233))</f>
        <v>0.003029932056069046</v>
      </c>
      <c r="D797">
        <f>IF(OR('Reels'!D176="attack",'Reels'!D176="magic"),CHOOSE('Reels'!D177+1,'Slots'!D29,'Slots'!D30,'Slots'!D31,'Slots'!D32,'Slots'!D33),0)+IF(OR('Reels'!D212="attack",'Reels'!D212="magic"),CHOOSE('Reels'!D213+1,'Slots'!D29,'Slots'!D30,'Slots'!D31,'Slots'!D32,'Slots'!D33),0)+IF(OR('Reels'!D225="attack",'Reels'!D225="magic"),CHOOSE('Reels'!D226+1,'Slots'!D29,'Slots'!D30,'Slots'!D31,'Slots'!D32,'Slots'!D33),0)</f>
        <v>2</v>
      </c>
      <c r="E797">
        <f>IF('Reels'!D176="heal",'Reels'!D177*'Slots'!D24,0)+IF('Reels'!D212="heal",'Reels'!D213*'Slots'!D24,0)+IF('Reels'!D225="heal",'Reels'!D226*'Slots'!D24,0)</f>
        <v>0</v>
      </c>
      <c r="F797">
        <f>IF('Reels'!D176="block",'Reels'!D177*'Slots'!D25,0)+IF('Reels'!D212="block",'Reels'!D213*'Slots'!D25,0)+IF('Reels'!D225="block",'Reels'!D226*'Slots'!D25,0)</f>
        <v>0</v>
      </c>
      <c r="G797" t="b">
        <f>AND('Reels'!D176&lt;&gt;"blank",'Reels'!D176&lt;&gt;"class",'Reels'!D176='Reels'!D225,'Reels'!D177='Reels'!D226,OR('Reels'!D212="class",AND('Reels'!D212='Reels'!D176,'Reels'!D213='Reels'!D177)))</f>
        <v>0</v>
      </c>
      <c r="H797">
        <f>IF(G797,C797,0)</f>
        <v>0</v>
      </c>
    </row>
    <row r="798" spans="1:8" x14ac:dyDescent="0.25">
      <c r="A798" t="s">
        <v>269</v>
      </c>
      <c r="B798" t="s">
        <v>3799</v>
      </c>
      <c r="C798" s="4">
        <f>('Reels'!D178/('Reels'!D178+'Reels'!D181+'Reels'!D184+'Reels'!D187+'Reels'!D190+'Reels'!D193))*('Reels'!D214/('Reels'!D196+'Reels'!D199+'Reels'!D202+'Reels'!D205+'Reels'!D208+'Reels'!D211+'Reels'!D214))*('Reels'!D230/('Reels'!D218+'Reels'!D221+'Reels'!D224+'Reels'!D227+'Reels'!D230+'Reels'!D233))</f>
        <v>0.0020199547040460307</v>
      </c>
      <c r="D798">
        <f>IF(OR('Reels'!D176="attack",'Reels'!D176="magic"),CHOOSE('Reels'!D177+1,'Slots'!D29,'Slots'!D30,'Slots'!D31,'Slots'!D32,'Slots'!D33),0)+IF(OR('Reels'!D212="attack",'Reels'!D212="magic"),CHOOSE('Reels'!D213+1,'Slots'!D29,'Slots'!D30,'Slots'!D31,'Slots'!D32,'Slots'!D33),0)+IF(OR('Reels'!D228="attack",'Reels'!D228="magic"),CHOOSE('Reels'!D229+1,'Slots'!D29,'Slots'!D30,'Slots'!D31,'Slots'!D32,'Slots'!D33),0)</f>
        <v>2</v>
      </c>
      <c r="E798">
        <f>IF('Reels'!D176="heal",'Reels'!D177*'Slots'!D24,0)+IF('Reels'!D212="heal",'Reels'!D213*'Slots'!D24,0)+IF('Reels'!D228="heal",'Reels'!D229*'Slots'!D24,0)</f>
        <v>0</v>
      </c>
      <c r="F798">
        <f>IF('Reels'!D176="block",'Reels'!D177*'Slots'!D25,0)+IF('Reels'!D212="block",'Reels'!D213*'Slots'!D25,0)+IF('Reels'!D228="block",'Reels'!D229*'Slots'!D25,0)</f>
        <v>1</v>
      </c>
      <c r="G798" t="b">
        <f>AND('Reels'!D176&lt;&gt;"blank",'Reels'!D176&lt;&gt;"class",'Reels'!D176='Reels'!D228,'Reels'!D177='Reels'!D229,OR('Reels'!D212="class",AND('Reels'!D212='Reels'!D176,'Reels'!D213='Reels'!D177)))</f>
        <v>0</v>
      </c>
      <c r="H798">
        <f>IF(G798,C798,0)</f>
        <v>0</v>
      </c>
    </row>
    <row r="799" spans="1:8" x14ac:dyDescent="0.25">
      <c r="A799" t="s">
        <v>269</v>
      </c>
      <c r="B799" t="s">
        <v>3802</v>
      </c>
      <c r="C799" s="4">
        <f>('Reels'!D178/('Reels'!D178+'Reels'!D181+'Reels'!D184+'Reels'!D187+'Reels'!D190+'Reels'!D193))*('Reels'!D214/('Reels'!D196+'Reels'!D199+'Reels'!D202+'Reels'!D205+'Reels'!D208+'Reels'!D211+'Reels'!D214))*('Reels'!D233/('Reels'!D218+'Reels'!D221+'Reels'!D224+'Reels'!D227+'Reels'!D230+'Reels'!D233))</f>
        <v>0.005049886760115077</v>
      </c>
      <c r="D799">
        <f>IF(OR('Reels'!D176="attack",'Reels'!D176="magic"),CHOOSE('Reels'!D177+1,'Slots'!D29,'Slots'!D30,'Slots'!D31,'Slots'!D32,'Slots'!D33),0)+IF(OR('Reels'!D212="attack",'Reels'!D212="magic"),CHOOSE('Reels'!D213+1,'Slots'!D29,'Slots'!D30,'Slots'!D31,'Slots'!D32,'Slots'!D33),0)+IF(OR('Reels'!D231="attack",'Reels'!D231="magic"),CHOOSE('Reels'!D232+1,'Slots'!D29,'Slots'!D30,'Slots'!D31,'Slots'!D32,'Slots'!D33),0)</f>
        <v>2</v>
      </c>
      <c r="E799">
        <f>IF('Reels'!D176="heal",'Reels'!D177*'Slots'!D24,0)+IF('Reels'!D212="heal",'Reels'!D213*'Slots'!D24,0)+IF('Reels'!D231="heal",'Reels'!D232*'Slots'!D24,0)</f>
        <v>0</v>
      </c>
      <c r="F799">
        <f>IF('Reels'!D176="block",'Reels'!D177*'Slots'!D25,0)+IF('Reels'!D212="block",'Reels'!D213*'Slots'!D25,0)+IF('Reels'!D231="block",'Reels'!D232*'Slots'!D25,0)</f>
        <v>0</v>
      </c>
      <c r="G799" t="b">
        <f>AND('Reels'!D176&lt;&gt;"blank",'Reels'!D176&lt;&gt;"class",'Reels'!D176='Reels'!D231,'Reels'!D177='Reels'!D232,OR('Reels'!D212="class",AND('Reels'!D212='Reels'!D176,'Reels'!D213='Reels'!D177)))</f>
        <v>0</v>
      </c>
      <c r="H799">
        <f>IF(G799,C799,0)</f>
        <v>0</v>
      </c>
    </row>
    <row r="800" spans="1:8" x14ac:dyDescent="0.25">
      <c r="A800" t="s">
        <v>269</v>
      </c>
      <c r="B800" t="s">
        <v>4035</v>
      </c>
      <c r="C800" s="4">
        <f>('Reels'!D181/('Reels'!D178+'Reels'!D181+'Reels'!D184+'Reels'!D187+'Reels'!D190+'Reels'!D193))*('Reels'!D196/('Reels'!D196+'Reels'!D199+'Reels'!D202+'Reels'!D205+'Reels'!D208+'Reels'!D211+'Reels'!D214))*('Reels'!D218/('Reels'!D218+'Reels'!D221+'Reels'!D224+'Reels'!D227+'Reels'!D230+'Reels'!D233))</f>
        <v>0.025922752035257395</v>
      </c>
      <c r="D800">
        <f>IF(OR('Reels'!D179="attack",'Reels'!D179="magic"),CHOOSE('Reels'!D180+1,'Slots'!D29,'Slots'!D30,'Slots'!D31,'Slots'!D32,'Slots'!D33),0)+IF(OR('Reels'!D194="attack",'Reels'!D194="magic"),CHOOSE('Reels'!D195+1,'Slots'!D29,'Slots'!D30,'Slots'!D31,'Slots'!D32,'Slots'!D33),0)+IF(OR('Reels'!D216="attack",'Reels'!D216="magic"),CHOOSE('Reels'!D217+1,'Slots'!D29,'Slots'!D30,'Slots'!D31,'Slots'!D32,'Slots'!D33),0)</f>
        <v>8</v>
      </c>
      <c r="E800">
        <f>IF('Reels'!D179="heal",'Reels'!D180*'Slots'!D24,0)+IF('Reels'!D194="heal",'Reels'!D195*'Slots'!D24,0)+IF('Reels'!D216="heal",'Reels'!D217*'Slots'!D24,0)</f>
        <v>0</v>
      </c>
      <c r="F800">
        <f>IF('Reels'!D179="block",'Reels'!D180*'Slots'!D25,0)+IF('Reels'!D194="block",'Reels'!D195*'Slots'!D25,0)+IF('Reels'!D216="block",'Reels'!D217*'Slots'!D25,0)</f>
        <v>0</v>
      </c>
      <c r="G800" t="b">
        <f>AND('Reels'!D179&lt;&gt;"blank",'Reels'!D179&lt;&gt;"class",'Reels'!D179='Reels'!D216,'Reels'!D180='Reels'!D217,OR('Reels'!D194="class",AND('Reels'!D194='Reels'!D179,'Reels'!D195='Reels'!D180)))</f>
        <v>0</v>
      </c>
      <c r="H800">
        <f>IF(G800,C800,0)</f>
        <v>0</v>
      </c>
    </row>
    <row r="801" spans="1:8" x14ac:dyDescent="0.25">
      <c r="A801" t="s">
        <v>269</v>
      </c>
      <c r="B801" t="s">
        <v>4036</v>
      </c>
      <c r="C801" s="4">
        <f>('Reels'!D181/('Reels'!D178+'Reels'!D181+'Reels'!D184+'Reels'!D187+'Reels'!D190+'Reels'!D193))*('Reels'!D196/('Reels'!D196+'Reels'!D199+'Reels'!D202+'Reels'!D205+'Reels'!D208+'Reels'!D211+'Reels'!D214))*('Reels'!D221/('Reels'!D218+'Reels'!D221+'Reels'!D224+'Reels'!D227+'Reels'!D230+'Reels'!D233))</f>
        <v>0.01649629674970925</v>
      </c>
      <c r="D801">
        <f>IF(OR('Reels'!D179="attack",'Reels'!D179="magic"),CHOOSE('Reels'!D180+1,'Slots'!D29,'Slots'!D30,'Slots'!D31,'Slots'!D32,'Slots'!D33),0)+IF(OR('Reels'!D194="attack",'Reels'!D194="magic"),CHOOSE('Reels'!D195+1,'Slots'!D29,'Slots'!D30,'Slots'!D31,'Slots'!D32,'Slots'!D33),0)+IF(OR('Reels'!D219="attack",'Reels'!D219="magic"),CHOOSE('Reels'!D220+1,'Slots'!D29,'Slots'!D30,'Slots'!D31,'Slots'!D32,'Slots'!D33),0)</f>
        <v>10</v>
      </c>
      <c r="E801">
        <f>IF('Reels'!D179="heal",'Reels'!D180*'Slots'!D24,0)+IF('Reels'!D194="heal",'Reels'!D195*'Slots'!D24,0)+IF('Reels'!D219="heal",'Reels'!D220*'Slots'!D24,0)</f>
        <v>0</v>
      </c>
      <c r="F801">
        <f>IF('Reels'!D179="block",'Reels'!D180*'Slots'!D25,0)+IF('Reels'!D194="block",'Reels'!D195*'Slots'!D25,0)+IF('Reels'!D219="block",'Reels'!D220*'Slots'!D25,0)</f>
        <v>0</v>
      </c>
      <c r="G801" t="b">
        <f>AND('Reels'!D179&lt;&gt;"blank",'Reels'!D179&lt;&gt;"class",'Reels'!D179='Reels'!D219,'Reels'!D180='Reels'!D220,OR('Reels'!D194="class",AND('Reels'!D194='Reels'!D179,'Reels'!D195='Reels'!D180)))</f>
        <v>0</v>
      </c>
      <c r="H801">
        <f>IF(G801,C801,0)</f>
        <v>0</v>
      </c>
    </row>
    <row r="802" spans="1:8" x14ac:dyDescent="0.25">
      <c r="A802" t="s">
        <v>269</v>
      </c>
      <c r="B802" t="s">
        <v>4037</v>
      </c>
      <c r="C802" s="4">
        <f>('Reels'!D181/('Reels'!D178+'Reels'!D181+'Reels'!D184+'Reels'!D187+'Reels'!D190+'Reels'!D193))*('Reels'!D196/('Reels'!D196+'Reels'!D199+'Reels'!D202+'Reels'!D205+'Reels'!D208+'Reels'!D211+'Reels'!D214))*('Reels'!D224/('Reels'!D218+'Reels'!D221+'Reels'!D224+'Reels'!D227+'Reels'!D230+'Reels'!D233))</f>
        <v>0.0070698414641611074</v>
      </c>
      <c r="D802">
        <f>IF(OR('Reels'!D179="attack",'Reels'!D179="magic"),CHOOSE('Reels'!D180+1,'Slots'!D29,'Slots'!D30,'Slots'!D31,'Slots'!D32,'Slots'!D33),0)+IF(OR('Reels'!D194="attack",'Reels'!D194="magic"),CHOOSE('Reels'!D195+1,'Slots'!D29,'Slots'!D30,'Slots'!D31,'Slots'!D32,'Slots'!D33),0)+IF(OR('Reels'!D222="attack",'Reels'!D222="magic"),CHOOSE('Reels'!D223+1,'Slots'!D29,'Slots'!D30,'Slots'!D31,'Slots'!D32,'Slots'!D33),0)</f>
        <v>6</v>
      </c>
      <c r="E802">
        <f>IF('Reels'!D179="heal",'Reels'!D180*'Slots'!D24,0)+IF('Reels'!D194="heal",'Reels'!D195*'Slots'!D24,0)+IF('Reels'!D222="heal",'Reels'!D223*'Slots'!D24,0)</f>
        <v>0</v>
      </c>
      <c r="F802">
        <f>IF('Reels'!D179="block",'Reels'!D180*'Slots'!D25,0)+IF('Reels'!D194="block",'Reels'!D195*'Slots'!D25,0)+IF('Reels'!D222="block",'Reels'!D223*'Slots'!D25,0)</f>
        <v>0</v>
      </c>
      <c r="G802" t="b">
        <f>AND('Reels'!D179&lt;&gt;"blank",'Reels'!D179&lt;&gt;"class",'Reels'!D179='Reels'!D222,'Reels'!D180='Reels'!D223,OR('Reels'!D194="class",AND('Reels'!D194='Reels'!D179,'Reels'!D195='Reels'!D180)))</f>
        <v>0</v>
      </c>
      <c r="H802">
        <f>IF(G802,C802,0)</f>
        <v>0</v>
      </c>
    </row>
    <row r="803" spans="1:8" x14ac:dyDescent="0.25">
      <c r="A803" t="s">
        <v>269</v>
      </c>
      <c r="B803" t="s">
        <v>4038</v>
      </c>
      <c r="C803" s="4">
        <f>('Reels'!D181/('Reels'!D178+'Reels'!D181+'Reels'!D184+'Reels'!D187+'Reels'!D190+'Reels'!D193))*('Reels'!D196/('Reels'!D196+'Reels'!D199+'Reels'!D202+'Reels'!D205+'Reels'!D208+'Reels'!D211+'Reels'!D214))*('Reels'!D227/('Reels'!D218+'Reels'!D221+'Reels'!D224+'Reels'!D227+'Reels'!D230+'Reels'!D233))</f>
        <v>0.0070698414641611074</v>
      </c>
      <c r="D803">
        <f>IF(OR('Reels'!D179="attack",'Reels'!D179="magic"),CHOOSE('Reels'!D180+1,'Slots'!D29,'Slots'!D30,'Slots'!D31,'Slots'!D32,'Slots'!D33),0)+IF(OR('Reels'!D194="attack",'Reels'!D194="magic"),CHOOSE('Reels'!D195+1,'Slots'!D29,'Slots'!D30,'Slots'!D31,'Slots'!D32,'Slots'!D33),0)+IF(OR('Reels'!D225="attack",'Reels'!D225="magic"),CHOOSE('Reels'!D226+1,'Slots'!D29,'Slots'!D30,'Slots'!D31,'Slots'!D32,'Slots'!D33),0)</f>
        <v>6</v>
      </c>
      <c r="E803">
        <f>IF('Reels'!D179="heal",'Reels'!D180*'Slots'!D24,0)+IF('Reels'!D194="heal",'Reels'!D195*'Slots'!D24,0)+IF('Reels'!D225="heal",'Reels'!D226*'Slots'!D24,0)</f>
        <v>0</v>
      </c>
      <c r="F803">
        <f>IF('Reels'!D179="block",'Reels'!D180*'Slots'!D25,0)+IF('Reels'!D194="block",'Reels'!D195*'Slots'!D25,0)+IF('Reels'!D225="block",'Reels'!D226*'Slots'!D25,0)</f>
        <v>0</v>
      </c>
      <c r="G803" t="b">
        <f>AND('Reels'!D179&lt;&gt;"blank",'Reels'!D179&lt;&gt;"class",'Reels'!D179='Reels'!D225,'Reels'!D180='Reels'!D226,OR('Reels'!D194="class",AND('Reels'!D194='Reels'!D179,'Reels'!D195='Reels'!D180)))</f>
        <v>0</v>
      </c>
      <c r="H803">
        <f>IF(G803,C803,0)</f>
        <v>0</v>
      </c>
    </row>
    <row r="804" spans="1:8" x14ac:dyDescent="0.25">
      <c r="A804" t="s">
        <v>269</v>
      </c>
      <c r="B804" t="s">
        <v>4039</v>
      </c>
      <c r="C804" s="4">
        <f>('Reels'!D181/('Reels'!D178+'Reels'!D181+'Reels'!D184+'Reels'!D187+'Reels'!D190+'Reels'!D193))*('Reels'!D196/('Reels'!D196+'Reels'!D199+'Reels'!D202+'Reels'!D205+'Reels'!D208+'Reels'!D211+'Reels'!D214))*('Reels'!D230/('Reels'!D218+'Reels'!D221+'Reels'!D224+'Reels'!D227+'Reels'!D230+'Reels'!D233))</f>
        <v>0.004713227642774071</v>
      </c>
      <c r="D804">
        <f>IF(OR('Reels'!D179="attack",'Reels'!D179="magic"),CHOOSE('Reels'!D180+1,'Slots'!D29,'Slots'!D30,'Slots'!D31,'Slots'!D32,'Slots'!D33),0)+IF(OR('Reels'!D194="attack",'Reels'!D194="magic"),CHOOSE('Reels'!D195+1,'Slots'!D29,'Slots'!D30,'Slots'!D31,'Slots'!D32,'Slots'!D33),0)+IF(OR('Reels'!D228="attack",'Reels'!D228="magic"),CHOOSE('Reels'!D229+1,'Slots'!D29,'Slots'!D30,'Slots'!D31,'Slots'!D32,'Slots'!D33),0)</f>
        <v>6</v>
      </c>
      <c r="E804">
        <f>IF('Reels'!D179="heal",'Reels'!D180*'Slots'!D24,0)+IF('Reels'!D194="heal",'Reels'!D195*'Slots'!D24,0)+IF('Reels'!D228="heal",'Reels'!D229*'Slots'!D24,0)</f>
        <v>0</v>
      </c>
      <c r="F804">
        <f>IF('Reels'!D179="block",'Reels'!D180*'Slots'!D25,0)+IF('Reels'!D194="block",'Reels'!D195*'Slots'!D25,0)+IF('Reels'!D228="block",'Reels'!D229*'Slots'!D25,0)</f>
        <v>1</v>
      </c>
      <c r="G804" t="b">
        <f>AND('Reels'!D179&lt;&gt;"blank",'Reels'!D179&lt;&gt;"class",'Reels'!D179='Reels'!D228,'Reels'!D180='Reels'!D229,OR('Reels'!D194="class",AND('Reels'!D194='Reels'!D179,'Reels'!D195='Reels'!D180)))</f>
        <v>0</v>
      </c>
      <c r="H804">
        <f>IF(G804,C804,0)</f>
        <v>0</v>
      </c>
    </row>
    <row r="805" spans="1:8" x14ac:dyDescent="0.25">
      <c r="A805" t="s">
        <v>269</v>
      </c>
      <c r="B805" t="s">
        <v>4040</v>
      </c>
      <c r="C805" s="4">
        <f>('Reels'!D181/('Reels'!D178+'Reels'!D181+'Reels'!D184+'Reels'!D187+'Reels'!D190+'Reels'!D193))*('Reels'!D196/('Reels'!D196+'Reels'!D199+'Reels'!D202+'Reels'!D205+'Reels'!D208+'Reels'!D211+'Reels'!D214))*('Reels'!D233/('Reels'!D218+'Reels'!D221+'Reels'!D224+'Reels'!D227+'Reels'!D230+'Reels'!D233))</f>
        <v>0.011783069106935178</v>
      </c>
      <c r="D805">
        <f>IF(OR('Reels'!D179="attack",'Reels'!D179="magic"),CHOOSE('Reels'!D180+1,'Slots'!D29,'Slots'!D30,'Slots'!D31,'Slots'!D32,'Slots'!D33),0)+IF(OR('Reels'!D194="attack",'Reels'!D194="magic"),CHOOSE('Reels'!D195+1,'Slots'!D29,'Slots'!D30,'Slots'!D31,'Slots'!D32,'Slots'!D33),0)+IF(OR('Reels'!D231="attack",'Reels'!D231="magic"),CHOOSE('Reels'!D232+1,'Slots'!D29,'Slots'!D30,'Slots'!D31,'Slots'!D32,'Slots'!D33),0)</f>
        <v>6</v>
      </c>
      <c r="E805">
        <f>IF('Reels'!D179="heal",'Reels'!D180*'Slots'!D24,0)+IF('Reels'!D194="heal",'Reels'!D195*'Slots'!D24,0)+IF('Reels'!D231="heal",'Reels'!D232*'Slots'!D24,0)</f>
        <v>0</v>
      </c>
      <c r="F805">
        <f>IF('Reels'!D179="block",'Reels'!D180*'Slots'!D25,0)+IF('Reels'!D194="block",'Reels'!D195*'Slots'!D25,0)+IF('Reels'!D231="block",'Reels'!D232*'Slots'!D25,0)</f>
        <v>0</v>
      </c>
      <c r="G805" t="b">
        <f>AND('Reels'!D179&lt;&gt;"blank",'Reels'!D179&lt;&gt;"class",'Reels'!D179='Reels'!D231,'Reels'!D180='Reels'!D232,OR('Reels'!D194="class",AND('Reels'!D194='Reels'!D179,'Reels'!D195='Reels'!D180)))</f>
        <v>0</v>
      </c>
      <c r="H805">
        <f>IF(G805,C805,0)</f>
        <v>0</v>
      </c>
    </row>
    <row r="806" spans="1:8" x14ac:dyDescent="0.25">
      <c r="A806" t="s">
        <v>269</v>
      </c>
      <c r="B806" t="s">
        <v>4041</v>
      </c>
      <c r="C806" s="4">
        <f>('Reels'!D181/('Reels'!D178+'Reels'!D181+'Reels'!D184+'Reels'!D187+'Reels'!D190+'Reels'!D193))*('Reels'!D199/('Reels'!D196+'Reels'!D199+'Reels'!D202+'Reels'!D205+'Reels'!D208+'Reels'!D211+'Reels'!D214))*('Reels'!D218/('Reels'!D218+'Reels'!D221+'Reels'!D224+'Reels'!D227+'Reels'!D230+'Reels'!D233))</f>
        <v>0.016496296749709247</v>
      </c>
      <c r="D806">
        <f>IF(OR('Reels'!D179="attack",'Reels'!D179="magic"),CHOOSE('Reels'!D180+1,'Slots'!D29,'Slots'!D30,'Slots'!D31,'Slots'!D32,'Slots'!D33),0)+IF(OR('Reels'!D197="attack",'Reels'!D197="magic"),CHOOSE('Reels'!D198+1,'Slots'!D29,'Slots'!D30,'Slots'!D31,'Slots'!D32,'Slots'!D33),0)+IF(OR('Reels'!D216="attack",'Reels'!D216="magic"),CHOOSE('Reels'!D217+1,'Slots'!D29,'Slots'!D30,'Slots'!D31,'Slots'!D32,'Slots'!D33),0)</f>
        <v>10</v>
      </c>
      <c r="E806">
        <f>IF('Reels'!D179="heal",'Reels'!D180*'Slots'!D24,0)+IF('Reels'!D197="heal",'Reels'!D198*'Slots'!D24,0)+IF('Reels'!D216="heal",'Reels'!D217*'Slots'!D24,0)</f>
        <v>0</v>
      </c>
      <c r="F806">
        <f>IF('Reels'!D179="block",'Reels'!D180*'Slots'!D25,0)+IF('Reels'!D197="block",'Reels'!D198*'Slots'!D25,0)+IF('Reels'!D216="block",'Reels'!D217*'Slots'!D25,0)</f>
        <v>0</v>
      </c>
      <c r="G806" t="b">
        <f>AND('Reels'!D179&lt;&gt;"blank",'Reels'!D179&lt;&gt;"class",'Reels'!D179='Reels'!D216,'Reels'!D180='Reels'!D217,OR('Reels'!D197="class",AND('Reels'!D197='Reels'!D179,'Reels'!D198='Reels'!D180)))</f>
        <v>0</v>
      </c>
      <c r="H806">
        <f>IF(G806,C806,0)</f>
        <v>0</v>
      </c>
    </row>
    <row r="807" spans="1:8" x14ac:dyDescent="0.25">
      <c r="A807" t="s">
        <v>269</v>
      </c>
      <c r="B807" t="s">
        <v>4042</v>
      </c>
      <c r="C807" s="4">
        <f>('Reels'!D181/('Reels'!D178+'Reels'!D181+'Reels'!D184+'Reels'!D187+'Reels'!D190+'Reels'!D193))*('Reels'!D199/('Reels'!D196+'Reels'!D199+'Reels'!D202+'Reels'!D205+'Reels'!D208+'Reels'!D211+'Reels'!D214))*('Reels'!D221/('Reels'!D218+'Reels'!D221+'Reels'!D224+'Reels'!D227+'Reels'!D230+'Reels'!D233))</f>
        <v>0.010497643386178611</v>
      </c>
      <c r="D807">
        <f>IF(OR('Reels'!D179="attack",'Reels'!D179="magic"),CHOOSE('Reels'!D180+1,'Slots'!D29,'Slots'!D30,'Slots'!D31,'Slots'!D32,'Slots'!D33),0)+IF(OR('Reels'!D197="attack",'Reels'!D197="magic"),CHOOSE('Reels'!D198+1,'Slots'!D29,'Slots'!D30,'Slots'!D31,'Slots'!D32,'Slots'!D33),0)+IF(OR('Reels'!D219="attack",'Reels'!D219="magic"),CHOOSE('Reels'!D220+1,'Slots'!D29,'Slots'!D30,'Slots'!D31,'Slots'!D32,'Slots'!D33),0)</f>
        <v>12</v>
      </c>
      <c r="E807">
        <f>IF('Reels'!D179="heal",'Reels'!D180*'Slots'!D24,0)+IF('Reels'!D197="heal",'Reels'!D198*'Slots'!D24,0)+IF('Reels'!D219="heal",'Reels'!D220*'Slots'!D24,0)</f>
        <v>0</v>
      </c>
      <c r="F807">
        <f>IF('Reels'!D179="block",'Reels'!D180*'Slots'!D25,0)+IF('Reels'!D197="block",'Reels'!D198*'Slots'!D25,0)+IF('Reels'!D219="block",'Reels'!D220*'Slots'!D25,0)</f>
        <v>0</v>
      </c>
      <c r="G807" t="b">
        <f>AND('Reels'!D179&lt;&gt;"blank",'Reels'!D179&lt;&gt;"class",'Reels'!D179='Reels'!D219,'Reels'!D180='Reels'!D220,OR('Reels'!D197="class",AND('Reels'!D197='Reels'!D179,'Reels'!D198='Reels'!D180)))</f>
        <v>1</v>
      </c>
      <c r="H807">
        <f>IF(G807,C807,0)</f>
        <v>0.010497643386178611</v>
      </c>
    </row>
    <row r="808" spans="1:8" x14ac:dyDescent="0.25">
      <c r="A808" t="s">
        <v>269</v>
      </c>
      <c r="B808" t="s">
        <v>4043</v>
      </c>
      <c r="C808" s="4">
        <f>('Reels'!D181/('Reels'!D178+'Reels'!D181+'Reels'!D184+'Reels'!D187+'Reels'!D190+'Reels'!D193))*('Reels'!D199/('Reels'!D196+'Reels'!D199+'Reels'!D202+'Reels'!D205+'Reels'!D208+'Reels'!D211+'Reels'!D214))*('Reels'!D224/('Reels'!D218+'Reels'!D221+'Reels'!D224+'Reels'!D227+'Reels'!D230+'Reels'!D233))</f>
        <v>0.004498990022647977</v>
      </c>
      <c r="D808">
        <f>IF(OR('Reels'!D179="attack",'Reels'!D179="magic"),CHOOSE('Reels'!D180+1,'Slots'!D29,'Slots'!D30,'Slots'!D31,'Slots'!D32,'Slots'!D33),0)+IF(OR('Reels'!D197="attack",'Reels'!D197="magic"),CHOOSE('Reels'!D198+1,'Slots'!D29,'Slots'!D30,'Slots'!D31,'Slots'!D32,'Slots'!D33),0)+IF(OR('Reels'!D222="attack",'Reels'!D222="magic"),CHOOSE('Reels'!D223+1,'Slots'!D29,'Slots'!D30,'Slots'!D31,'Slots'!D32,'Slots'!D33),0)</f>
        <v>8</v>
      </c>
      <c r="E808">
        <f>IF('Reels'!D179="heal",'Reels'!D180*'Slots'!D24,0)+IF('Reels'!D197="heal",'Reels'!D198*'Slots'!D24,0)+IF('Reels'!D222="heal",'Reels'!D223*'Slots'!D24,0)</f>
        <v>0</v>
      </c>
      <c r="F808">
        <f>IF('Reels'!D179="block",'Reels'!D180*'Slots'!D25,0)+IF('Reels'!D197="block",'Reels'!D198*'Slots'!D25,0)+IF('Reels'!D222="block",'Reels'!D223*'Slots'!D25,0)</f>
        <v>0</v>
      </c>
      <c r="G808" t="b">
        <f>AND('Reels'!D179&lt;&gt;"blank",'Reels'!D179&lt;&gt;"class",'Reels'!D179='Reels'!D222,'Reels'!D180='Reels'!D223,OR('Reels'!D197="class",AND('Reels'!D197='Reels'!D179,'Reels'!D198='Reels'!D180)))</f>
        <v>0</v>
      </c>
      <c r="H808">
        <f>IF(G808,C808,0)</f>
        <v>0</v>
      </c>
    </row>
    <row r="809" spans="1:8" x14ac:dyDescent="0.25">
      <c r="A809" t="s">
        <v>269</v>
      </c>
      <c r="B809" t="s">
        <v>4044</v>
      </c>
      <c r="C809" s="4">
        <f>('Reels'!D181/('Reels'!D178+'Reels'!D181+'Reels'!D184+'Reels'!D187+'Reels'!D190+'Reels'!D193))*('Reels'!D199/('Reels'!D196+'Reels'!D199+'Reels'!D202+'Reels'!D205+'Reels'!D208+'Reels'!D211+'Reels'!D214))*('Reels'!D227/('Reels'!D218+'Reels'!D221+'Reels'!D224+'Reels'!D227+'Reels'!D230+'Reels'!D233))</f>
        <v>0.004498990022647977</v>
      </c>
      <c r="D809">
        <f>IF(OR('Reels'!D179="attack",'Reels'!D179="magic"),CHOOSE('Reels'!D180+1,'Slots'!D29,'Slots'!D30,'Slots'!D31,'Slots'!D32,'Slots'!D33),0)+IF(OR('Reels'!D197="attack",'Reels'!D197="magic"),CHOOSE('Reels'!D198+1,'Slots'!D29,'Slots'!D30,'Slots'!D31,'Slots'!D32,'Slots'!D33),0)+IF(OR('Reels'!D225="attack",'Reels'!D225="magic"),CHOOSE('Reels'!D226+1,'Slots'!D29,'Slots'!D30,'Slots'!D31,'Slots'!D32,'Slots'!D33),0)</f>
        <v>8</v>
      </c>
      <c r="E809">
        <f>IF('Reels'!D179="heal",'Reels'!D180*'Slots'!D24,0)+IF('Reels'!D197="heal",'Reels'!D198*'Slots'!D24,0)+IF('Reels'!D225="heal",'Reels'!D226*'Slots'!D24,0)</f>
        <v>0</v>
      </c>
      <c r="F809">
        <f>IF('Reels'!D179="block",'Reels'!D180*'Slots'!D25,0)+IF('Reels'!D197="block",'Reels'!D198*'Slots'!D25,0)+IF('Reels'!D225="block",'Reels'!D226*'Slots'!D25,0)</f>
        <v>0</v>
      </c>
      <c r="G809" t="b">
        <f>AND('Reels'!D179&lt;&gt;"blank",'Reels'!D179&lt;&gt;"class",'Reels'!D179='Reels'!D225,'Reels'!D180='Reels'!D226,OR('Reels'!D197="class",AND('Reels'!D197='Reels'!D179,'Reels'!D198='Reels'!D180)))</f>
        <v>0</v>
      </c>
      <c r="H809">
        <f>IF(G809,C809,0)</f>
        <v>0</v>
      </c>
    </row>
    <row r="810" spans="1:8" x14ac:dyDescent="0.25">
      <c r="A810" t="s">
        <v>269</v>
      </c>
      <c r="B810" t="s">
        <v>4045</v>
      </c>
      <c r="C810" s="4">
        <f>('Reels'!D181/('Reels'!D178+'Reels'!D181+'Reels'!D184+'Reels'!D187+'Reels'!D190+'Reels'!D193))*('Reels'!D199/('Reels'!D196+'Reels'!D199+'Reels'!D202+'Reels'!D205+'Reels'!D208+'Reels'!D211+'Reels'!D214))*('Reels'!D230/('Reels'!D218+'Reels'!D221+'Reels'!D224+'Reels'!D227+'Reels'!D230+'Reels'!D233))</f>
        <v>0.002999326681765318</v>
      </c>
      <c r="D810">
        <f>IF(OR('Reels'!D179="attack",'Reels'!D179="magic"),CHOOSE('Reels'!D180+1,'Slots'!D29,'Slots'!D30,'Slots'!D31,'Slots'!D32,'Slots'!D33),0)+IF(OR('Reels'!D197="attack",'Reels'!D197="magic"),CHOOSE('Reels'!D198+1,'Slots'!D29,'Slots'!D30,'Slots'!D31,'Slots'!D32,'Slots'!D33),0)+IF(OR('Reels'!D228="attack",'Reels'!D228="magic"),CHOOSE('Reels'!D229+1,'Slots'!D29,'Slots'!D30,'Slots'!D31,'Slots'!D32,'Slots'!D33),0)</f>
        <v>8</v>
      </c>
      <c r="E810">
        <f>IF('Reels'!D179="heal",'Reels'!D180*'Slots'!D24,0)+IF('Reels'!D197="heal",'Reels'!D198*'Slots'!D24,0)+IF('Reels'!D228="heal",'Reels'!D229*'Slots'!D24,0)</f>
        <v>0</v>
      </c>
      <c r="F810">
        <f>IF('Reels'!D179="block",'Reels'!D180*'Slots'!D25,0)+IF('Reels'!D197="block",'Reels'!D198*'Slots'!D25,0)+IF('Reels'!D228="block",'Reels'!D229*'Slots'!D25,0)</f>
        <v>1</v>
      </c>
      <c r="G810" t="b">
        <f>AND('Reels'!D179&lt;&gt;"blank",'Reels'!D179&lt;&gt;"class",'Reels'!D179='Reels'!D228,'Reels'!D180='Reels'!D229,OR('Reels'!D197="class",AND('Reels'!D197='Reels'!D179,'Reels'!D198='Reels'!D180)))</f>
        <v>0</v>
      </c>
      <c r="H810">
        <f>IF(G810,C810,0)</f>
        <v>0</v>
      </c>
    </row>
    <row r="811" spans="1:8" x14ac:dyDescent="0.25">
      <c r="A811" t="s">
        <v>269</v>
      </c>
      <c r="B811" t="s">
        <v>4046</v>
      </c>
      <c r="C811" s="4">
        <f>('Reels'!D181/('Reels'!D178+'Reels'!D181+'Reels'!D184+'Reels'!D187+'Reels'!D190+'Reels'!D193))*('Reels'!D199/('Reels'!D196+'Reels'!D199+'Reels'!D202+'Reels'!D205+'Reels'!D208+'Reels'!D211+'Reels'!D214))*('Reels'!D233/('Reels'!D218+'Reels'!D221+'Reels'!D224+'Reels'!D227+'Reels'!D230+'Reels'!D233))</f>
        <v>0.007498316704413294</v>
      </c>
      <c r="D811">
        <f>IF(OR('Reels'!D179="attack",'Reels'!D179="magic"),CHOOSE('Reels'!D180+1,'Slots'!D29,'Slots'!D30,'Slots'!D31,'Slots'!D32,'Slots'!D33),0)+IF(OR('Reels'!D197="attack",'Reels'!D197="magic"),CHOOSE('Reels'!D198+1,'Slots'!D29,'Slots'!D30,'Slots'!D31,'Slots'!D32,'Slots'!D33),0)+IF(OR('Reels'!D231="attack",'Reels'!D231="magic"),CHOOSE('Reels'!D232+1,'Slots'!D29,'Slots'!D30,'Slots'!D31,'Slots'!D32,'Slots'!D33),0)</f>
        <v>8</v>
      </c>
      <c r="E811">
        <f>IF('Reels'!D179="heal",'Reels'!D180*'Slots'!D24,0)+IF('Reels'!D197="heal",'Reels'!D198*'Slots'!D24,0)+IF('Reels'!D231="heal",'Reels'!D232*'Slots'!D24,0)</f>
        <v>0</v>
      </c>
      <c r="F811">
        <f>IF('Reels'!D179="block",'Reels'!D180*'Slots'!D25,0)+IF('Reels'!D197="block",'Reels'!D198*'Slots'!D25,0)+IF('Reels'!D231="block",'Reels'!D232*'Slots'!D25,0)</f>
        <v>0</v>
      </c>
      <c r="G811" t="b">
        <f>AND('Reels'!D179&lt;&gt;"blank",'Reels'!D179&lt;&gt;"class",'Reels'!D179='Reels'!D231,'Reels'!D180='Reels'!D232,OR('Reels'!D197="class",AND('Reels'!D197='Reels'!D179,'Reels'!D198='Reels'!D180)))</f>
        <v>0</v>
      </c>
      <c r="H811">
        <f>IF(G811,C811,0)</f>
        <v>0</v>
      </c>
    </row>
    <row r="812" spans="1:8" x14ac:dyDescent="0.25">
      <c r="A812" t="s">
        <v>269</v>
      </c>
      <c r="B812" t="s">
        <v>4047</v>
      </c>
      <c r="C812" s="4">
        <f>('Reels'!D181/('Reels'!D178+'Reels'!D181+'Reels'!D184+'Reels'!D187+'Reels'!D190+'Reels'!D193))*('Reels'!D202/('Reels'!D196+'Reels'!D199+'Reels'!D202+'Reels'!D205+'Reels'!D208+'Reels'!D211+'Reels'!D214))*('Reels'!D218/('Reels'!D218+'Reels'!D221+'Reels'!D224+'Reels'!D227+'Reels'!D230+'Reels'!D233))</f>
        <v>0.0070698414641611074</v>
      </c>
      <c r="D812">
        <f>IF(OR('Reels'!D179="attack",'Reels'!D179="magic"),CHOOSE('Reels'!D180+1,'Slots'!D29,'Slots'!D30,'Slots'!D31,'Slots'!D32,'Slots'!D33),0)+IF(OR('Reels'!D200="attack",'Reels'!D200="magic"),CHOOSE('Reels'!D201+1,'Slots'!D29,'Slots'!D30,'Slots'!D31,'Slots'!D32,'Slots'!D33),0)+IF(OR('Reels'!D216="attack",'Reels'!D216="magic"),CHOOSE('Reels'!D217+1,'Slots'!D29,'Slots'!D30,'Slots'!D31,'Slots'!D32,'Slots'!D33),0)</f>
        <v>6</v>
      </c>
      <c r="E812">
        <f>IF('Reels'!D179="heal",'Reels'!D180*'Slots'!D24,0)+IF('Reels'!D200="heal",'Reels'!D201*'Slots'!D24,0)+IF('Reels'!D216="heal",'Reels'!D217*'Slots'!D24,0)</f>
        <v>0</v>
      </c>
      <c r="F812">
        <f>IF('Reels'!D179="block",'Reels'!D180*'Slots'!D25,0)+IF('Reels'!D200="block",'Reels'!D201*'Slots'!D25,0)+IF('Reels'!D216="block",'Reels'!D217*'Slots'!D25,0)</f>
        <v>0</v>
      </c>
      <c r="G812" t="b">
        <f>AND('Reels'!D179&lt;&gt;"blank",'Reels'!D179&lt;&gt;"class",'Reels'!D179='Reels'!D216,'Reels'!D180='Reels'!D217,OR('Reels'!D200="class",AND('Reels'!D200='Reels'!D179,'Reels'!D201='Reels'!D180)))</f>
        <v>0</v>
      </c>
      <c r="H812">
        <f>IF(G812,C812,0)</f>
        <v>0</v>
      </c>
    </row>
    <row r="813" spans="1:8" x14ac:dyDescent="0.25">
      <c r="A813" t="s">
        <v>269</v>
      </c>
      <c r="B813" t="s">
        <v>4048</v>
      </c>
      <c r="C813" s="4">
        <f>('Reels'!D181/('Reels'!D178+'Reels'!D181+'Reels'!D184+'Reels'!D187+'Reels'!D190+'Reels'!D193))*('Reels'!D202/('Reels'!D196+'Reels'!D199+'Reels'!D202+'Reels'!D205+'Reels'!D208+'Reels'!D211+'Reels'!D214))*('Reels'!D221/('Reels'!D218+'Reels'!D221+'Reels'!D224+'Reels'!D227+'Reels'!D230+'Reels'!D233))</f>
        <v>0.004498990022647977</v>
      </c>
      <c r="D813">
        <f>IF(OR('Reels'!D179="attack",'Reels'!D179="magic"),CHOOSE('Reels'!D180+1,'Slots'!D29,'Slots'!D30,'Slots'!D31,'Slots'!D32,'Slots'!D33),0)+IF(OR('Reels'!D200="attack",'Reels'!D200="magic"),CHOOSE('Reels'!D201+1,'Slots'!D29,'Slots'!D30,'Slots'!D31,'Slots'!D32,'Slots'!D33),0)+IF(OR('Reels'!D219="attack",'Reels'!D219="magic"),CHOOSE('Reels'!D220+1,'Slots'!D29,'Slots'!D30,'Slots'!D31,'Slots'!D32,'Slots'!D33),0)</f>
        <v>8</v>
      </c>
      <c r="E813">
        <f>IF('Reels'!D179="heal",'Reels'!D180*'Slots'!D24,0)+IF('Reels'!D200="heal",'Reels'!D201*'Slots'!D24,0)+IF('Reels'!D219="heal",'Reels'!D220*'Slots'!D24,0)</f>
        <v>0</v>
      </c>
      <c r="F813">
        <f>IF('Reels'!D179="block",'Reels'!D180*'Slots'!D25,0)+IF('Reels'!D200="block",'Reels'!D201*'Slots'!D25,0)+IF('Reels'!D219="block",'Reels'!D220*'Slots'!D25,0)</f>
        <v>0</v>
      </c>
      <c r="G813" t="b">
        <f>AND('Reels'!D179&lt;&gt;"blank",'Reels'!D179&lt;&gt;"class",'Reels'!D179='Reels'!D219,'Reels'!D180='Reels'!D220,OR('Reels'!D200="class",AND('Reels'!D200='Reels'!D179,'Reels'!D201='Reels'!D180)))</f>
        <v>0</v>
      </c>
      <c r="H813">
        <f>IF(G813,C813,0)</f>
        <v>0</v>
      </c>
    </row>
    <row r="814" spans="1:8" x14ac:dyDescent="0.25">
      <c r="A814" t="s">
        <v>269</v>
      </c>
      <c r="B814" t="s">
        <v>4049</v>
      </c>
      <c r="C814" s="4">
        <f>('Reels'!D181/('Reels'!D178+'Reels'!D181+'Reels'!D184+'Reels'!D187+'Reels'!D190+'Reels'!D193))*('Reels'!D202/('Reels'!D196+'Reels'!D199+'Reels'!D202+'Reels'!D205+'Reels'!D208+'Reels'!D211+'Reels'!D214))*('Reels'!D224/('Reels'!D218+'Reels'!D221+'Reels'!D224+'Reels'!D227+'Reels'!D230+'Reels'!D233))</f>
        <v>0.001928138581134847</v>
      </c>
      <c r="D814">
        <f>IF(OR('Reels'!D179="attack",'Reels'!D179="magic"),CHOOSE('Reels'!D180+1,'Slots'!D29,'Slots'!D30,'Slots'!D31,'Slots'!D32,'Slots'!D33),0)+IF(OR('Reels'!D200="attack",'Reels'!D200="magic"),CHOOSE('Reels'!D201+1,'Slots'!D29,'Slots'!D30,'Slots'!D31,'Slots'!D32,'Slots'!D33),0)+IF(OR('Reels'!D222="attack",'Reels'!D222="magic"),CHOOSE('Reels'!D223+1,'Slots'!D29,'Slots'!D30,'Slots'!D31,'Slots'!D32,'Slots'!D33),0)</f>
        <v>4</v>
      </c>
      <c r="E814">
        <f>IF('Reels'!D179="heal",'Reels'!D180*'Slots'!D24,0)+IF('Reels'!D200="heal",'Reels'!D201*'Slots'!D24,0)+IF('Reels'!D222="heal",'Reels'!D223*'Slots'!D24,0)</f>
        <v>0</v>
      </c>
      <c r="F814">
        <f>IF('Reels'!D179="block",'Reels'!D180*'Slots'!D25,0)+IF('Reels'!D200="block",'Reels'!D201*'Slots'!D25,0)+IF('Reels'!D222="block",'Reels'!D223*'Slots'!D25,0)</f>
        <v>0</v>
      </c>
      <c r="G814" t="b">
        <f>AND('Reels'!D179&lt;&gt;"blank",'Reels'!D179&lt;&gt;"class",'Reels'!D179='Reels'!D222,'Reels'!D180='Reels'!D223,OR('Reels'!D200="class",AND('Reels'!D200='Reels'!D179,'Reels'!D201='Reels'!D180)))</f>
        <v>0</v>
      </c>
      <c r="H814">
        <f>IF(G814,C814,0)</f>
        <v>0</v>
      </c>
    </row>
    <row r="815" spans="1:8" x14ac:dyDescent="0.25">
      <c r="A815" t="s">
        <v>269</v>
      </c>
      <c r="B815" t="s">
        <v>4050</v>
      </c>
      <c r="C815" s="4">
        <f>('Reels'!D181/('Reels'!D178+'Reels'!D181+'Reels'!D184+'Reels'!D187+'Reels'!D190+'Reels'!D193))*('Reels'!D202/('Reels'!D196+'Reels'!D199+'Reels'!D202+'Reels'!D205+'Reels'!D208+'Reels'!D211+'Reels'!D214))*('Reels'!D227/('Reels'!D218+'Reels'!D221+'Reels'!D224+'Reels'!D227+'Reels'!D230+'Reels'!D233))</f>
        <v>0.001928138581134847</v>
      </c>
      <c r="D815">
        <f>IF(OR('Reels'!D179="attack",'Reels'!D179="magic"),CHOOSE('Reels'!D180+1,'Slots'!D29,'Slots'!D30,'Slots'!D31,'Slots'!D32,'Slots'!D33),0)+IF(OR('Reels'!D200="attack",'Reels'!D200="magic"),CHOOSE('Reels'!D201+1,'Slots'!D29,'Slots'!D30,'Slots'!D31,'Slots'!D32,'Slots'!D33),0)+IF(OR('Reels'!D225="attack",'Reels'!D225="magic"),CHOOSE('Reels'!D226+1,'Slots'!D29,'Slots'!D30,'Slots'!D31,'Slots'!D32,'Slots'!D33),0)</f>
        <v>4</v>
      </c>
      <c r="E815">
        <f>IF('Reels'!D179="heal",'Reels'!D180*'Slots'!D24,0)+IF('Reels'!D200="heal",'Reels'!D201*'Slots'!D24,0)+IF('Reels'!D225="heal",'Reels'!D226*'Slots'!D24,0)</f>
        <v>0</v>
      </c>
      <c r="F815">
        <f>IF('Reels'!D179="block",'Reels'!D180*'Slots'!D25,0)+IF('Reels'!D200="block",'Reels'!D201*'Slots'!D25,0)+IF('Reels'!D225="block",'Reels'!D226*'Slots'!D25,0)</f>
        <v>0</v>
      </c>
      <c r="G815" t="b">
        <f>AND('Reels'!D179&lt;&gt;"blank",'Reels'!D179&lt;&gt;"class",'Reels'!D179='Reels'!D225,'Reels'!D180='Reels'!D226,OR('Reels'!D200="class",AND('Reels'!D200='Reels'!D179,'Reels'!D201='Reels'!D180)))</f>
        <v>0</v>
      </c>
      <c r="H815">
        <f>IF(G815,C815,0)</f>
        <v>0</v>
      </c>
    </row>
    <row r="816" spans="1:8" x14ac:dyDescent="0.25">
      <c r="A816" t="s">
        <v>269</v>
      </c>
      <c r="B816" t="s">
        <v>4051</v>
      </c>
      <c r="C816" s="4">
        <f>('Reels'!D181/('Reels'!D178+'Reels'!D181+'Reels'!D184+'Reels'!D187+'Reels'!D190+'Reels'!D193))*('Reels'!D202/('Reels'!D196+'Reels'!D199+'Reels'!D202+'Reels'!D205+'Reels'!D208+'Reels'!D211+'Reels'!D214))*('Reels'!D230/('Reels'!D218+'Reels'!D221+'Reels'!D224+'Reels'!D227+'Reels'!D230+'Reels'!D233))</f>
        <v>0.0012854257207565649</v>
      </c>
      <c r="D816">
        <f>IF(OR('Reels'!D179="attack",'Reels'!D179="magic"),CHOOSE('Reels'!D180+1,'Slots'!D29,'Slots'!D30,'Slots'!D31,'Slots'!D32,'Slots'!D33),0)+IF(OR('Reels'!D200="attack",'Reels'!D200="magic"),CHOOSE('Reels'!D201+1,'Slots'!D29,'Slots'!D30,'Slots'!D31,'Slots'!D32,'Slots'!D33),0)+IF(OR('Reels'!D228="attack",'Reels'!D228="magic"),CHOOSE('Reels'!D229+1,'Slots'!D29,'Slots'!D30,'Slots'!D31,'Slots'!D32,'Slots'!D33),0)</f>
        <v>4</v>
      </c>
      <c r="E816">
        <f>IF('Reels'!D179="heal",'Reels'!D180*'Slots'!D24,0)+IF('Reels'!D200="heal",'Reels'!D201*'Slots'!D24,0)+IF('Reels'!D228="heal",'Reels'!D229*'Slots'!D24,0)</f>
        <v>0</v>
      </c>
      <c r="F816">
        <f>IF('Reels'!D179="block",'Reels'!D180*'Slots'!D25,0)+IF('Reels'!D200="block",'Reels'!D201*'Slots'!D25,0)+IF('Reels'!D228="block",'Reels'!D229*'Slots'!D25,0)</f>
        <v>1</v>
      </c>
      <c r="G816" t="b">
        <f>AND('Reels'!D179&lt;&gt;"blank",'Reels'!D179&lt;&gt;"class",'Reels'!D179='Reels'!D228,'Reels'!D180='Reels'!D229,OR('Reels'!D200="class",AND('Reels'!D200='Reels'!D179,'Reels'!D201='Reels'!D180)))</f>
        <v>0</v>
      </c>
      <c r="H816">
        <f>IF(G816,C816,0)</f>
        <v>0</v>
      </c>
    </row>
    <row r="817" spans="1:8" x14ac:dyDescent="0.25">
      <c r="A817" t="s">
        <v>269</v>
      </c>
      <c r="B817" t="s">
        <v>4052</v>
      </c>
      <c r="C817" s="4">
        <f>('Reels'!D181/('Reels'!D178+'Reels'!D181+'Reels'!D184+'Reels'!D187+'Reels'!D190+'Reels'!D193))*('Reels'!D202/('Reels'!D196+'Reels'!D199+'Reels'!D202+'Reels'!D205+'Reels'!D208+'Reels'!D211+'Reels'!D214))*('Reels'!D233/('Reels'!D218+'Reels'!D221+'Reels'!D224+'Reels'!D227+'Reels'!D230+'Reels'!D233))</f>
        <v>0.0032135643018914124</v>
      </c>
      <c r="D817">
        <f>IF(OR('Reels'!D179="attack",'Reels'!D179="magic"),CHOOSE('Reels'!D180+1,'Slots'!D29,'Slots'!D30,'Slots'!D31,'Slots'!D32,'Slots'!D33),0)+IF(OR('Reels'!D200="attack",'Reels'!D200="magic"),CHOOSE('Reels'!D201+1,'Slots'!D29,'Slots'!D30,'Slots'!D31,'Slots'!D32,'Slots'!D33),0)+IF(OR('Reels'!D231="attack",'Reels'!D231="magic"),CHOOSE('Reels'!D232+1,'Slots'!D29,'Slots'!D30,'Slots'!D31,'Slots'!D32,'Slots'!D33),0)</f>
        <v>4</v>
      </c>
      <c r="E817">
        <f>IF('Reels'!D179="heal",'Reels'!D180*'Slots'!D24,0)+IF('Reels'!D200="heal",'Reels'!D201*'Slots'!D24,0)+IF('Reels'!D231="heal",'Reels'!D232*'Slots'!D24,0)</f>
        <v>0</v>
      </c>
      <c r="F817">
        <f>IF('Reels'!D179="block",'Reels'!D180*'Slots'!D25,0)+IF('Reels'!D200="block",'Reels'!D201*'Slots'!D25,0)+IF('Reels'!D231="block",'Reels'!D232*'Slots'!D25,0)</f>
        <v>0</v>
      </c>
      <c r="G817" t="b">
        <f>AND('Reels'!D179&lt;&gt;"blank",'Reels'!D179&lt;&gt;"class",'Reels'!D179='Reels'!D231,'Reels'!D180='Reels'!D232,OR('Reels'!D200="class",AND('Reels'!D200='Reels'!D179,'Reels'!D201='Reels'!D180)))</f>
        <v>0</v>
      </c>
      <c r="H817">
        <f>IF(G817,C817,0)</f>
        <v>0</v>
      </c>
    </row>
    <row r="818" spans="1:8" x14ac:dyDescent="0.25">
      <c r="A818" t="s">
        <v>269</v>
      </c>
      <c r="B818" t="s">
        <v>4053</v>
      </c>
      <c r="C818" s="4">
        <f>('Reels'!D181/('Reels'!D178+'Reels'!D181+'Reels'!D184+'Reels'!D187+'Reels'!D190+'Reels'!D193))*('Reels'!D205/('Reels'!D196+'Reels'!D199+'Reels'!D202+'Reels'!D205+'Reels'!D208+'Reels'!D211+'Reels'!D214))*('Reels'!D218/('Reels'!D218+'Reels'!D221+'Reels'!D224+'Reels'!D227+'Reels'!D230+'Reels'!D233))</f>
        <v>0.0070698414641611074</v>
      </c>
      <c r="D818">
        <f>IF(OR('Reels'!D179="attack",'Reels'!D179="magic"),CHOOSE('Reels'!D180+1,'Slots'!D29,'Slots'!D30,'Slots'!D31,'Slots'!D32,'Slots'!D33),0)+IF(OR('Reels'!D203="attack",'Reels'!D203="magic"),CHOOSE('Reels'!D204+1,'Slots'!D29,'Slots'!D30,'Slots'!D31,'Slots'!D32,'Slots'!D33),0)+IF(OR('Reels'!D216="attack",'Reels'!D216="magic"),CHOOSE('Reels'!D217+1,'Slots'!D29,'Slots'!D30,'Slots'!D31,'Slots'!D32,'Slots'!D33),0)</f>
        <v>6</v>
      </c>
      <c r="E818">
        <f>IF('Reels'!D179="heal",'Reels'!D180*'Slots'!D24,0)+IF('Reels'!D203="heal",'Reels'!D204*'Slots'!D24,0)+IF('Reels'!D216="heal",'Reels'!D217*'Slots'!D24,0)</f>
        <v>0</v>
      </c>
      <c r="F818">
        <f>IF('Reels'!D179="block",'Reels'!D180*'Slots'!D25,0)+IF('Reels'!D203="block",'Reels'!D204*'Slots'!D25,0)+IF('Reels'!D216="block",'Reels'!D217*'Slots'!D25,0)</f>
        <v>0</v>
      </c>
      <c r="G818" t="b">
        <f>AND('Reels'!D179&lt;&gt;"blank",'Reels'!D179&lt;&gt;"class",'Reels'!D179='Reels'!D216,'Reels'!D180='Reels'!D217,OR('Reels'!D203="class",AND('Reels'!D203='Reels'!D179,'Reels'!D204='Reels'!D180)))</f>
        <v>0</v>
      </c>
      <c r="H818">
        <f>IF(G818,C818,0)</f>
        <v>0</v>
      </c>
    </row>
    <row r="819" spans="1:8" x14ac:dyDescent="0.25">
      <c r="A819" t="s">
        <v>269</v>
      </c>
      <c r="B819" t="s">
        <v>4054</v>
      </c>
      <c r="C819" s="4">
        <f>('Reels'!D181/('Reels'!D178+'Reels'!D181+'Reels'!D184+'Reels'!D187+'Reels'!D190+'Reels'!D193))*('Reels'!D205/('Reels'!D196+'Reels'!D199+'Reels'!D202+'Reels'!D205+'Reels'!D208+'Reels'!D211+'Reels'!D214))*('Reels'!D221/('Reels'!D218+'Reels'!D221+'Reels'!D224+'Reels'!D227+'Reels'!D230+'Reels'!D233))</f>
        <v>0.004498990022647977</v>
      </c>
      <c r="D819">
        <f>IF(OR('Reels'!D179="attack",'Reels'!D179="magic"),CHOOSE('Reels'!D180+1,'Slots'!D29,'Slots'!D30,'Slots'!D31,'Slots'!D32,'Slots'!D33),0)+IF(OR('Reels'!D203="attack",'Reels'!D203="magic"),CHOOSE('Reels'!D204+1,'Slots'!D29,'Slots'!D30,'Slots'!D31,'Slots'!D32,'Slots'!D33),0)+IF(OR('Reels'!D219="attack",'Reels'!D219="magic"),CHOOSE('Reels'!D220+1,'Slots'!D29,'Slots'!D30,'Slots'!D31,'Slots'!D32,'Slots'!D33),0)</f>
        <v>8</v>
      </c>
      <c r="E819">
        <f>IF('Reels'!D179="heal",'Reels'!D180*'Slots'!D24,0)+IF('Reels'!D203="heal",'Reels'!D204*'Slots'!D24,0)+IF('Reels'!D219="heal",'Reels'!D220*'Slots'!D24,0)</f>
        <v>0</v>
      </c>
      <c r="F819">
        <f>IF('Reels'!D179="block",'Reels'!D180*'Slots'!D25,0)+IF('Reels'!D203="block",'Reels'!D204*'Slots'!D25,0)+IF('Reels'!D219="block",'Reels'!D220*'Slots'!D25,0)</f>
        <v>0</v>
      </c>
      <c r="G819" t="b">
        <f>AND('Reels'!D179&lt;&gt;"blank",'Reels'!D179&lt;&gt;"class",'Reels'!D179='Reels'!D219,'Reels'!D180='Reels'!D220,OR('Reels'!D203="class",AND('Reels'!D203='Reels'!D179,'Reels'!D204='Reels'!D180)))</f>
        <v>0</v>
      </c>
      <c r="H819">
        <f>IF(G819,C819,0)</f>
        <v>0</v>
      </c>
    </row>
    <row r="820" spans="1:8" x14ac:dyDescent="0.25">
      <c r="A820" t="s">
        <v>269</v>
      </c>
      <c r="B820" t="s">
        <v>4055</v>
      </c>
      <c r="C820" s="4">
        <f>('Reels'!D181/('Reels'!D178+'Reels'!D181+'Reels'!D184+'Reels'!D187+'Reels'!D190+'Reels'!D193))*('Reels'!D205/('Reels'!D196+'Reels'!D199+'Reels'!D202+'Reels'!D205+'Reels'!D208+'Reels'!D211+'Reels'!D214))*('Reels'!D224/('Reels'!D218+'Reels'!D221+'Reels'!D224+'Reels'!D227+'Reels'!D230+'Reels'!D233))</f>
        <v>0.001928138581134847</v>
      </c>
      <c r="D820">
        <f>IF(OR('Reels'!D179="attack",'Reels'!D179="magic"),CHOOSE('Reels'!D180+1,'Slots'!D29,'Slots'!D30,'Slots'!D31,'Slots'!D32,'Slots'!D33),0)+IF(OR('Reels'!D203="attack",'Reels'!D203="magic"),CHOOSE('Reels'!D204+1,'Slots'!D29,'Slots'!D30,'Slots'!D31,'Slots'!D32,'Slots'!D33),0)+IF(OR('Reels'!D222="attack",'Reels'!D222="magic"),CHOOSE('Reels'!D223+1,'Slots'!D29,'Slots'!D30,'Slots'!D31,'Slots'!D32,'Slots'!D33),0)</f>
        <v>4</v>
      </c>
      <c r="E820">
        <f>IF('Reels'!D179="heal",'Reels'!D180*'Slots'!D24,0)+IF('Reels'!D203="heal",'Reels'!D204*'Slots'!D24,0)+IF('Reels'!D222="heal",'Reels'!D223*'Slots'!D24,0)</f>
        <v>0</v>
      </c>
      <c r="F820">
        <f>IF('Reels'!D179="block",'Reels'!D180*'Slots'!D25,0)+IF('Reels'!D203="block",'Reels'!D204*'Slots'!D25,0)+IF('Reels'!D222="block",'Reels'!D223*'Slots'!D25,0)</f>
        <v>0</v>
      </c>
      <c r="G820" t="b">
        <f>AND('Reels'!D179&lt;&gt;"blank",'Reels'!D179&lt;&gt;"class",'Reels'!D179='Reels'!D222,'Reels'!D180='Reels'!D223,OR('Reels'!D203="class",AND('Reels'!D203='Reels'!D179,'Reels'!D204='Reels'!D180)))</f>
        <v>0</v>
      </c>
      <c r="H820">
        <f>IF(G820,C820,0)</f>
        <v>0</v>
      </c>
    </row>
    <row r="821" spans="1:8" x14ac:dyDescent="0.25">
      <c r="A821" t="s">
        <v>269</v>
      </c>
      <c r="B821" t="s">
        <v>4056</v>
      </c>
      <c r="C821" s="4">
        <f>('Reels'!D181/('Reels'!D178+'Reels'!D181+'Reels'!D184+'Reels'!D187+'Reels'!D190+'Reels'!D193))*('Reels'!D205/('Reels'!D196+'Reels'!D199+'Reels'!D202+'Reels'!D205+'Reels'!D208+'Reels'!D211+'Reels'!D214))*('Reels'!D227/('Reels'!D218+'Reels'!D221+'Reels'!D224+'Reels'!D227+'Reels'!D230+'Reels'!D233))</f>
        <v>0.001928138581134847</v>
      </c>
      <c r="D821">
        <f>IF(OR('Reels'!D179="attack",'Reels'!D179="magic"),CHOOSE('Reels'!D180+1,'Slots'!D29,'Slots'!D30,'Slots'!D31,'Slots'!D32,'Slots'!D33),0)+IF(OR('Reels'!D203="attack",'Reels'!D203="magic"),CHOOSE('Reels'!D204+1,'Slots'!D29,'Slots'!D30,'Slots'!D31,'Slots'!D32,'Slots'!D33),0)+IF(OR('Reels'!D225="attack",'Reels'!D225="magic"),CHOOSE('Reels'!D226+1,'Slots'!D29,'Slots'!D30,'Slots'!D31,'Slots'!D32,'Slots'!D33),0)</f>
        <v>4</v>
      </c>
      <c r="E821">
        <f>IF('Reels'!D179="heal",'Reels'!D180*'Slots'!D24,0)+IF('Reels'!D203="heal",'Reels'!D204*'Slots'!D24,0)+IF('Reels'!D225="heal",'Reels'!D226*'Slots'!D24,0)</f>
        <v>0</v>
      </c>
      <c r="F821">
        <f>IF('Reels'!D179="block",'Reels'!D180*'Slots'!D25,0)+IF('Reels'!D203="block",'Reels'!D204*'Slots'!D25,0)+IF('Reels'!D225="block",'Reels'!D226*'Slots'!D25,0)</f>
        <v>0</v>
      </c>
      <c r="G821" t="b">
        <f>AND('Reels'!D179&lt;&gt;"blank",'Reels'!D179&lt;&gt;"class",'Reels'!D179='Reels'!D225,'Reels'!D180='Reels'!D226,OR('Reels'!D203="class",AND('Reels'!D203='Reels'!D179,'Reels'!D204='Reels'!D180)))</f>
        <v>0</v>
      </c>
      <c r="H821">
        <f>IF(G821,C821,0)</f>
        <v>0</v>
      </c>
    </row>
    <row r="822" spans="1:8" x14ac:dyDescent="0.25">
      <c r="A822" t="s">
        <v>269</v>
      </c>
      <c r="B822" t="s">
        <v>4057</v>
      </c>
      <c r="C822" s="4">
        <f>('Reels'!D181/('Reels'!D178+'Reels'!D181+'Reels'!D184+'Reels'!D187+'Reels'!D190+'Reels'!D193))*('Reels'!D205/('Reels'!D196+'Reels'!D199+'Reels'!D202+'Reels'!D205+'Reels'!D208+'Reels'!D211+'Reels'!D214))*('Reels'!D230/('Reels'!D218+'Reels'!D221+'Reels'!D224+'Reels'!D227+'Reels'!D230+'Reels'!D233))</f>
        <v>0.0012854257207565649</v>
      </c>
      <c r="D822">
        <f>IF(OR('Reels'!D179="attack",'Reels'!D179="magic"),CHOOSE('Reels'!D180+1,'Slots'!D29,'Slots'!D30,'Slots'!D31,'Slots'!D32,'Slots'!D33),0)+IF(OR('Reels'!D203="attack",'Reels'!D203="magic"),CHOOSE('Reels'!D204+1,'Slots'!D29,'Slots'!D30,'Slots'!D31,'Slots'!D32,'Slots'!D33),0)+IF(OR('Reels'!D228="attack",'Reels'!D228="magic"),CHOOSE('Reels'!D229+1,'Slots'!D29,'Slots'!D30,'Slots'!D31,'Slots'!D32,'Slots'!D33),0)</f>
        <v>4</v>
      </c>
      <c r="E822">
        <f>IF('Reels'!D179="heal",'Reels'!D180*'Slots'!D24,0)+IF('Reels'!D203="heal",'Reels'!D204*'Slots'!D24,0)+IF('Reels'!D228="heal",'Reels'!D229*'Slots'!D24,0)</f>
        <v>0</v>
      </c>
      <c r="F822">
        <f>IF('Reels'!D179="block",'Reels'!D180*'Slots'!D25,0)+IF('Reels'!D203="block",'Reels'!D204*'Slots'!D25,0)+IF('Reels'!D228="block",'Reels'!D229*'Slots'!D25,0)</f>
        <v>1</v>
      </c>
      <c r="G822" t="b">
        <f>AND('Reels'!D179&lt;&gt;"blank",'Reels'!D179&lt;&gt;"class",'Reels'!D179='Reels'!D228,'Reels'!D180='Reels'!D229,OR('Reels'!D203="class",AND('Reels'!D203='Reels'!D179,'Reels'!D204='Reels'!D180)))</f>
        <v>0</v>
      </c>
      <c r="H822">
        <f>IF(G822,C822,0)</f>
        <v>0</v>
      </c>
    </row>
    <row r="823" spans="1:8" x14ac:dyDescent="0.25">
      <c r="A823" t="s">
        <v>269</v>
      </c>
      <c r="B823" t="s">
        <v>4058</v>
      </c>
      <c r="C823" s="4">
        <f>('Reels'!D181/('Reels'!D178+'Reels'!D181+'Reels'!D184+'Reels'!D187+'Reels'!D190+'Reels'!D193))*('Reels'!D205/('Reels'!D196+'Reels'!D199+'Reels'!D202+'Reels'!D205+'Reels'!D208+'Reels'!D211+'Reels'!D214))*('Reels'!D233/('Reels'!D218+'Reels'!D221+'Reels'!D224+'Reels'!D227+'Reels'!D230+'Reels'!D233))</f>
        <v>0.0032135643018914124</v>
      </c>
      <c r="D823">
        <f>IF(OR('Reels'!D179="attack",'Reels'!D179="magic"),CHOOSE('Reels'!D180+1,'Slots'!D29,'Slots'!D30,'Slots'!D31,'Slots'!D32,'Slots'!D33),0)+IF(OR('Reels'!D203="attack",'Reels'!D203="magic"),CHOOSE('Reels'!D204+1,'Slots'!D29,'Slots'!D30,'Slots'!D31,'Slots'!D32,'Slots'!D33),0)+IF(OR('Reels'!D231="attack",'Reels'!D231="magic"),CHOOSE('Reels'!D232+1,'Slots'!D29,'Slots'!D30,'Slots'!D31,'Slots'!D32,'Slots'!D33),0)</f>
        <v>4</v>
      </c>
      <c r="E823">
        <f>IF('Reels'!D179="heal",'Reels'!D180*'Slots'!D24,0)+IF('Reels'!D203="heal",'Reels'!D204*'Slots'!D24,0)+IF('Reels'!D231="heal",'Reels'!D232*'Slots'!D24,0)</f>
        <v>0</v>
      </c>
      <c r="F823">
        <f>IF('Reels'!D179="block",'Reels'!D180*'Slots'!D25,0)+IF('Reels'!D203="block",'Reels'!D204*'Slots'!D25,0)+IF('Reels'!D231="block",'Reels'!D232*'Slots'!D25,0)</f>
        <v>0</v>
      </c>
      <c r="G823" t="b">
        <f>AND('Reels'!D179&lt;&gt;"blank",'Reels'!D179&lt;&gt;"class",'Reels'!D179='Reels'!D231,'Reels'!D180='Reels'!D232,OR('Reels'!D203="class",AND('Reels'!D203='Reels'!D179,'Reels'!D204='Reels'!D180)))</f>
        <v>0</v>
      </c>
      <c r="H823">
        <f>IF(G823,C823,0)</f>
        <v>0</v>
      </c>
    </row>
    <row r="824" spans="1:8" x14ac:dyDescent="0.25">
      <c r="A824" t="s">
        <v>269</v>
      </c>
      <c r="B824" t="s">
        <v>4059</v>
      </c>
      <c r="C824" s="4">
        <f>('Reels'!D181/('Reels'!D178+'Reels'!D181+'Reels'!D184+'Reels'!D187+'Reels'!D190+'Reels'!D193))*('Reels'!D208/('Reels'!D196+'Reels'!D199+'Reels'!D202+'Reels'!D205+'Reels'!D208+'Reels'!D211+'Reels'!D214))*('Reels'!D218/('Reels'!D218+'Reels'!D221+'Reels'!D224+'Reels'!D227+'Reels'!D230+'Reels'!D233))</f>
        <v>0.004713227642774071</v>
      </c>
      <c r="D824">
        <f>IF(OR('Reels'!D179="attack",'Reels'!D179="magic"),CHOOSE('Reels'!D180+1,'Slots'!D29,'Slots'!D30,'Slots'!D31,'Slots'!D32,'Slots'!D33),0)+IF(OR('Reels'!D206="attack",'Reels'!D206="magic"),CHOOSE('Reels'!D207+1,'Slots'!D29,'Slots'!D30,'Slots'!D31,'Slots'!D32,'Slots'!D33),0)+IF(OR('Reels'!D216="attack",'Reels'!D216="magic"),CHOOSE('Reels'!D217+1,'Slots'!D29,'Slots'!D30,'Slots'!D31,'Slots'!D32,'Slots'!D33),0)</f>
        <v>6</v>
      </c>
      <c r="E824">
        <f>IF('Reels'!D179="heal",'Reels'!D180*'Slots'!D24,0)+IF('Reels'!D206="heal",'Reels'!D207*'Slots'!D24,0)+IF('Reels'!D216="heal",'Reels'!D217*'Slots'!D24,0)</f>
        <v>0</v>
      </c>
      <c r="F824">
        <f>IF('Reels'!D179="block",'Reels'!D180*'Slots'!D25,0)+IF('Reels'!D206="block",'Reels'!D207*'Slots'!D25,0)+IF('Reels'!D216="block",'Reels'!D217*'Slots'!D25,0)</f>
        <v>1</v>
      </c>
      <c r="G824" t="b">
        <f>AND('Reels'!D179&lt;&gt;"blank",'Reels'!D179&lt;&gt;"class",'Reels'!D179='Reels'!D216,'Reels'!D180='Reels'!D217,OR('Reels'!D206="class",AND('Reels'!D206='Reels'!D179,'Reels'!D207='Reels'!D180)))</f>
        <v>0</v>
      </c>
      <c r="H824">
        <f>IF(G824,C824,0)</f>
        <v>0</v>
      </c>
    </row>
    <row r="825" spans="1:8" x14ac:dyDescent="0.25">
      <c r="A825" t="s">
        <v>269</v>
      </c>
      <c r="B825" t="s">
        <v>4060</v>
      </c>
      <c r="C825" s="4">
        <f>('Reels'!D181/('Reels'!D178+'Reels'!D181+'Reels'!D184+'Reels'!D187+'Reels'!D190+'Reels'!D193))*('Reels'!D208/('Reels'!D196+'Reels'!D199+'Reels'!D202+'Reels'!D205+'Reels'!D208+'Reels'!D211+'Reels'!D214))*('Reels'!D221/('Reels'!D218+'Reels'!D221+'Reels'!D224+'Reels'!D227+'Reels'!D230+'Reels'!D233))</f>
        <v>0.0029993266817653183</v>
      </c>
      <c r="D825">
        <f>IF(OR('Reels'!D179="attack",'Reels'!D179="magic"),CHOOSE('Reels'!D180+1,'Slots'!D29,'Slots'!D30,'Slots'!D31,'Slots'!D32,'Slots'!D33),0)+IF(OR('Reels'!D206="attack",'Reels'!D206="magic"),CHOOSE('Reels'!D207+1,'Slots'!D29,'Slots'!D30,'Slots'!D31,'Slots'!D32,'Slots'!D33),0)+IF(OR('Reels'!D219="attack",'Reels'!D219="magic"),CHOOSE('Reels'!D220+1,'Slots'!D29,'Slots'!D30,'Slots'!D31,'Slots'!D32,'Slots'!D33),0)</f>
        <v>8</v>
      </c>
      <c r="E825">
        <f>IF('Reels'!D179="heal",'Reels'!D180*'Slots'!D24,0)+IF('Reels'!D206="heal",'Reels'!D207*'Slots'!D24,0)+IF('Reels'!D219="heal",'Reels'!D220*'Slots'!D24,0)</f>
        <v>0</v>
      </c>
      <c r="F825">
        <f>IF('Reels'!D179="block",'Reels'!D180*'Slots'!D25,0)+IF('Reels'!D206="block",'Reels'!D207*'Slots'!D25,0)+IF('Reels'!D219="block",'Reels'!D220*'Slots'!D25,0)</f>
        <v>1</v>
      </c>
      <c r="G825" t="b">
        <f>AND('Reels'!D179&lt;&gt;"blank",'Reels'!D179&lt;&gt;"class",'Reels'!D179='Reels'!D219,'Reels'!D180='Reels'!D220,OR('Reels'!D206="class",AND('Reels'!D206='Reels'!D179,'Reels'!D207='Reels'!D180)))</f>
        <v>0</v>
      </c>
      <c r="H825">
        <f>IF(G825,C825,0)</f>
        <v>0</v>
      </c>
    </row>
    <row r="826" spans="1:8" x14ac:dyDescent="0.25">
      <c r="A826" t="s">
        <v>269</v>
      </c>
      <c r="B826" t="s">
        <v>4061</v>
      </c>
      <c r="C826" s="4">
        <f>('Reels'!D181/('Reels'!D178+'Reels'!D181+'Reels'!D184+'Reels'!D187+'Reels'!D190+'Reels'!D193))*('Reels'!D208/('Reels'!D196+'Reels'!D199+'Reels'!D202+'Reels'!D205+'Reels'!D208+'Reels'!D211+'Reels'!D214))*('Reels'!D224/('Reels'!D218+'Reels'!D221+'Reels'!D224+'Reels'!D227+'Reels'!D230+'Reels'!D233))</f>
        <v>0.0012854257207565649</v>
      </c>
      <c r="D826">
        <f>IF(OR('Reels'!D179="attack",'Reels'!D179="magic"),CHOOSE('Reels'!D180+1,'Slots'!D29,'Slots'!D30,'Slots'!D31,'Slots'!D32,'Slots'!D33),0)+IF(OR('Reels'!D206="attack",'Reels'!D206="magic"),CHOOSE('Reels'!D207+1,'Slots'!D29,'Slots'!D30,'Slots'!D31,'Slots'!D32,'Slots'!D33),0)+IF(OR('Reels'!D222="attack",'Reels'!D222="magic"),CHOOSE('Reels'!D223+1,'Slots'!D29,'Slots'!D30,'Slots'!D31,'Slots'!D32,'Slots'!D33),0)</f>
        <v>4</v>
      </c>
      <c r="E826">
        <f>IF('Reels'!D179="heal",'Reels'!D180*'Slots'!D24,0)+IF('Reels'!D206="heal",'Reels'!D207*'Slots'!D24,0)+IF('Reels'!D222="heal",'Reels'!D223*'Slots'!D24,0)</f>
        <v>0</v>
      </c>
      <c r="F826">
        <f>IF('Reels'!D179="block",'Reels'!D180*'Slots'!D25,0)+IF('Reels'!D206="block",'Reels'!D207*'Slots'!D25,0)+IF('Reels'!D222="block",'Reels'!D223*'Slots'!D25,0)</f>
        <v>1</v>
      </c>
      <c r="G826" t="b">
        <f>AND('Reels'!D179&lt;&gt;"blank",'Reels'!D179&lt;&gt;"class",'Reels'!D179='Reels'!D222,'Reels'!D180='Reels'!D223,OR('Reels'!D206="class",AND('Reels'!D206='Reels'!D179,'Reels'!D207='Reels'!D180)))</f>
        <v>0</v>
      </c>
      <c r="H826">
        <f>IF(G826,C826,0)</f>
        <v>0</v>
      </c>
    </row>
    <row r="827" spans="1:8" x14ac:dyDescent="0.25">
      <c r="A827" t="s">
        <v>269</v>
      </c>
      <c r="B827" t="s">
        <v>4062</v>
      </c>
      <c r="C827" s="4">
        <f>('Reels'!D181/('Reels'!D178+'Reels'!D181+'Reels'!D184+'Reels'!D187+'Reels'!D190+'Reels'!D193))*('Reels'!D208/('Reels'!D196+'Reels'!D199+'Reels'!D202+'Reels'!D205+'Reels'!D208+'Reels'!D211+'Reels'!D214))*('Reels'!D227/('Reels'!D218+'Reels'!D221+'Reels'!D224+'Reels'!D227+'Reels'!D230+'Reels'!D233))</f>
        <v>0.0012854257207565649</v>
      </c>
      <c r="D827">
        <f>IF(OR('Reels'!D179="attack",'Reels'!D179="magic"),CHOOSE('Reels'!D180+1,'Slots'!D29,'Slots'!D30,'Slots'!D31,'Slots'!D32,'Slots'!D33),0)+IF(OR('Reels'!D206="attack",'Reels'!D206="magic"),CHOOSE('Reels'!D207+1,'Slots'!D29,'Slots'!D30,'Slots'!D31,'Slots'!D32,'Slots'!D33),0)+IF(OR('Reels'!D225="attack",'Reels'!D225="magic"),CHOOSE('Reels'!D226+1,'Slots'!D29,'Slots'!D30,'Slots'!D31,'Slots'!D32,'Slots'!D33),0)</f>
        <v>4</v>
      </c>
      <c r="E827">
        <f>IF('Reels'!D179="heal",'Reels'!D180*'Slots'!D24,0)+IF('Reels'!D206="heal",'Reels'!D207*'Slots'!D24,0)+IF('Reels'!D225="heal",'Reels'!D226*'Slots'!D24,0)</f>
        <v>0</v>
      </c>
      <c r="F827">
        <f>IF('Reels'!D179="block",'Reels'!D180*'Slots'!D25,0)+IF('Reels'!D206="block",'Reels'!D207*'Slots'!D25,0)+IF('Reels'!D225="block",'Reels'!D226*'Slots'!D25,0)</f>
        <v>1</v>
      </c>
      <c r="G827" t="b">
        <f>AND('Reels'!D179&lt;&gt;"blank",'Reels'!D179&lt;&gt;"class",'Reels'!D179='Reels'!D225,'Reels'!D180='Reels'!D226,OR('Reels'!D206="class",AND('Reels'!D206='Reels'!D179,'Reels'!D207='Reels'!D180)))</f>
        <v>0</v>
      </c>
      <c r="H827">
        <f>IF(G827,C827,0)</f>
        <v>0</v>
      </c>
    </row>
    <row r="828" spans="1:8" x14ac:dyDescent="0.25">
      <c r="A828" t="s">
        <v>269</v>
      </c>
      <c r="B828" t="s">
        <v>4063</v>
      </c>
      <c r="C828" s="4">
        <f>('Reels'!D181/('Reels'!D178+'Reels'!D181+'Reels'!D184+'Reels'!D187+'Reels'!D190+'Reels'!D193))*('Reels'!D208/('Reels'!D196+'Reels'!D199+'Reels'!D202+'Reels'!D205+'Reels'!D208+'Reels'!D211+'Reels'!D214))*('Reels'!D230/('Reels'!D218+'Reels'!D221+'Reels'!D224+'Reels'!D227+'Reels'!D230+'Reels'!D233))</f>
        <v>0.0008569504805043766</v>
      </c>
      <c r="D828">
        <f>IF(OR('Reels'!D179="attack",'Reels'!D179="magic"),CHOOSE('Reels'!D180+1,'Slots'!D29,'Slots'!D30,'Slots'!D31,'Slots'!D32,'Slots'!D33),0)+IF(OR('Reels'!D206="attack",'Reels'!D206="magic"),CHOOSE('Reels'!D207+1,'Slots'!D29,'Slots'!D30,'Slots'!D31,'Slots'!D32,'Slots'!D33),0)+IF(OR('Reels'!D228="attack",'Reels'!D228="magic"),CHOOSE('Reels'!D229+1,'Slots'!D29,'Slots'!D30,'Slots'!D31,'Slots'!D32,'Slots'!D33),0)</f>
        <v>4</v>
      </c>
      <c r="E828">
        <f>IF('Reels'!D179="heal",'Reels'!D180*'Slots'!D24,0)+IF('Reels'!D206="heal",'Reels'!D207*'Slots'!D24,0)+IF('Reels'!D228="heal",'Reels'!D229*'Slots'!D24,0)</f>
        <v>0</v>
      </c>
      <c r="F828">
        <f>IF('Reels'!D179="block",'Reels'!D180*'Slots'!D25,0)+IF('Reels'!D206="block",'Reels'!D207*'Slots'!D25,0)+IF('Reels'!D228="block",'Reels'!D229*'Slots'!D25,0)</f>
        <v>2</v>
      </c>
      <c r="G828" t="b">
        <f>AND('Reels'!D179&lt;&gt;"blank",'Reels'!D179&lt;&gt;"class",'Reels'!D179='Reels'!D228,'Reels'!D180='Reels'!D229,OR('Reels'!D206="class",AND('Reels'!D206='Reels'!D179,'Reels'!D207='Reels'!D180)))</f>
        <v>0</v>
      </c>
      <c r="H828">
        <f>IF(G828,C828,0)</f>
        <v>0</v>
      </c>
    </row>
    <row r="829" spans="1:8" x14ac:dyDescent="0.25">
      <c r="A829" t="s">
        <v>269</v>
      </c>
      <c r="B829" t="s">
        <v>4064</v>
      </c>
      <c r="C829" s="4">
        <f>('Reels'!D181/('Reels'!D178+'Reels'!D181+'Reels'!D184+'Reels'!D187+'Reels'!D190+'Reels'!D193))*('Reels'!D208/('Reels'!D196+'Reels'!D199+'Reels'!D202+'Reels'!D205+'Reels'!D208+'Reels'!D211+'Reels'!D214))*('Reels'!D233/('Reels'!D218+'Reels'!D221+'Reels'!D224+'Reels'!D227+'Reels'!D230+'Reels'!D233))</f>
        <v>0.002142376201260941</v>
      </c>
      <c r="D829">
        <f>IF(OR('Reels'!D179="attack",'Reels'!D179="magic"),CHOOSE('Reels'!D180+1,'Slots'!D29,'Slots'!D30,'Slots'!D31,'Slots'!D32,'Slots'!D33),0)+IF(OR('Reels'!D206="attack",'Reels'!D206="magic"),CHOOSE('Reels'!D207+1,'Slots'!D29,'Slots'!D30,'Slots'!D31,'Slots'!D32,'Slots'!D33),0)+IF(OR('Reels'!D231="attack",'Reels'!D231="magic"),CHOOSE('Reels'!D232+1,'Slots'!D29,'Slots'!D30,'Slots'!D31,'Slots'!D32,'Slots'!D33),0)</f>
        <v>4</v>
      </c>
      <c r="E829">
        <f>IF('Reels'!D179="heal",'Reels'!D180*'Slots'!D24,0)+IF('Reels'!D206="heal",'Reels'!D207*'Slots'!D24,0)+IF('Reels'!D231="heal",'Reels'!D232*'Slots'!D24,0)</f>
        <v>0</v>
      </c>
      <c r="F829">
        <f>IF('Reels'!D179="block",'Reels'!D180*'Slots'!D25,0)+IF('Reels'!D206="block",'Reels'!D207*'Slots'!D25,0)+IF('Reels'!D231="block",'Reels'!D232*'Slots'!D25,0)</f>
        <v>1</v>
      </c>
      <c r="G829" t="b">
        <f>AND('Reels'!D179&lt;&gt;"blank",'Reels'!D179&lt;&gt;"class",'Reels'!D179='Reels'!D231,'Reels'!D180='Reels'!D232,OR('Reels'!D206="class",AND('Reels'!D206='Reels'!D179,'Reels'!D207='Reels'!D180)))</f>
        <v>0</v>
      </c>
      <c r="H829">
        <f>IF(G829,C829,0)</f>
        <v>0</v>
      </c>
    </row>
    <row r="830" spans="1:8" x14ac:dyDescent="0.25">
      <c r="A830" t="s">
        <v>269</v>
      </c>
      <c r="B830" t="s">
        <v>4065</v>
      </c>
      <c r="C830" s="4">
        <f>('Reels'!D181/('Reels'!D178+'Reels'!D181+'Reels'!D184+'Reels'!D187+'Reels'!D190+'Reels'!D193))*('Reels'!D211/('Reels'!D196+'Reels'!D199+'Reels'!D202+'Reels'!D205+'Reels'!D208+'Reels'!D211+'Reels'!D214))*('Reels'!D218/('Reels'!D218+'Reels'!D221+'Reels'!D224+'Reels'!D227+'Reels'!D230+'Reels'!D233))</f>
        <v>0.011783069106935176</v>
      </c>
      <c r="D830">
        <f>IF(OR('Reels'!D179="attack",'Reels'!D179="magic"),CHOOSE('Reels'!D180+1,'Slots'!D29,'Slots'!D30,'Slots'!D31,'Slots'!D32,'Slots'!D33),0)+IF(OR('Reels'!D209="attack",'Reels'!D209="magic"),CHOOSE('Reels'!D210+1,'Slots'!D29,'Slots'!D30,'Slots'!D31,'Slots'!D32,'Slots'!D33),0)+IF(OR('Reels'!D216="attack",'Reels'!D216="magic"),CHOOSE('Reels'!D217+1,'Slots'!D29,'Slots'!D30,'Slots'!D31,'Slots'!D32,'Slots'!D33),0)</f>
        <v>6</v>
      </c>
      <c r="E830">
        <f>IF('Reels'!D179="heal",'Reels'!D180*'Slots'!D24,0)+IF('Reels'!D209="heal",'Reels'!D210*'Slots'!D24,0)+IF('Reels'!D216="heal",'Reels'!D217*'Slots'!D24,0)</f>
        <v>0</v>
      </c>
      <c r="F830">
        <f>IF('Reels'!D179="block",'Reels'!D180*'Slots'!D25,0)+IF('Reels'!D209="block",'Reels'!D210*'Slots'!D25,0)+IF('Reels'!D216="block",'Reels'!D217*'Slots'!D25,0)</f>
        <v>0</v>
      </c>
      <c r="G830" t="b">
        <f>AND('Reels'!D179&lt;&gt;"blank",'Reels'!D179&lt;&gt;"class",'Reels'!D179='Reels'!D216,'Reels'!D180='Reels'!D217,OR('Reels'!D209="class",AND('Reels'!D209='Reels'!D179,'Reels'!D210='Reels'!D180)))</f>
        <v>0</v>
      </c>
      <c r="H830">
        <f>IF(G830,C830,0)</f>
        <v>0</v>
      </c>
    </row>
    <row r="831" spans="1:8" x14ac:dyDescent="0.25">
      <c r="A831" t="s">
        <v>269</v>
      </c>
      <c r="B831" t="s">
        <v>4066</v>
      </c>
      <c r="C831" s="4">
        <f>('Reels'!D181/('Reels'!D178+'Reels'!D181+'Reels'!D184+'Reels'!D187+'Reels'!D190+'Reels'!D193))*('Reels'!D211/('Reels'!D196+'Reels'!D199+'Reels'!D202+'Reels'!D205+'Reels'!D208+'Reels'!D211+'Reels'!D214))*('Reels'!D221/('Reels'!D218+'Reels'!D221+'Reels'!D224+'Reels'!D227+'Reels'!D230+'Reels'!D233))</f>
        <v>0.007498316704413294</v>
      </c>
      <c r="D831">
        <f>IF(OR('Reels'!D179="attack",'Reels'!D179="magic"),CHOOSE('Reels'!D180+1,'Slots'!D29,'Slots'!D30,'Slots'!D31,'Slots'!D32,'Slots'!D33),0)+IF(OR('Reels'!D209="attack",'Reels'!D209="magic"),CHOOSE('Reels'!D210+1,'Slots'!D29,'Slots'!D30,'Slots'!D31,'Slots'!D32,'Slots'!D33),0)+IF(OR('Reels'!D219="attack",'Reels'!D219="magic"),CHOOSE('Reels'!D220+1,'Slots'!D29,'Slots'!D30,'Slots'!D31,'Slots'!D32,'Slots'!D33),0)</f>
        <v>8</v>
      </c>
      <c r="E831">
        <f>IF('Reels'!D179="heal",'Reels'!D180*'Slots'!D24,0)+IF('Reels'!D209="heal",'Reels'!D210*'Slots'!D24,0)+IF('Reels'!D219="heal",'Reels'!D220*'Slots'!D24,0)</f>
        <v>0</v>
      </c>
      <c r="F831">
        <f>IF('Reels'!D179="block",'Reels'!D180*'Slots'!D25,0)+IF('Reels'!D209="block",'Reels'!D210*'Slots'!D25,0)+IF('Reels'!D219="block",'Reels'!D220*'Slots'!D25,0)</f>
        <v>0</v>
      </c>
      <c r="G831" t="b">
        <f>AND('Reels'!D179&lt;&gt;"blank",'Reels'!D179&lt;&gt;"class",'Reels'!D179='Reels'!D219,'Reels'!D180='Reels'!D220,OR('Reels'!D209="class",AND('Reels'!D209='Reels'!D179,'Reels'!D210='Reels'!D180)))</f>
        <v>0</v>
      </c>
      <c r="H831">
        <f>IF(G831,C831,0)</f>
        <v>0</v>
      </c>
    </row>
    <row r="832" spans="1:8" x14ac:dyDescent="0.25">
      <c r="A832" t="s">
        <v>269</v>
      </c>
      <c r="B832" t="s">
        <v>4067</v>
      </c>
      <c r="C832" s="4">
        <f>('Reels'!D181/('Reels'!D178+'Reels'!D181+'Reels'!D184+'Reels'!D187+'Reels'!D190+'Reels'!D193))*('Reels'!D211/('Reels'!D196+'Reels'!D199+'Reels'!D202+'Reels'!D205+'Reels'!D208+'Reels'!D211+'Reels'!D214))*('Reels'!D224/('Reels'!D218+'Reels'!D221+'Reels'!D224+'Reels'!D227+'Reels'!D230+'Reels'!D233))</f>
        <v>0.003213564301891412</v>
      </c>
      <c r="D832">
        <f>IF(OR('Reels'!D179="attack",'Reels'!D179="magic"),CHOOSE('Reels'!D180+1,'Slots'!D29,'Slots'!D30,'Slots'!D31,'Slots'!D32,'Slots'!D33),0)+IF(OR('Reels'!D209="attack",'Reels'!D209="magic"),CHOOSE('Reels'!D210+1,'Slots'!D29,'Slots'!D30,'Slots'!D31,'Slots'!D32,'Slots'!D33),0)+IF(OR('Reels'!D222="attack",'Reels'!D222="magic"),CHOOSE('Reels'!D223+1,'Slots'!D29,'Slots'!D30,'Slots'!D31,'Slots'!D32,'Slots'!D33),0)</f>
        <v>4</v>
      </c>
      <c r="E832">
        <f>IF('Reels'!D179="heal",'Reels'!D180*'Slots'!D24,0)+IF('Reels'!D209="heal",'Reels'!D210*'Slots'!D24,0)+IF('Reels'!D222="heal",'Reels'!D223*'Slots'!D24,0)</f>
        <v>0</v>
      </c>
      <c r="F832">
        <f>IF('Reels'!D179="block",'Reels'!D180*'Slots'!D25,0)+IF('Reels'!D209="block",'Reels'!D210*'Slots'!D25,0)+IF('Reels'!D222="block",'Reels'!D223*'Slots'!D25,0)</f>
        <v>0</v>
      </c>
      <c r="G832" t="b">
        <f>AND('Reels'!D179&lt;&gt;"blank",'Reels'!D179&lt;&gt;"class",'Reels'!D179='Reels'!D222,'Reels'!D180='Reels'!D223,OR('Reels'!D209="class",AND('Reels'!D209='Reels'!D179,'Reels'!D210='Reels'!D180)))</f>
        <v>0</v>
      </c>
      <c r="H832">
        <f>IF(G832,C832,0)</f>
        <v>0</v>
      </c>
    </row>
    <row r="833" spans="1:8" x14ac:dyDescent="0.25">
      <c r="A833" t="s">
        <v>269</v>
      </c>
      <c r="B833" t="s">
        <v>4068</v>
      </c>
      <c r="C833" s="4">
        <f>('Reels'!D181/('Reels'!D178+'Reels'!D181+'Reels'!D184+'Reels'!D187+'Reels'!D190+'Reels'!D193))*('Reels'!D211/('Reels'!D196+'Reels'!D199+'Reels'!D202+'Reels'!D205+'Reels'!D208+'Reels'!D211+'Reels'!D214))*('Reels'!D227/('Reels'!D218+'Reels'!D221+'Reels'!D224+'Reels'!D227+'Reels'!D230+'Reels'!D233))</f>
        <v>0.003213564301891412</v>
      </c>
      <c r="D833">
        <f>IF(OR('Reels'!D179="attack",'Reels'!D179="magic"),CHOOSE('Reels'!D180+1,'Slots'!D29,'Slots'!D30,'Slots'!D31,'Slots'!D32,'Slots'!D33),0)+IF(OR('Reels'!D209="attack",'Reels'!D209="magic"),CHOOSE('Reels'!D210+1,'Slots'!D29,'Slots'!D30,'Slots'!D31,'Slots'!D32,'Slots'!D33),0)+IF(OR('Reels'!D225="attack",'Reels'!D225="magic"),CHOOSE('Reels'!D226+1,'Slots'!D29,'Slots'!D30,'Slots'!D31,'Slots'!D32,'Slots'!D33),0)</f>
        <v>4</v>
      </c>
      <c r="E833">
        <f>IF('Reels'!D179="heal",'Reels'!D180*'Slots'!D24,0)+IF('Reels'!D209="heal",'Reels'!D210*'Slots'!D24,0)+IF('Reels'!D225="heal",'Reels'!D226*'Slots'!D24,0)</f>
        <v>0</v>
      </c>
      <c r="F833">
        <f>IF('Reels'!D179="block",'Reels'!D180*'Slots'!D25,0)+IF('Reels'!D209="block",'Reels'!D210*'Slots'!D25,0)+IF('Reels'!D225="block",'Reels'!D226*'Slots'!D25,0)</f>
        <v>0</v>
      </c>
      <c r="G833" t="b">
        <f>AND('Reels'!D179&lt;&gt;"blank",'Reels'!D179&lt;&gt;"class",'Reels'!D179='Reels'!D225,'Reels'!D180='Reels'!D226,OR('Reels'!D209="class",AND('Reels'!D209='Reels'!D179,'Reels'!D210='Reels'!D180)))</f>
        <v>0</v>
      </c>
      <c r="H833">
        <f>IF(G833,C833,0)</f>
        <v>0</v>
      </c>
    </row>
    <row r="834" spans="1:8" x14ac:dyDescent="0.25">
      <c r="A834" t="s">
        <v>269</v>
      </c>
      <c r="B834" t="s">
        <v>4069</v>
      </c>
      <c r="C834" s="4">
        <f>('Reels'!D181/('Reels'!D178+'Reels'!D181+'Reels'!D184+'Reels'!D187+'Reels'!D190+'Reels'!D193))*('Reels'!D211/('Reels'!D196+'Reels'!D199+'Reels'!D202+'Reels'!D205+'Reels'!D208+'Reels'!D211+'Reels'!D214))*('Reels'!D230/('Reels'!D218+'Reels'!D221+'Reels'!D224+'Reels'!D227+'Reels'!D230+'Reels'!D233))</f>
        <v>0.002142376201260941</v>
      </c>
      <c r="D834">
        <f>IF(OR('Reels'!D179="attack",'Reels'!D179="magic"),CHOOSE('Reels'!D180+1,'Slots'!D29,'Slots'!D30,'Slots'!D31,'Slots'!D32,'Slots'!D33),0)+IF(OR('Reels'!D209="attack",'Reels'!D209="magic"),CHOOSE('Reels'!D210+1,'Slots'!D29,'Slots'!D30,'Slots'!D31,'Slots'!D32,'Slots'!D33),0)+IF(OR('Reels'!D228="attack",'Reels'!D228="magic"),CHOOSE('Reels'!D229+1,'Slots'!D29,'Slots'!D30,'Slots'!D31,'Slots'!D32,'Slots'!D33),0)</f>
        <v>4</v>
      </c>
      <c r="E834">
        <f>IF('Reels'!D179="heal",'Reels'!D180*'Slots'!D24,0)+IF('Reels'!D209="heal",'Reels'!D210*'Slots'!D24,0)+IF('Reels'!D228="heal",'Reels'!D229*'Slots'!D24,0)</f>
        <v>0</v>
      </c>
      <c r="F834">
        <f>IF('Reels'!D179="block",'Reels'!D180*'Slots'!D25,0)+IF('Reels'!D209="block",'Reels'!D210*'Slots'!D25,0)+IF('Reels'!D228="block",'Reels'!D229*'Slots'!D25,0)</f>
        <v>1</v>
      </c>
      <c r="G834" t="b">
        <f>AND('Reels'!D179&lt;&gt;"blank",'Reels'!D179&lt;&gt;"class",'Reels'!D179='Reels'!D228,'Reels'!D180='Reels'!D229,OR('Reels'!D209="class",AND('Reels'!D209='Reels'!D179,'Reels'!D210='Reels'!D180)))</f>
        <v>0</v>
      </c>
      <c r="H834">
        <f>IF(G834,C834,0)</f>
        <v>0</v>
      </c>
    </row>
    <row r="835" spans="1:8" x14ac:dyDescent="0.25">
      <c r="A835" t="s">
        <v>269</v>
      </c>
      <c r="B835" t="s">
        <v>4070</v>
      </c>
      <c r="C835" s="4">
        <f>('Reels'!D181/('Reels'!D178+'Reels'!D181+'Reels'!D184+'Reels'!D187+'Reels'!D190+'Reels'!D193))*('Reels'!D211/('Reels'!D196+'Reels'!D199+'Reels'!D202+'Reels'!D205+'Reels'!D208+'Reels'!D211+'Reels'!D214))*('Reels'!D233/('Reels'!D218+'Reels'!D221+'Reels'!D224+'Reels'!D227+'Reels'!D230+'Reels'!D233))</f>
        <v>0.005355940503152353</v>
      </c>
      <c r="D835">
        <f>IF(OR('Reels'!D179="attack",'Reels'!D179="magic"),CHOOSE('Reels'!D180+1,'Slots'!D29,'Slots'!D30,'Slots'!D31,'Slots'!D32,'Slots'!D33),0)+IF(OR('Reels'!D209="attack",'Reels'!D209="magic"),CHOOSE('Reels'!D210+1,'Slots'!D29,'Slots'!D30,'Slots'!D31,'Slots'!D32,'Slots'!D33),0)+IF(OR('Reels'!D231="attack",'Reels'!D231="magic"),CHOOSE('Reels'!D232+1,'Slots'!D29,'Slots'!D30,'Slots'!D31,'Slots'!D32,'Slots'!D33),0)</f>
        <v>4</v>
      </c>
      <c r="E835">
        <f>IF('Reels'!D179="heal",'Reels'!D180*'Slots'!D24,0)+IF('Reels'!D209="heal",'Reels'!D210*'Slots'!D24,0)+IF('Reels'!D231="heal",'Reels'!D232*'Slots'!D24,0)</f>
        <v>0</v>
      </c>
      <c r="F835">
        <f>IF('Reels'!D179="block",'Reels'!D180*'Slots'!D25,0)+IF('Reels'!D209="block",'Reels'!D210*'Slots'!D25,0)+IF('Reels'!D231="block",'Reels'!D232*'Slots'!D25,0)</f>
        <v>0</v>
      </c>
      <c r="G835" t="b">
        <f>AND('Reels'!D179&lt;&gt;"blank",'Reels'!D179&lt;&gt;"class",'Reels'!D179='Reels'!D231,'Reels'!D180='Reels'!D232,OR('Reels'!D209="class",AND('Reels'!D209='Reels'!D179,'Reels'!D210='Reels'!D180)))</f>
        <v>0</v>
      </c>
      <c r="H835">
        <f>IF(G835,C835,0)</f>
        <v>0</v>
      </c>
    </row>
    <row r="836" spans="1:8" x14ac:dyDescent="0.25">
      <c r="A836" t="s">
        <v>269</v>
      </c>
      <c r="B836" t="s">
        <v>4071</v>
      </c>
      <c r="C836" s="4">
        <f>('Reels'!D181/('Reels'!D178+'Reels'!D181+'Reels'!D184+'Reels'!D187+'Reels'!D190+'Reels'!D193))*('Reels'!D214/('Reels'!D196+'Reels'!D199+'Reels'!D202+'Reels'!D205+'Reels'!D208+'Reels'!D211+'Reels'!D214))*('Reels'!D218/('Reels'!D218+'Reels'!D221+'Reels'!D224+'Reels'!D227+'Reels'!D230+'Reels'!D233))</f>
        <v>0.0070698414641611074</v>
      </c>
      <c r="D836">
        <f>IF(OR('Reels'!D179="attack",'Reels'!D179="magic"),CHOOSE('Reels'!D180+1,'Slots'!D29,'Slots'!D30,'Slots'!D31,'Slots'!D32,'Slots'!D33),0)+IF(OR('Reels'!D212="attack",'Reels'!D212="magic"),CHOOSE('Reels'!D213+1,'Slots'!D29,'Slots'!D30,'Slots'!D31,'Slots'!D32,'Slots'!D33),0)+IF(OR('Reels'!D216="attack",'Reels'!D216="magic"),CHOOSE('Reels'!D217+1,'Slots'!D29,'Slots'!D30,'Slots'!D31,'Slots'!D32,'Slots'!D33),0)</f>
        <v>6</v>
      </c>
      <c r="E836">
        <f>IF('Reels'!D179="heal",'Reels'!D180*'Slots'!D24,0)+IF('Reels'!D212="heal",'Reels'!D213*'Slots'!D24,0)+IF('Reels'!D216="heal",'Reels'!D217*'Slots'!D24,0)</f>
        <v>0</v>
      </c>
      <c r="F836">
        <f>IF('Reels'!D179="block",'Reels'!D180*'Slots'!D25,0)+IF('Reels'!D212="block",'Reels'!D213*'Slots'!D25,0)+IF('Reels'!D216="block",'Reels'!D217*'Slots'!D25,0)</f>
        <v>0</v>
      </c>
      <c r="G836" t="b">
        <f>AND('Reels'!D179&lt;&gt;"blank",'Reels'!D179&lt;&gt;"class",'Reels'!D179='Reels'!D216,'Reels'!D180='Reels'!D217,OR('Reels'!D212="class",AND('Reels'!D212='Reels'!D179,'Reels'!D213='Reels'!D180)))</f>
        <v>0</v>
      </c>
      <c r="H836">
        <f>IF(G836,C836,0)</f>
        <v>0</v>
      </c>
    </row>
    <row r="837" spans="1:8" x14ac:dyDescent="0.25">
      <c r="A837" t="s">
        <v>269</v>
      </c>
      <c r="B837" t="s">
        <v>4072</v>
      </c>
      <c r="C837" s="4">
        <f>('Reels'!D181/('Reels'!D178+'Reels'!D181+'Reels'!D184+'Reels'!D187+'Reels'!D190+'Reels'!D193))*('Reels'!D214/('Reels'!D196+'Reels'!D199+'Reels'!D202+'Reels'!D205+'Reels'!D208+'Reels'!D211+'Reels'!D214))*('Reels'!D221/('Reels'!D218+'Reels'!D221+'Reels'!D224+'Reels'!D227+'Reels'!D230+'Reels'!D233))</f>
        <v>0.004498990022647977</v>
      </c>
      <c r="D837">
        <f>IF(OR('Reels'!D179="attack",'Reels'!D179="magic"),CHOOSE('Reels'!D180+1,'Slots'!D29,'Slots'!D30,'Slots'!D31,'Slots'!D32,'Slots'!D33),0)+IF(OR('Reels'!D212="attack",'Reels'!D212="magic"),CHOOSE('Reels'!D213+1,'Slots'!D29,'Slots'!D30,'Slots'!D31,'Slots'!D32,'Slots'!D33),0)+IF(OR('Reels'!D219="attack",'Reels'!D219="magic"),CHOOSE('Reels'!D220+1,'Slots'!D29,'Slots'!D30,'Slots'!D31,'Slots'!D32,'Slots'!D33),0)</f>
        <v>8</v>
      </c>
      <c r="E837">
        <f>IF('Reels'!D179="heal",'Reels'!D180*'Slots'!D24,0)+IF('Reels'!D212="heal",'Reels'!D213*'Slots'!D24,0)+IF('Reels'!D219="heal",'Reels'!D220*'Slots'!D24,0)</f>
        <v>0</v>
      </c>
      <c r="F837">
        <f>IF('Reels'!D179="block",'Reels'!D180*'Slots'!D25,0)+IF('Reels'!D212="block",'Reels'!D213*'Slots'!D25,0)+IF('Reels'!D219="block",'Reels'!D220*'Slots'!D25,0)</f>
        <v>0</v>
      </c>
      <c r="G837" t="b">
        <f>AND('Reels'!D179&lt;&gt;"blank",'Reels'!D179&lt;&gt;"class",'Reels'!D179='Reels'!D219,'Reels'!D180='Reels'!D220,OR('Reels'!D212="class",AND('Reels'!D212='Reels'!D179,'Reels'!D213='Reels'!D180)))</f>
        <v>1</v>
      </c>
      <c r="H837">
        <f>IF(G837,C837,0)</f>
        <v>0.004498990022647977</v>
      </c>
    </row>
    <row r="838" spans="1:8" x14ac:dyDescent="0.25">
      <c r="A838" t="s">
        <v>269</v>
      </c>
      <c r="B838" t="s">
        <v>4073</v>
      </c>
      <c r="C838" s="4">
        <f>('Reels'!D181/('Reels'!D178+'Reels'!D181+'Reels'!D184+'Reels'!D187+'Reels'!D190+'Reels'!D193))*('Reels'!D214/('Reels'!D196+'Reels'!D199+'Reels'!D202+'Reels'!D205+'Reels'!D208+'Reels'!D211+'Reels'!D214))*('Reels'!D224/('Reels'!D218+'Reels'!D221+'Reels'!D224+'Reels'!D227+'Reels'!D230+'Reels'!D233))</f>
        <v>0.001928138581134847</v>
      </c>
      <c r="D838">
        <f>IF(OR('Reels'!D179="attack",'Reels'!D179="magic"),CHOOSE('Reels'!D180+1,'Slots'!D29,'Slots'!D30,'Slots'!D31,'Slots'!D32,'Slots'!D33),0)+IF(OR('Reels'!D212="attack",'Reels'!D212="magic"),CHOOSE('Reels'!D213+1,'Slots'!D29,'Slots'!D30,'Slots'!D31,'Slots'!D32,'Slots'!D33),0)+IF(OR('Reels'!D222="attack",'Reels'!D222="magic"),CHOOSE('Reels'!D223+1,'Slots'!D29,'Slots'!D30,'Slots'!D31,'Slots'!D32,'Slots'!D33),0)</f>
        <v>4</v>
      </c>
      <c r="E838">
        <f>IF('Reels'!D179="heal",'Reels'!D180*'Slots'!D24,0)+IF('Reels'!D212="heal",'Reels'!D213*'Slots'!D24,0)+IF('Reels'!D222="heal",'Reels'!D223*'Slots'!D24,0)</f>
        <v>0</v>
      </c>
      <c r="F838">
        <f>IF('Reels'!D179="block",'Reels'!D180*'Slots'!D25,0)+IF('Reels'!D212="block",'Reels'!D213*'Slots'!D25,0)+IF('Reels'!D222="block",'Reels'!D223*'Slots'!D25,0)</f>
        <v>0</v>
      </c>
      <c r="G838" t="b">
        <f>AND('Reels'!D179&lt;&gt;"blank",'Reels'!D179&lt;&gt;"class",'Reels'!D179='Reels'!D222,'Reels'!D180='Reels'!D223,OR('Reels'!D212="class",AND('Reels'!D212='Reels'!D179,'Reels'!D213='Reels'!D180)))</f>
        <v>0</v>
      </c>
      <c r="H838">
        <f>IF(G838,C838,0)</f>
        <v>0</v>
      </c>
    </row>
    <row r="839" spans="1:8" x14ac:dyDescent="0.25">
      <c r="A839" t="s">
        <v>269</v>
      </c>
      <c r="B839" t="s">
        <v>4074</v>
      </c>
      <c r="C839" s="4">
        <f>('Reels'!D181/('Reels'!D178+'Reels'!D181+'Reels'!D184+'Reels'!D187+'Reels'!D190+'Reels'!D193))*('Reels'!D214/('Reels'!D196+'Reels'!D199+'Reels'!D202+'Reels'!D205+'Reels'!D208+'Reels'!D211+'Reels'!D214))*('Reels'!D227/('Reels'!D218+'Reels'!D221+'Reels'!D224+'Reels'!D227+'Reels'!D230+'Reels'!D233))</f>
        <v>0.001928138581134847</v>
      </c>
      <c r="D839">
        <f>IF(OR('Reels'!D179="attack",'Reels'!D179="magic"),CHOOSE('Reels'!D180+1,'Slots'!D29,'Slots'!D30,'Slots'!D31,'Slots'!D32,'Slots'!D33),0)+IF(OR('Reels'!D212="attack",'Reels'!D212="magic"),CHOOSE('Reels'!D213+1,'Slots'!D29,'Slots'!D30,'Slots'!D31,'Slots'!D32,'Slots'!D33),0)+IF(OR('Reels'!D225="attack",'Reels'!D225="magic"),CHOOSE('Reels'!D226+1,'Slots'!D29,'Slots'!D30,'Slots'!D31,'Slots'!D32,'Slots'!D33),0)</f>
        <v>4</v>
      </c>
      <c r="E839">
        <f>IF('Reels'!D179="heal",'Reels'!D180*'Slots'!D24,0)+IF('Reels'!D212="heal",'Reels'!D213*'Slots'!D24,0)+IF('Reels'!D225="heal",'Reels'!D226*'Slots'!D24,0)</f>
        <v>0</v>
      </c>
      <c r="F839">
        <f>IF('Reels'!D179="block",'Reels'!D180*'Slots'!D25,0)+IF('Reels'!D212="block",'Reels'!D213*'Slots'!D25,0)+IF('Reels'!D225="block",'Reels'!D226*'Slots'!D25,0)</f>
        <v>0</v>
      </c>
      <c r="G839" t="b">
        <f>AND('Reels'!D179&lt;&gt;"blank",'Reels'!D179&lt;&gt;"class",'Reels'!D179='Reels'!D225,'Reels'!D180='Reels'!D226,OR('Reels'!D212="class",AND('Reels'!D212='Reels'!D179,'Reels'!D213='Reels'!D180)))</f>
        <v>0</v>
      </c>
      <c r="H839">
        <f>IF(G839,C839,0)</f>
        <v>0</v>
      </c>
    </row>
    <row r="840" spans="1:8" x14ac:dyDescent="0.25">
      <c r="A840" t="s">
        <v>269</v>
      </c>
      <c r="B840" t="s">
        <v>4075</v>
      </c>
      <c r="C840" s="4">
        <f>('Reels'!D181/('Reels'!D178+'Reels'!D181+'Reels'!D184+'Reels'!D187+'Reels'!D190+'Reels'!D193))*('Reels'!D214/('Reels'!D196+'Reels'!D199+'Reels'!D202+'Reels'!D205+'Reels'!D208+'Reels'!D211+'Reels'!D214))*('Reels'!D230/('Reels'!D218+'Reels'!D221+'Reels'!D224+'Reels'!D227+'Reels'!D230+'Reels'!D233))</f>
        <v>0.0012854257207565649</v>
      </c>
      <c r="D840">
        <f>IF(OR('Reels'!D179="attack",'Reels'!D179="magic"),CHOOSE('Reels'!D180+1,'Slots'!D29,'Slots'!D30,'Slots'!D31,'Slots'!D32,'Slots'!D33),0)+IF(OR('Reels'!D212="attack",'Reels'!D212="magic"),CHOOSE('Reels'!D213+1,'Slots'!D29,'Slots'!D30,'Slots'!D31,'Slots'!D32,'Slots'!D33),0)+IF(OR('Reels'!D228="attack",'Reels'!D228="magic"),CHOOSE('Reels'!D229+1,'Slots'!D29,'Slots'!D30,'Slots'!D31,'Slots'!D32,'Slots'!D33),0)</f>
        <v>4</v>
      </c>
      <c r="E840">
        <f>IF('Reels'!D179="heal",'Reels'!D180*'Slots'!D24,0)+IF('Reels'!D212="heal",'Reels'!D213*'Slots'!D24,0)+IF('Reels'!D228="heal",'Reels'!D229*'Slots'!D24,0)</f>
        <v>0</v>
      </c>
      <c r="F840">
        <f>IF('Reels'!D179="block",'Reels'!D180*'Slots'!D25,0)+IF('Reels'!D212="block",'Reels'!D213*'Slots'!D25,0)+IF('Reels'!D228="block",'Reels'!D229*'Slots'!D25,0)</f>
        <v>1</v>
      </c>
      <c r="G840" t="b">
        <f>AND('Reels'!D179&lt;&gt;"blank",'Reels'!D179&lt;&gt;"class",'Reels'!D179='Reels'!D228,'Reels'!D180='Reels'!D229,OR('Reels'!D212="class",AND('Reels'!D212='Reels'!D179,'Reels'!D213='Reels'!D180)))</f>
        <v>0</v>
      </c>
      <c r="H840">
        <f>IF(G840,C840,0)</f>
        <v>0</v>
      </c>
    </row>
    <row r="841" spans="1:8" x14ac:dyDescent="0.25">
      <c r="A841" t="s">
        <v>269</v>
      </c>
      <c r="B841" t="s">
        <v>4076</v>
      </c>
      <c r="C841" s="4">
        <f>('Reels'!D181/('Reels'!D178+'Reels'!D181+'Reels'!D184+'Reels'!D187+'Reels'!D190+'Reels'!D193))*('Reels'!D214/('Reels'!D196+'Reels'!D199+'Reels'!D202+'Reels'!D205+'Reels'!D208+'Reels'!D211+'Reels'!D214))*('Reels'!D233/('Reels'!D218+'Reels'!D221+'Reels'!D224+'Reels'!D227+'Reels'!D230+'Reels'!D233))</f>
        <v>0.0032135643018914124</v>
      </c>
      <c r="D841">
        <f>IF(OR('Reels'!D179="attack",'Reels'!D179="magic"),CHOOSE('Reels'!D180+1,'Slots'!D29,'Slots'!D30,'Slots'!D31,'Slots'!D32,'Slots'!D33),0)+IF(OR('Reels'!D212="attack",'Reels'!D212="magic"),CHOOSE('Reels'!D213+1,'Slots'!D29,'Slots'!D30,'Slots'!D31,'Slots'!D32,'Slots'!D33),0)+IF(OR('Reels'!D231="attack",'Reels'!D231="magic"),CHOOSE('Reels'!D232+1,'Slots'!D29,'Slots'!D30,'Slots'!D31,'Slots'!D32,'Slots'!D33),0)</f>
        <v>4</v>
      </c>
      <c r="E841">
        <f>IF('Reels'!D179="heal",'Reels'!D180*'Slots'!D24,0)+IF('Reels'!D212="heal",'Reels'!D213*'Slots'!D24,0)+IF('Reels'!D231="heal",'Reels'!D232*'Slots'!D24,0)</f>
        <v>0</v>
      </c>
      <c r="F841">
        <f>IF('Reels'!D179="block",'Reels'!D180*'Slots'!D25,0)+IF('Reels'!D212="block",'Reels'!D213*'Slots'!D25,0)+IF('Reels'!D231="block",'Reels'!D232*'Slots'!D25,0)</f>
        <v>0</v>
      </c>
      <c r="G841" t="b">
        <f>AND('Reels'!D179&lt;&gt;"blank",'Reels'!D179&lt;&gt;"class",'Reels'!D179='Reels'!D231,'Reels'!D180='Reels'!D232,OR('Reels'!D212="class",AND('Reels'!D212='Reels'!D179,'Reels'!D213='Reels'!D180)))</f>
        <v>0</v>
      </c>
      <c r="H841">
        <f>IF(G841,C841,0)</f>
        <v>0</v>
      </c>
    </row>
    <row r="842" spans="1:8" x14ac:dyDescent="0.25">
      <c r="A842" t="s">
        <v>269</v>
      </c>
      <c r="B842" t="s">
        <v>4077</v>
      </c>
      <c r="C842" s="4">
        <f>('Reels'!D184/('Reels'!D178+'Reels'!D181+'Reels'!D184+'Reels'!D187+'Reels'!D190+'Reels'!D193))*('Reels'!D196/('Reels'!D196+'Reels'!D199+'Reels'!D202+'Reels'!D205+'Reels'!D208+'Reels'!D211+'Reels'!D214))*('Reels'!D218/('Reels'!D218+'Reels'!D221+'Reels'!D224+'Reels'!D227+'Reels'!D230+'Reels'!D233))</f>
        <v>0.011109750872253169</v>
      </c>
      <c r="D842">
        <f>IF(OR('Reels'!D182="attack",'Reels'!D182="magic"),CHOOSE('Reels'!D183+1,'Slots'!D29,'Slots'!D30,'Slots'!D31,'Slots'!D32,'Slots'!D33),0)+IF(OR('Reels'!D194="attack",'Reels'!D194="magic"),CHOOSE('Reels'!D195+1,'Slots'!D29,'Slots'!D30,'Slots'!D31,'Slots'!D32,'Slots'!D33),0)+IF(OR('Reels'!D216="attack",'Reels'!D216="magic"),CHOOSE('Reels'!D217+1,'Slots'!D29,'Slots'!D30,'Slots'!D31,'Slots'!D32,'Slots'!D33),0)</f>
        <v>4</v>
      </c>
      <c r="E842">
        <f>IF('Reels'!D182="heal",'Reels'!D183*'Slots'!D24,0)+IF('Reels'!D194="heal",'Reels'!D195*'Slots'!D24,0)+IF('Reels'!D216="heal",'Reels'!D217*'Slots'!D24,0)</f>
        <v>0</v>
      </c>
      <c r="F842">
        <f>IF('Reels'!D182="block",'Reels'!D183*'Slots'!D25,0)+IF('Reels'!D194="block",'Reels'!D195*'Slots'!D25,0)+IF('Reels'!D216="block",'Reels'!D217*'Slots'!D25,0)</f>
        <v>0</v>
      </c>
      <c r="G842" t="b">
        <f>AND('Reels'!D182&lt;&gt;"blank",'Reels'!D182&lt;&gt;"class",'Reels'!D182='Reels'!D216,'Reels'!D183='Reels'!D217,OR('Reels'!D194="class",AND('Reels'!D194='Reels'!D182,'Reels'!D195='Reels'!D183)))</f>
        <v>0</v>
      </c>
      <c r="H842">
        <f>IF(G842,C842,0)</f>
        <v>0</v>
      </c>
    </row>
    <row r="843" spans="1:8" x14ac:dyDescent="0.25">
      <c r="A843" t="s">
        <v>269</v>
      </c>
      <c r="B843" t="s">
        <v>4078</v>
      </c>
      <c r="C843" s="4">
        <f>('Reels'!D184/('Reels'!D178+'Reels'!D181+'Reels'!D184+'Reels'!D187+'Reels'!D190+'Reels'!D193))*('Reels'!D196/('Reels'!D196+'Reels'!D199+'Reels'!D202+'Reels'!D205+'Reels'!D208+'Reels'!D211+'Reels'!D214))*('Reels'!D221/('Reels'!D218+'Reels'!D221+'Reels'!D224+'Reels'!D227+'Reels'!D230+'Reels'!D233))</f>
        <v>0.0070698414641611074</v>
      </c>
      <c r="D843">
        <f>IF(OR('Reels'!D182="attack",'Reels'!D182="magic"),CHOOSE('Reels'!D183+1,'Slots'!D29,'Slots'!D30,'Slots'!D31,'Slots'!D32,'Slots'!D33),0)+IF(OR('Reels'!D194="attack",'Reels'!D194="magic"),CHOOSE('Reels'!D195+1,'Slots'!D29,'Slots'!D30,'Slots'!D31,'Slots'!D32,'Slots'!D33),0)+IF(OR('Reels'!D219="attack",'Reels'!D219="magic"),CHOOSE('Reels'!D220+1,'Slots'!D29,'Slots'!D30,'Slots'!D31,'Slots'!D32,'Slots'!D33),0)</f>
        <v>6</v>
      </c>
      <c r="E843">
        <f>IF('Reels'!D182="heal",'Reels'!D183*'Slots'!D24,0)+IF('Reels'!D194="heal",'Reels'!D195*'Slots'!D24,0)+IF('Reels'!D219="heal",'Reels'!D220*'Slots'!D24,0)</f>
        <v>0</v>
      </c>
      <c r="F843">
        <f>IF('Reels'!D182="block",'Reels'!D183*'Slots'!D25,0)+IF('Reels'!D194="block",'Reels'!D195*'Slots'!D25,0)+IF('Reels'!D219="block",'Reels'!D220*'Slots'!D25,0)</f>
        <v>0</v>
      </c>
      <c r="G843" t="b">
        <f>AND('Reels'!D182&lt;&gt;"blank",'Reels'!D182&lt;&gt;"class",'Reels'!D182='Reels'!D219,'Reels'!D183='Reels'!D220,OR('Reels'!D194="class",AND('Reels'!D194='Reels'!D182,'Reels'!D195='Reels'!D183)))</f>
        <v>0</v>
      </c>
      <c r="H843">
        <f>IF(G843,C843,0)</f>
        <v>0</v>
      </c>
    </row>
    <row r="844" spans="1:8" x14ac:dyDescent="0.25">
      <c r="A844" t="s">
        <v>269</v>
      </c>
      <c r="B844" t="s">
        <v>4079</v>
      </c>
      <c r="C844" s="4">
        <f>('Reels'!D184/('Reels'!D178+'Reels'!D181+'Reels'!D184+'Reels'!D187+'Reels'!D190+'Reels'!D193))*('Reels'!D196/('Reels'!D196+'Reels'!D199+'Reels'!D202+'Reels'!D205+'Reels'!D208+'Reels'!D211+'Reels'!D214))*('Reels'!D224/('Reels'!D218+'Reels'!D221+'Reels'!D224+'Reels'!D227+'Reels'!D230+'Reels'!D233))</f>
        <v>0.003029932056069046</v>
      </c>
      <c r="D844">
        <f>IF(OR('Reels'!D182="attack",'Reels'!D182="magic"),CHOOSE('Reels'!D183+1,'Slots'!D29,'Slots'!D30,'Slots'!D31,'Slots'!D32,'Slots'!D33),0)+IF(OR('Reels'!D194="attack",'Reels'!D194="magic"),CHOOSE('Reels'!D195+1,'Slots'!D29,'Slots'!D30,'Slots'!D31,'Slots'!D32,'Slots'!D33),0)+IF(OR('Reels'!D222="attack",'Reels'!D222="magic"),CHOOSE('Reels'!D223+1,'Slots'!D29,'Slots'!D30,'Slots'!D31,'Slots'!D32,'Slots'!D33),0)</f>
        <v>2</v>
      </c>
      <c r="E844">
        <f>IF('Reels'!D182="heal",'Reels'!D183*'Slots'!D24,0)+IF('Reels'!D194="heal",'Reels'!D195*'Slots'!D24,0)+IF('Reels'!D222="heal",'Reels'!D223*'Slots'!D24,0)</f>
        <v>0</v>
      </c>
      <c r="F844">
        <f>IF('Reels'!D182="block",'Reels'!D183*'Slots'!D25,0)+IF('Reels'!D194="block",'Reels'!D195*'Slots'!D25,0)+IF('Reels'!D222="block",'Reels'!D223*'Slots'!D25,0)</f>
        <v>0</v>
      </c>
      <c r="G844" t="b">
        <f>AND('Reels'!D182&lt;&gt;"blank",'Reels'!D182&lt;&gt;"class",'Reels'!D182='Reels'!D222,'Reels'!D183='Reels'!D223,OR('Reels'!D194="class",AND('Reels'!D194='Reels'!D182,'Reels'!D195='Reels'!D183)))</f>
        <v>0</v>
      </c>
      <c r="H844">
        <f>IF(G844,C844,0)</f>
        <v>0</v>
      </c>
    </row>
    <row r="845" spans="1:8" x14ac:dyDescent="0.25">
      <c r="A845" t="s">
        <v>269</v>
      </c>
      <c r="B845" t="s">
        <v>4080</v>
      </c>
      <c r="C845" s="4">
        <f>('Reels'!D184/('Reels'!D178+'Reels'!D181+'Reels'!D184+'Reels'!D187+'Reels'!D190+'Reels'!D193))*('Reels'!D196/('Reels'!D196+'Reels'!D199+'Reels'!D202+'Reels'!D205+'Reels'!D208+'Reels'!D211+'Reels'!D214))*('Reels'!D227/('Reels'!D218+'Reels'!D221+'Reels'!D224+'Reels'!D227+'Reels'!D230+'Reels'!D233))</f>
        <v>0.003029932056069046</v>
      </c>
      <c r="D845">
        <f>IF(OR('Reels'!D182="attack",'Reels'!D182="magic"),CHOOSE('Reels'!D183+1,'Slots'!D29,'Slots'!D30,'Slots'!D31,'Slots'!D32,'Slots'!D33),0)+IF(OR('Reels'!D194="attack",'Reels'!D194="magic"),CHOOSE('Reels'!D195+1,'Slots'!D29,'Slots'!D30,'Slots'!D31,'Slots'!D32,'Slots'!D33),0)+IF(OR('Reels'!D225="attack",'Reels'!D225="magic"),CHOOSE('Reels'!D226+1,'Slots'!D29,'Slots'!D30,'Slots'!D31,'Slots'!D32,'Slots'!D33),0)</f>
        <v>2</v>
      </c>
      <c r="E845">
        <f>IF('Reels'!D182="heal",'Reels'!D183*'Slots'!D24,0)+IF('Reels'!D194="heal",'Reels'!D195*'Slots'!D24,0)+IF('Reels'!D225="heal",'Reels'!D226*'Slots'!D24,0)</f>
        <v>0</v>
      </c>
      <c r="F845">
        <f>IF('Reels'!D182="block",'Reels'!D183*'Slots'!D25,0)+IF('Reels'!D194="block",'Reels'!D195*'Slots'!D25,0)+IF('Reels'!D225="block",'Reels'!D226*'Slots'!D25,0)</f>
        <v>0</v>
      </c>
      <c r="G845" t="b">
        <f>AND('Reels'!D182&lt;&gt;"blank",'Reels'!D182&lt;&gt;"class",'Reels'!D182='Reels'!D225,'Reels'!D183='Reels'!D226,OR('Reels'!D194="class",AND('Reels'!D194='Reels'!D182,'Reels'!D195='Reels'!D183)))</f>
        <v>0</v>
      </c>
      <c r="H845">
        <f>IF(G845,C845,0)</f>
        <v>0</v>
      </c>
    </row>
    <row r="846" spans="1:8" x14ac:dyDescent="0.25">
      <c r="A846" t="s">
        <v>269</v>
      </c>
      <c r="B846" t="s">
        <v>4081</v>
      </c>
      <c r="C846" s="4">
        <f>('Reels'!D184/('Reels'!D178+'Reels'!D181+'Reels'!D184+'Reels'!D187+'Reels'!D190+'Reels'!D193))*('Reels'!D196/('Reels'!D196+'Reels'!D199+'Reels'!D202+'Reels'!D205+'Reels'!D208+'Reels'!D211+'Reels'!D214))*('Reels'!D230/('Reels'!D218+'Reels'!D221+'Reels'!D224+'Reels'!D227+'Reels'!D230+'Reels'!D233))</f>
        <v>0.0020199547040460307</v>
      </c>
      <c r="D846">
        <f>IF(OR('Reels'!D182="attack",'Reels'!D182="magic"),CHOOSE('Reels'!D183+1,'Slots'!D29,'Slots'!D30,'Slots'!D31,'Slots'!D32,'Slots'!D33),0)+IF(OR('Reels'!D194="attack",'Reels'!D194="magic"),CHOOSE('Reels'!D195+1,'Slots'!D29,'Slots'!D30,'Slots'!D31,'Slots'!D32,'Slots'!D33),0)+IF(OR('Reels'!D228="attack",'Reels'!D228="magic"),CHOOSE('Reels'!D229+1,'Slots'!D29,'Slots'!D30,'Slots'!D31,'Slots'!D32,'Slots'!D33),0)</f>
        <v>2</v>
      </c>
      <c r="E846">
        <f>IF('Reels'!D182="heal",'Reels'!D183*'Slots'!D24,0)+IF('Reels'!D194="heal",'Reels'!D195*'Slots'!D24,0)+IF('Reels'!D228="heal",'Reels'!D229*'Slots'!D24,0)</f>
        <v>0</v>
      </c>
      <c r="F846">
        <f>IF('Reels'!D182="block",'Reels'!D183*'Slots'!D25,0)+IF('Reels'!D194="block",'Reels'!D195*'Slots'!D25,0)+IF('Reels'!D228="block",'Reels'!D229*'Slots'!D25,0)</f>
        <v>1</v>
      </c>
      <c r="G846" t="b">
        <f>AND('Reels'!D182&lt;&gt;"blank",'Reels'!D182&lt;&gt;"class",'Reels'!D182='Reels'!D228,'Reels'!D183='Reels'!D229,OR('Reels'!D194="class",AND('Reels'!D194='Reels'!D182,'Reels'!D195='Reels'!D183)))</f>
        <v>0</v>
      </c>
      <c r="H846">
        <f>IF(G846,C846,0)</f>
        <v>0</v>
      </c>
    </row>
    <row r="847" spans="1:8" x14ac:dyDescent="0.25">
      <c r="A847" t="s">
        <v>269</v>
      </c>
      <c r="B847" t="s">
        <v>4082</v>
      </c>
      <c r="C847" s="4">
        <f>('Reels'!D184/('Reels'!D178+'Reels'!D181+'Reels'!D184+'Reels'!D187+'Reels'!D190+'Reels'!D193))*('Reels'!D196/('Reels'!D196+'Reels'!D199+'Reels'!D202+'Reels'!D205+'Reels'!D208+'Reels'!D211+'Reels'!D214))*('Reels'!D233/('Reels'!D218+'Reels'!D221+'Reels'!D224+'Reels'!D227+'Reels'!D230+'Reels'!D233))</f>
        <v>0.005049886760115077</v>
      </c>
      <c r="D847">
        <f>IF(OR('Reels'!D182="attack",'Reels'!D182="magic"),CHOOSE('Reels'!D183+1,'Slots'!D29,'Slots'!D30,'Slots'!D31,'Slots'!D32,'Slots'!D33),0)+IF(OR('Reels'!D194="attack",'Reels'!D194="magic"),CHOOSE('Reels'!D195+1,'Slots'!D29,'Slots'!D30,'Slots'!D31,'Slots'!D32,'Slots'!D33),0)+IF(OR('Reels'!D231="attack",'Reels'!D231="magic"),CHOOSE('Reels'!D232+1,'Slots'!D29,'Slots'!D30,'Slots'!D31,'Slots'!D32,'Slots'!D33),0)</f>
        <v>2</v>
      </c>
      <c r="E847">
        <f>IF('Reels'!D182="heal",'Reels'!D183*'Slots'!D24,0)+IF('Reels'!D194="heal",'Reels'!D195*'Slots'!D24,0)+IF('Reels'!D231="heal",'Reels'!D232*'Slots'!D24,0)</f>
        <v>0</v>
      </c>
      <c r="F847">
        <f>IF('Reels'!D182="block",'Reels'!D183*'Slots'!D25,0)+IF('Reels'!D194="block",'Reels'!D195*'Slots'!D25,0)+IF('Reels'!D231="block",'Reels'!D232*'Slots'!D25,0)</f>
        <v>0</v>
      </c>
      <c r="G847" t="b">
        <f>AND('Reels'!D182&lt;&gt;"blank",'Reels'!D182&lt;&gt;"class",'Reels'!D182='Reels'!D231,'Reels'!D183='Reels'!D232,OR('Reels'!D194="class",AND('Reels'!D194='Reels'!D182,'Reels'!D195='Reels'!D183)))</f>
        <v>0</v>
      </c>
      <c r="H847">
        <f>IF(G847,C847,0)</f>
        <v>0</v>
      </c>
    </row>
    <row r="848" spans="1:8" x14ac:dyDescent="0.25">
      <c r="A848" t="s">
        <v>269</v>
      </c>
      <c r="B848" t="s">
        <v>4083</v>
      </c>
      <c r="C848" s="4">
        <f>('Reels'!D184/('Reels'!D178+'Reels'!D181+'Reels'!D184+'Reels'!D187+'Reels'!D190+'Reels'!D193))*('Reels'!D199/('Reels'!D196+'Reels'!D199+'Reels'!D202+'Reels'!D205+'Reels'!D208+'Reels'!D211+'Reels'!D214))*('Reels'!D218/('Reels'!D218+'Reels'!D221+'Reels'!D224+'Reels'!D227+'Reels'!D230+'Reels'!D233))</f>
        <v>0.0070698414641611074</v>
      </c>
      <c r="D848">
        <f>IF(OR('Reels'!D182="attack",'Reels'!D182="magic"),CHOOSE('Reels'!D183+1,'Slots'!D29,'Slots'!D30,'Slots'!D31,'Slots'!D32,'Slots'!D33),0)+IF(OR('Reels'!D197="attack",'Reels'!D197="magic"),CHOOSE('Reels'!D198+1,'Slots'!D29,'Slots'!D30,'Slots'!D31,'Slots'!D32,'Slots'!D33),0)+IF(OR('Reels'!D216="attack",'Reels'!D216="magic"),CHOOSE('Reels'!D217+1,'Slots'!D29,'Slots'!D30,'Slots'!D31,'Slots'!D32,'Slots'!D33),0)</f>
        <v>6</v>
      </c>
      <c r="E848">
        <f>IF('Reels'!D182="heal",'Reels'!D183*'Slots'!D24,0)+IF('Reels'!D197="heal",'Reels'!D198*'Slots'!D24,0)+IF('Reels'!D216="heal",'Reels'!D217*'Slots'!D24,0)</f>
        <v>0</v>
      </c>
      <c r="F848">
        <f>IF('Reels'!D182="block",'Reels'!D183*'Slots'!D25,0)+IF('Reels'!D197="block",'Reels'!D198*'Slots'!D25,0)+IF('Reels'!D216="block",'Reels'!D217*'Slots'!D25,0)</f>
        <v>0</v>
      </c>
      <c r="G848" t="b">
        <f>AND('Reels'!D182&lt;&gt;"blank",'Reels'!D182&lt;&gt;"class",'Reels'!D182='Reels'!D216,'Reels'!D183='Reels'!D217,OR('Reels'!D197="class",AND('Reels'!D197='Reels'!D182,'Reels'!D198='Reels'!D183)))</f>
        <v>0</v>
      </c>
      <c r="H848">
        <f>IF(G848,C848,0)</f>
        <v>0</v>
      </c>
    </row>
    <row r="849" spans="1:8" x14ac:dyDescent="0.25">
      <c r="A849" t="s">
        <v>269</v>
      </c>
      <c r="B849" t="s">
        <v>4084</v>
      </c>
      <c r="C849" s="4">
        <f>('Reels'!D184/('Reels'!D178+'Reels'!D181+'Reels'!D184+'Reels'!D187+'Reels'!D190+'Reels'!D193))*('Reels'!D199/('Reels'!D196+'Reels'!D199+'Reels'!D202+'Reels'!D205+'Reels'!D208+'Reels'!D211+'Reels'!D214))*('Reels'!D221/('Reels'!D218+'Reels'!D221+'Reels'!D224+'Reels'!D227+'Reels'!D230+'Reels'!D233))</f>
        <v>0.004498990022647977</v>
      </c>
      <c r="D849">
        <f>IF(OR('Reels'!D182="attack",'Reels'!D182="magic"),CHOOSE('Reels'!D183+1,'Slots'!D29,'Slots'!D30,'Slots'!D31,'Slots'!D32,'Slots'!D33),0)+IF(OR('Reels'!D197="attack",'Reels'!D197="magic"),CHOOSE('Reels'!D198+1,'Slots'!D29,'Slots'!D30,'Slots'!D31,'Slots'!D32,'Slots'!D33),0)+IF(OR('Reels'!D219="attack",'Reels'!D219="magic"),CHOOSE('Reels'!D220+1,'Slots'!D29,'Slots'!D30,'Slots'!D31,'Slots'!D32,'Slots'!D33),0)</f>
        <v>8</v>
      </c>
      <c r="E849">
        <f>IF('Reels'!D182="heal",'Reels'!D183*'Slots'!D24,0)+IF('Reels'!D197="heal",'Reels'!D198*'Slots'!D24,0)+IF('Reels'!D219="heal",'Reels'!D220*'Slots'!D24,0)</f>
        <v>0</v>
      </c>
      <c r="F849">
        <f>IF('Reels'!D182="block",'Reels'!D183*'Slots'!D25,0)+IF('Reels'!D197="block",'Reels'!D198*'Slots'!D25,0)+IF('Reels'!D219="block",'Reels'!D220*'Slots'!D25,0)</f>
        <v>0</v>
      </c>
      <c r="G849" t="b">
        <f>AND('Reels'!D182&lt;&gt;"blank",'Reels'!D182&lt;&gt;"class",'Reels'!D182='Reels'!D219,'Reels'!D183='Reels'!D220,OR('Reels'!D197="class",AND('Reels'!D197='Reels'!D182,'Reels'!D198='Reels'!D183)))</f>
        <v>0</v>
      </c>
      <c r="H849">
        <f>IF(G849,C849,0)</f>
        <v>0</v>
      </c>
    </row>
    <row r="850" spans="1:8" x14ac:dyDescent="0.25">
      <c r="A850" t="s">
        <v>269</v>
      </c>
      <c r="B850" t="s">
        <v>4085</v>
      </c>
      <c r="C850" s="4">
        <f>('Reels'!D184/('Reels'!D178+'Reels'!D181+'Reels'!D184+'Reels'!D187+'Reels'!D190+'Reels'!D193))*('Reels'!D199/('Reels'!D196+'Reels'!D199+'Reels'!D202+'Reels'!D205+'Reels'!D208+'Reels'!D211+'Reels'!D214))*('Reels'!D224/('Reels'!D218+'Reels'!D221+'Reels'!D224+'Reels'!D227+'Reels'!D230+'Reels'!D233))</f>
        <v>0.001928138581134847</v>
      </c>
      <c r="D850">
        <f>IF(OR('Reels'!D182="attack",'Reels'!D182="magic"),CHOOSE('Reels'!D183+1,'Slots'!D29,'Slots'!D30,'Slots'!D31,'Slots'!D32,'Slots'!D33),0)+IF(OR('Reels'!D197="attack",'Reels'!D197="magic"),CHOOSE('Reels'!D198+1,'Slots'!D29,'Slots'!D30,'Slots'!D31,'Slots'!D32,'Slots'!D33),0)+IF(OR('Reels'!D222="attack",'Reels'!D222="magic"),CHOOSE('Reels'!D223+1,'Slots'!D29,'Slots'!D30,'Slots'!D31,'Slots'!D32,'Slots'!D33),0)</f>
        <v>4</v>
      </c>
      <c r="E850">
        <f>IF('Reels'!D182="heal",'Reels'!D183*'Slots'!D24,0)+IF('Reels'!D197="heal",'Reels'!D198*'Slots'!D24,0)+IF('Reels'!D222="heal",'Reels'!D223*'Slots'!D24,0)</f>
        <v>0</v>
      </c>
      <c r="F850">
        <f>IF('Reels'!D182="block",'Reels'!D183*'Slots'!D25,0)+IF('Reels'!D197="block",'Reels'!D198*'Slots'!D25,0)+IF('Reels'!D222="block",'Reels'!D223*'Slots'!D25,0)</f>
        <v>0</v>
      </c>
      <c r="G850" t="b">
        <f>AND('Reels'!D182&lt;&gt;"blank",'Reels'!D182&lt;&gt;"class",'Reels'!D182='Reels'!D222,'Reels'!D183='Reels'!D223,OR('Reels'!D197="class",AND('Reels'!D197='Reels'!D182,'Reels'!D198='Reels'!D183)))</f>
        <v>0</v>
      </c>
      <c r="H850">
        <f>IF(G850,C850,0)</f>
        <v>0</v>
      </c>
    </row>
    <row r="851" spans="1:8" x14ac:dyDescent="0.25">
      <c r="A851" t="s">
        <v>269</v>
      </c>
      <c r="B851" t="s">
        <v>4086</v>
      </c>
      <c r="C851" s="4">
        <f>('Reels'!D184/('Reels'!D178+'Reels'!D181+'Reels'!D184+'Reels'!D187+'Reels'!D190+'Reels'!D193))*('Reels'!D199/('Reels'!D196+'Reels'!D199+'Reels'!D202+'Reels'!D205+'Reels'!D208+'Reels'!D211+'Reels'!D214))*('Reels'!D227/('Reels'!D218+'Reels'!D221+'Reels'!D224+'Reels'!D227+'Reels'!D230+'Reels'!D233))</f>
        <v>0.001928138581134847</v>
      </c>
      <c r="D851">
        <f>IF(OR('Reels'!D182="attack",'Reels'!D182="magic"),CHOOSE('Reels'!D183+1,'Slots'!D29,'Slots'!D30,'Slots'!D31,'Slots'!D32,'Slots'!D33),0)+IF(OR('Reels'!D197="attack",'Reels'!D197="magic"),CHOOSE('Reels'!D198+1,'Slots'!D29,'Slots'!D30,'Slots'!D31,'Slots'!D32,'Slots'!D33),0)+IF(OR('Reels'!D225="attack",'Reels'!D225="magic"),CHOOSE('Reels'!D226+1,'Slots'!D29,'Slots'!D30,'Slots'!D31,'Slots'!D32,'Slots'!D33),0)</f>
        <v>4</v>
      </c>
      <c r="E851">
        <f>IF('Reels'!D182="heal",'Reels'!D183*'Slots'!D24,0)+IF('Reels'!D197="heal",'Reels'!D198*'Slots'!D24,0)+IF('Reels'!D225="heal",'Reels'!D226*'Slots'!D24,0)</f>
        <v>0</v>
      </c>
      <c r="F851">
        <f>IF('Reels'!D182="block",'Reels'!D183*'Slots'!D25,0)+IF('Reels'!D197="block",'Reels'!D198*'Slots'!D25,0)+IF('Reels'!D225="block",'Reels'!D226*'Slots'!D25,0)</f>
        <v>0</v>
      </c>
      <c r="G851" t="b">
        <f>AND('Reels'!D182&lt;&gt;"blank",'Reels'!D182&lt;&gt;"class",'Reels'!D182='Reels'!D225,'Reels'!D183='Reels'!D226,OR('Reels'!D197="class",AND('Reels'!D197='Reels'!D182,'Reels'!D198='Reels'!D183)))</f>
        <v>0</v>
      </c>
      <c r="H851">
        <f>IF(G851,C851,0)</f>
        <v>0</v>
      </c>
    </row>
    <row r="852" spans="1:8" x14ac:dyDescent="0.25">
      <c r="A852" t="s">
        <v>269</v>
      </c>
      <c r="B852" t="s">
        <v>4087</v>
      </c>
      <c r="C852" s="4">
        <f>('Reels'!D184/('Reels'!D178+'Reels'!D181+'Reels'!D184+'Reels'!D187+'Reels'!D190+'Reels'!D193))*('Reels'!D199/('Reels'!D196+'Reels'!D199+'Reels'!D202+'Reels'!D205+'Reels'!D208+'Reels'!D211+'Reels'!D214))*('Reels'!D230/('Reels'!D218+'Reels'!D221+'Reels'!D224+'Reels'!D227+'Reels'!D230+'Reels'!D233))</f>
        <v>0.0012854257207565649</v>
      </c>
      <c r="D852">
        <f>IF(OR('Reels'!D182="attack",'Reels'!D182="magic"),CHOOSE('Reels'!D183+1,'Slots'!D29,'Slots'!D30,'Slots'!D31,'Slots'!D32,'Slots'!D33),0)+IF(OR('Reels'!D197="attack",'Reels'!D197="magic"),CHOOSE('Reels'!D198+1,'Slots'!D29,'Slots'!D30,'Slots'!D31,'Slots'!D32,'Slots'!D33),0)+IF(OR('Reels'!D228="attack",'Reels'!D228="magic"),CHOOSE('Reels'!D229+1,'Slots'!D29,'Slots'!D30,'Slots'!D31,'Slots'!D32,'Slots'!D33),0)</f>
        <v>4</v>
      </c>
      <c r="E852">
        <f>IF('Reels'!D182="heal",'Reels'!D183*'Slots'!D24,0)+IF('Reels'!D197="heal",'Reels'!D198*'Slots'!D24,0)+IF('Reels'!D228="heal",'Reels'!D229*'Slots'!D24,0)</f>
        <v>0</v>
      </c>
      <c r="F852">
        <f>IF('Reels'!D182="block",'Reels'!D183*'Slots'!D25,0)+IF('Reels'!D197="block",'Reels'!D198*'Slots'!D25,0)+IF('Reels'!D228="block",'Reels'!D229*'Slots'!D25,0)</f>
        <v>1</v>
      </c>
      <c r="G852" t="b">
        <f>AND('Reels'!D182&lt;&gt;"blank",'Reels'!D182&lt;&gt;"class",'Reels'!D182='Reels'!D228,'Reels'!D183='Reels'!D229,OR('Reels'!D197="class",AND('Reels'!D197='Reels'!D182,'Reels'!D198='Reels'!D183)))</f>
        <v>0</v>
      </c>
      <c r="H852">
        <f>IF(G852,C852,0)</f>
        <v>0</v>
      </c>
    </row>
    <row r="853" spans="1:8" x14ac:dyDescent="0.25">
      <c r="A853" t="s">
        <v>269</v>
      </c>
      <c r="B853" t="s">
        <v>4088</v>
      </c>
      <c r="C853" s="4">
        <f>('Reels'!D184/('Reels'!D178+'Reels'!D181+'Reels'!D184+'Reels'!D187+'Reels'!D190+'Reels'!D193))*('Reels'!D199/('Reels'!D196+'Reels'!D199+'Reels'!D202+'Reels'!D205+'Reels'!D208+'Reels'!D211+'Reels'!D214))*('Reels'!D233/('Reels'!D218+'Reels'!D221+'Reels'!D224+'Reels'!D227+'Reels'!D230+'Reels'!D233))</f>
        <v>0.0032135643018914124</v>
      </c>
      <c r="D853">
        <f>IF(OR('Reels'!D182="attack",'Reels'!D182="magic"),CHOOSE('Reels'!D183+1,'Slots'!D29,'Slots'!D30,'Slots'!D31,'Slots'!D32,'Slots'!D33),0)+IF(OR('Reels'!D197="attack",'Reels'!D197="magic"),CHOOSE('Reels'!D198+1,'Slots'!D29,'Slots'!D30,'Slots'!D31,'Slots'!D32,'Slots'!D33),0)+IF(OR('Reels'!D231="attack",'Reels'!D231="magic"),CHOOSE('Reels'!D232+1,'Slots'!D29,'Slots'!D30,'Slots'!D31,'Slots'!D32,'Slots'!D33),0)</f>
        <v>4</v>
      </c>
      <c r="E853">
        <f>IF('Reels'!D182="heal",'Reels'!D183*'Slots'!D24,0)+IF('Reels'!D197="heal",'Reels'!D198*'Slots'!D24,0)+IF('Reels'!D231="heal",'Reels'!D232*'Slots'!D24,0)</f>
        <v>0</v>
      </c>
      <c r="F853">
        <f>IF('Reels'!D182="block",'Reels'!D183*'Slots'!D25,0)+IF('Reels'!D197="block",'Reels'!D198*'Slots'!D25,0)+IF('Reels'!D231="block",'Reels'!D232*'Slots'!D25,0)</f>
        <v>0</v>
      </c>
      <c r="G853" t="b">
        <f>AND('Reels'!D182&lt;&gt;"blank",'Reels'!D182&lt;&gt;"class",'Reels'!D182='Reels'!D231,'Reels'!D183='Reels'!D232,OR('Reels'!D197="class",AND('Reels'!D197='Reels'!D182,'Reels'!D198='Reels'!D183)))</f>
        <v>0</v>
      </c>
      <c r="H853">
        <f>IF(G853,C853,0)</f>
        <v>0</v>
      </c>
    </row>
    <row r="854" spans="1:8" x14ac:dyDescent="0.25">
      <c r="A854" t="s">
        <v>269</v>
      </c>
      <c r="B854" t="s">
        <v>4089</v>
      </c>
      <c r="C854" s="4">
        <f>('Reels'!D184/('Reels'!D178+'Reels'!D181+'Reels'!D184+'Reels'!D187+'Reels'!D190+'Reels'!D193))*('Reels'!D202/('Reels'!D196+'Reels'!D199+'Reels'!D202+'Reels'!D205+'Reels'!D208+'Reels'!D211+'Reels'!D214))*('Reels'!D218/('Reels'!D218+'Reels'!D221+'Reels'!D224+'Reels'!D227+'Reels'!D230+'Reels'!D233))</f>
        <v>0.003029932056069045</v>
      </c>
      <c r="D854">
        <f>IF(OR('Reels'!D182="attack",'Reels'!D182="magic"),CHOOSE('Reels'!D183+1,'Slots'!D29,'Slots'!D30,'Slots'!D31,'Slots'!D32,'Slots'!D33),0)+IF(OR('Reels'!D200="attack",'Reels'!D200="magic"),CHOOSE('Reels'!D201+1,'Slots'!D29,'Slots'!D30,'Slots'!D31,'Slots'!D32,'Slots'!D33),0)+IF(OR('Reels'!D216="attack",'Reels'!D216="magic"),CHOOSE('Reels'!D217+1,'Slots'!D29,'Slots'!D30,'Slots'!D31,'Slots'!D32,'Slots'!D33),0)</f>
        <v>2</v>
      </c>
      <c r="E854">
        <f>IF('Reels'!D182="heal",'Reels'!D183*'Slots'!D24,0)+IF('Reels'!D200="heal",'Reels'!D201*'Slots'!D24,0)+IF('Reels'!D216="heal",'Reels'!D217*'Slots'!D24,0)</f>
        <v>0</v>
      </c>
      <c r="F854">
        <f>IF('Reels'!D182="block",'Reels'!D183*'Slots'!D25,0)+IF('Reels'!D200="block",'Reels'!D201*'Slots'!D25,0)+IF('Reels'!D216="block",'Reels'!D217*'Slots'!D25,0)</f>
        <v>0</v>
      </c>
      <c r="G854" t="b">
        <f>AND('Reels'!D182&lt;&gt;"blank",'Reels'!D182&lt;&gt;"class",'Reels'!D182='Reels'!D216,'Reels'!D183='Reels'!D217,OR('Reels'!D200="class",AND('Reels'!D200='Reels'!D182,'Reels'!D201='Reels'!D183)))</f>
        <v>0</v>
      </c>
      <c r="H854">
        <f>IF(G854,C854,0)</f>
        <v>0</v>
      </c>
    </row>
    <row r="855" spans="1:8" x14ac:dyDescent="0.25">
      <c r="A855" t="s">
        <v>269</v>
      </c>
      <c r="B855" t="s">
        <v>4090</v>
      </c>
      <c r="C855" s="4">
        <f>('Reels'!D184/('Reels'!D178+'Reels'!D181+'Reels'!D184+'Reels'!D187+'Reels'!D190+'Reels'!D193))*('Reels'!D202/('Reels'!D196+'Reels'!D199+'Reels'!D202+'Reels'!D205+'Reels'!D208+'Reels'!D211+'Reels'!D214))*('Reels'!D221/('Reels'!D218+'Reels'!D221+'Reels'!D224+'Reels'!D227+'Reels'!D230+'Reels'!D233))</f>
        <v>0.0019281385811348469</v>
      </c>
      <c r="D855">
        <f>IF(OR('Reels'!D182="attack",'Reels'!D182="magic"),CHOOSE('Reels'!D183+1,'Slots'!D29,'Slots'!D30,'Slots'!D31,'Slots'!D32,'Slots'!D33),0)+IF(OR('Reels'!D200="attack",'Reels'!D200="magic"),CHOOSE('Reels'!D201+1,'Slots'!D29,'Slots'!D30,'Slots'!D31,'Slots'!D32,'Slots'!D33),0)+IF(OR('Reels'!D219="attack",'Reels'!D219="magic"),CHOOSE('Reels'!D220+1,'Slots'!D29,'Slots'!D30,'Slots'!D31,'Slots'!D32,'Slots'!D33),0)</f>
        <v>4</v>
      </c>
      <c r="E855">
        <f>IF('Reels'!D182="heal",'Reels'!D183*'Slots'!D24,0)+IF('Reels'!D200="heal",'Reels'!D201*'Slots'!D24,0)+IF('Reels'!D219="heal",'Reels'!D220*'Slots'!D24,0)</f>
        <v>0</v>
      </c>
      <c r="F855">
        <f>IF('Reels'!D182="block",'Reels'!D183*'Slots'!D25,0)+IF('Reels'!D200="block",'Reels'!D201*'Slots'!D25,0)+IF('Reels'!D219="block",'Reels'!D220*'Slots'!D25,0)</f>
        <v>0</v>
      </c>
      <c r="G855" t="b">
        <f>AND('Reels'!D182&lt;&gt;"blank",'Reels'!D182&lt;&gt;"class",'Reels'!D182='Reels'!D219,'Reels'!D183='Reels'!D220,OR('Reels'!D200="class",AND('Reels'!D200='Reels'!D182,'Reels'!D201='Reels'!D183)))</f>
        <v>0</v>
      </c>
      <c r="H855">
        <f>IF(G855,C855,0)</f>
        <v>0</v>
      </c>
    </row>
    <row r="856" spans="1:8" x14ac:dyDescent="0.25">
      <c r="A856" t="s">
        <v>269</v>
      </c>
      <c r="B856" t="s">
        <v>3940</v>
      </c>
      <c r="C856" s="4">
        <f>('Reels'!D184/('Reels'!D178+'Reels'!D181+'Reels'!D184+'Reels'!D187+'Reels'!D190+'Reels'!D193))*('Reels'!D202/('Reels'!D196+'Reels'!D199+'Reels'!D202+'Reels'!D205+'Reels'!D208+'Reels'!D211+'Reels'!D214))*('Reels'!D224/('Reels'!D218+'Reels'!D221+'Reels'!D224+'Reels'!D227+'Reels'!D230+'Reels'!D233))</f>
        <v>0.0008263451062006487</v>
      </c>
      <c r="D856">
        <f>IF(OR('Reels'!D182="attack",'Reels'!D182="magic"),CHOOSE('Reels'!D183+1,'Slots'!D29,'Slots'!D30,'Slots'!D31,'Slots'!D32,'Slots'!D33),0)+IF(OR('Reels'!D200="attack",'Reels'!D200="magic"),CHOOSE('Reels'!D201+1,'Slots'!D29,'Slots'!D30,'Slots'!D31,'Slots'!D32,'Slots'!D33),0)+IF(OR('Reels'!D222="attack",'Reels'!D222="magic"),CHOOSE('Reels'!D223+1,'Slots'!D29,'Slots'!D30,'Slots'!D31,'Slots'!D32,'Slots'!D33),0)</f>
        <v>0</v>
      </c>
      <c r="E856">
        <f>IF('Reels'!D182="heal",'Reels'!D183*'Slots'!D24,0)+IF('Reels'!D200="heal",'Reels'!D201*'Slots'!D24,0)+IF('Reels'!D222="heal",'Reels'!D223*'Slots'!D24,0)</f>
        <v>0</v>
      </c>
      <c r="F856">
        <f>IF('Reels'!D182="block",'Reels'!D183*'Slots'!D25,0)+IF('Reels'!D200="block",'Reels'!D201*'Slots'!D25,0)+IF('Reels'!D222="block",'Reels'!D223*'Slots'!D25,0)</f>
        <v>0</v>
      </c>
      <c r="G856" t="b">
        <f>AND('Reels'!D182&lt;&gt;"blank",'Reels'!D182&lt;&gt;"class",'Reels'!D182='Reels'!D222,'Reels'!D183='Reels'!D223,OR('Reels'!D200="class",AND('Reels'!D200='Reels'!D182,'Reels'!D201='Reels'!D183)))</f>
        <v>1</v>
      </c>
      <c r="H856">
        <f>IF(G856,C856,0)</f>
        <v>0.0008263451062006487</v>
      </c>
    </row>
    <row r="857" spans="1:8" x14ac:dyDescent="0.25">
      <c r="A857" t="s">
        <v>269</v>
      </c>
      <c r="B857" t="s">
        <v>4091</v>
      </c>
      <c r="C857" s="4">
        <f>('Reels'!D184/('Reels'!D178+'Reels'!D181+'Reels'!D184+'Reels'!D187+'Reels'!D190+'Reels'!D193))*('Reels'!D202/('Reels'!D196+'Reels'!D199+'Reels'!D202+'Reels'!D205+'Reels'!D208+'Reels'!D211+'Reels'!D214))*('Reels'!D227/('Reels'!D218+'Reels'!D221+'Reels'!D224+'Reels'!D227+'Reels'!D230+'Reels'!D233))</f>
        <v>0.0008263451062006487</v>
      </c>
      <c r="D857">
        <f>IF(OR('Reels'!D182="attack",'Reels'!D182="magic"),CHOOSE('Reels'!D183+1,'Slots'!D29,'Slots'!D30,'Slots'!D31,'Slots'!D32,'Slots'!D33),0)+IF(OR('Reels'!D200="attack",'Reels'!D200="magic"),CHOOSE('Reels'!D201+1,'Slots'!D29,'Slots'!D30,'Slots'!D31,'Slots'!D32,'Slots'!D33),0)+IF(OR('Reels'!D225="attack",'Reels'!D225="magic"),CHOOSE('Reels'!D226+1,'Slots'!D29,'Slots'!D30,'Slots'!D31,'Slots'!D32,'Slots'!D33),0)</f>
        <v>0</v>
      </c>
      <c r="E857">
        <f>IF('Reels'!D182="heal",'Reels'!D183*'Slots'!D24,0)+IF('Reels'!D200="heal",'Reels'!D201*'Slots'!D24,0)+IF('Reels'!D225="heal",'Reels'!D226*'Slots'!D24,0)</f>
        <v>0</v>
      </c>
      <c r="F857">
        <f>IF('Reels'!D182="block",'Reels'!D183*'Slots'!D25,0)+IF('Reels'!D200="block",'Reels'!D201*'Slots'!D25,0)+IF('Reels'!D225="block",'Reels'!D226*'Slots'!D25,0)</f>
        <v>0</v>
      </c>
      <c r="G857" t="b">
        <f>AND('Reels'!D182&lt;&gt;"blank",'Reels'!D182&lt;&gt;"class",'Reels'!D182='Reels'!D225,'Reels'!D183='Reels'!D226,OR('Reels'!D200="class",AND('Reels'!D200='Reels'!D182,'Reels'!D201='Reels'!D183)))</f>
        <v>0</v>
      </c>
      <c r="H857">
        <f>IF(G857,C857,0)</f>
        <v>0</v>
      </c>
    </row>
    <row r="858" spans="1:8" x14ac:dyDescent="0.25">
      <c r="A858" t="s">
        <v>269</v>
      </c>
      <c r="B858" t="s">
        <v>3941</v>
      </c>
      <c r="C858" s="4">
        <f>('Reels'!D184/('Reels'!D178+'Reels'!D181+'Reels'!D184+'Reels'!D187+'Reels'!D190+'Reels'!D193))*('Reels'!D202/('Reels'!D196+'Reels'!D199+'Reels'!D202+'Reels'!D205+'Reels'!D208+'Reels'!D211+'Reels'!D214))*('Reels'!D230/('Reels'!D218+'Reels'!D221+'Reels'!D224+'Reels'!D227+'Reels'!D230+'Reels'!D233))</f>
        <v>0.0005508967374670992</v>
      </c>
      <c r="D858">
        <f>IF(OR('Reels'!D182="attack",'Reels'!D182="magic"),CHOOSE('Reels'!D183+1,'Slots'!D29,'Slots'!D30,'Slots'!D31,'Slots'!D32,'Slots'!D33),0)+IF(OR('Reels'!D200="attack",'Reels'!D200="magic"),CHOOSE('Reels'!D201+1,'Slots'!D29,'Slots'!D30,'Slots'!D31,'Slots'!D32,'Slots'!D33),0)+IF(OR('Reels'!D228="attack",'Reels'!D228="magic"),CHOOSE('Reels'!D229+1,'Slots'!D29,'Slots'!D30,'Slots'!D31,'Slots'!D32,'Slots'!D33),0)</f>
        <v>0</v>
      </c>
      <c r="E858">
        <f>IF('Reels'!D182="heal",'Reels'!D183*'Slots'!D24,0)+IF('Reels'!D200="heal",'Reels'!D201*'Slots'!D24,0)+IF('Reels'!D228="heal",'Reels'!D229*'Slots'!D24,0)</f>
        <v>0</v>
      </c>
      <c r="F858">
        <f>IF('Reels'!D182="block",'Reels'!D183*'Slots'!D25,0)+IF('Reels'!D200="block",'Reels'!D201*'Slots'!D25,0)+IF('Reels'!D228="block",'Reels'!D229*'Slots'!D25,0)</f>
        <v>1</v>
      </c>
      <c r="G858" t="b">
        <f>AND('Reels'!D182&lt;&gt;"blank",'Reels'!D182&lt;&gt;"class",'Reels'!D182='Reels'!D228,'Reels'!D183='Reels'!D229,OR('Reels'!D200="class",AND('Reels'!D200='Reels'!D182,'Reels'!D201='Reels'!D183)))</f>
        <v>0</v>
      </c>
      <c r="H858">
        <f>IF(G858,C858,0)</f>
        <v>0</v>
      </c>
    </row>
    <row r="859" spans="1:8" x14ac:dyDescent="0.25">
      <c r="A859" t="s">
        <v>269</v>
      </c>
      <c r="B859" t="s">
        <v>3942</v>
      </c>
      <c r="C859" s="4">
        <f>('Reels'!D184/('Reels'!D178+'Reels'!D181+'Reels'!D184+'Reels'!D187+'Reels'!D190+'Reels'!D193))*('Reels'!D202/('Reels'!D196+'Reels'!D199+'Reels'!D202+'Reels'!D205+'Reels'!D208+'Reels'!D211+'Reels'!D214))*('Reels'!D233/('Reels'!D218+'Reels'!D221+'Reels'!D224+'Reels'!D227+'Reels'!D230+'Reels'!D233))</f>
        <v>0.0013772418436677478</v>
      </c>
      <c r="D859">
        <f>IF(OR('Reels'!D182="attack",'Reels'!D182="magic"),CHOOSE('Reels'!D183+1,'Slots'!D29,'Slots'!D30,'Slots'!D31,'Slots'!D32,'Slots'!D33),0)+IF(OR('Reels'!D200="attack",'Reels'!D200="magic"),CHOOSE('Reels'!D201+1,'Slots'!D29,'Slots'!D30,'Slots'!D31,'Slots'!D32,'Slots'!D33),0)+IF(OR('Reels'!D231="attack",'Reels'!D231="magic"),CHOOSE('Reels'!D232+1,'Slots'!D29,'Slots'!D30,'Slots'!D31,'Slots'!D32,'Slots'!D33),0)</f>
        <v>0</v>
      </c>
      <c r="E859">
        <f>IF('Reels'!D182="heal",'Reels'!D183*'Slots'!D24,0)+IF('Reels'!D200="heal",'Reels'!D201*'Slots'!D24,0)+IF('Reels'!D231="heal",'Reels'!D232*'Slots'!D24,0)</f>
        <v>0</v>
      </c>
      <c r="F859">
        <f>IF('Reels'!D182="block",'Reels'!D183*'Slots'!D25,0)+IF('Reels'!D200="block",'Reels'!D201*'Slots'!D25,0)+IF('Reels'!D231="block",'Reels'!D232*'Slots'!D25,0)</f>
        <v>0</v>
      </c>
      <c r="G859" t="b">
        <f>AND('Reels'!D182&lt;&gt;"blank",'Reels'!D182&lt;&gt;"class",'Reels'!D182='Reels'!D231,'Reels'!D183='Reels'!D232,OR('Reels'!D200="class",AND('Reels'!D200='Reels'!D182,'Reels'!D201='Reels'!D183)))</f>
        <v>0</v>
      </c>
      <c r="H859">
        <f>IF(G859,C859,0)</f>
        <v>0</v>
      </c>
    </row>
    <row r="860" spans="1:8" x14ac:dyDescent="0.25">
      <c r="A860" t="s">
        <v>269</v>
      </c>
      <c r="B860" t="s">
        <v>4092</v>
      </c>
      <c r="C860" s="4">
        <f>('Reels'!D184/('Reels'!D178+'Reels'!D181+'Reels'!D184+'Reels'!D187+'Reels'!D190+'Reels'!D193))*('Reels'!D205/('Reels'!D196+'Reels'!D199+'Reels'!D202+'Reels'!D205+'Reels'!D208+'Reels'!D211+'Reels'!D214))*('Reels'!D218/('Reels'!D218+'Reels'!D221+'Reels'!D224+'Reels'!D227+'Reels'!D230+'Reels'!D233))</f>
        <v>0.003029932056069045</v>
      </c>
      <c r="D860">
        <f>IF(OR('Reels'!D182="attack",'Reels'!D182="magic"),CHOOSE('Reels'!D183+1,'Slots'!D29,'Slots'!D30,'Slots'!D31,'Slots'!D32,'Slots'!D33),0)+IF(OR('Reels'!D203="attack",'Reels'!D203="magic"),CHOOSE('Reels'!D204+1,'Slots'!D29,'Slots'!D30,'Slots'!D31,'Slots'!D32,'Slots'!D33),0)+IF(OR('Reels'!D216="attack",'Reels'!D216="magic"),CHOOSE('Reels'!D217+1,'Slots'!D29,'Slots'!D30,'Slots'!D31,'Slots'!D32,'Slots'!D33),0)</f>
        <v>2</v>
      </c>
      <c r="E860">
        <f>IF('Reels'!D182="heal",'Reels'!D183*'Slots'!D24,0)+IF('Reels'!D203="heal",'Reels'!D204*'Slots'!D24,0)+IF('Reels'!D216="heal",'Reels'!D217*'Slots'!D24,0)</f>
        <v>0</v>
      </c>
      <c r="F860">
        <f>IF('Reels'!D182="block",'Reels'!D183*'Slots'!D25,0)+IF('Reels'!D203="block",'Reels'!D204*'Slots'!D25,0)+IF('Reels'!D216="block",'Reels'!D217*'Slots'!D25,0)</f>
        <v>0</v>
      </c>
      <c r="G860" t="b">
        <f>AND('Reels'!D182&lt;&gt;"blank",'Reels'!D182&lt;&gt;"class",'Reels'!D182='Reels'!D216,'Reels'!D183='Reels'!D217,OR('Reels'!D203="class",AND('Reels'!D203='Reels'!D182,'Reels'!D204='Reels'!D183)))</f>
        <v>0</v>
      </c>
      <c r="H860">
        <f>IF(G860,C860,0)</f>
        <v>0</v>
      </c>
    </row>
    <row r="861" spans="1:8" x14ac:dyDescent="0.25">
      <c r="A861" t="s">
        <v>269</v>
      </c>
      <c r="B861" t="s">
        <v>4093</v>
      </c>
      <c r="C861" s="4">
        <f>('Reels'!D184/('Reels'!D178+'Reels'!D181+'Reels'!D184+'Reels'!D187+'Reels'!D190+'Reels'!D193))*('Reels'!D205/('Reels'!D196+'Reels'!D199+'Reels'!D202+'Reels'!D205+'Reels'!D208+'Reels'!D211+'Reels'!D214))*('Reels'!D221/('Reels'!D218+'Reels'!D221+'Reels'!D224+'Reels'!D227+'Reels'!D230+'Reels'!D233))</f>
        <v>0.0019281385811348469</v>
      </c>
      <c r="D861">
        <f>IF(OR('Reels'!D182="attack",'Reels'!D182="magic"),CHOOSE('Reels'!D183+1,'Slots'!D29,'Slots'!D30,'Slots'!D31,'Slots'!D32,'Slots'!D33),0)+IF(OR('Reels'!D203="attack",'Reels'!D203="magic"),CHOOSE('Reels'!D204+1,'Slots'!D29,'Slots'!D30,'Slots'!D31,'Slots'!D32,'Slots'!D33),0)+IF(OR('Reels'!D219="attack",'Reels'!D219="magic"),CHOOSE('Reels'!D220+1,'Slots'!D29,'Slots'!D30,'Slots'!D31,'Slots'!D32,'Slots'!D33),0)</f>
        <v>4</v>
      </c>
      <c r="E861">
        <f>IF('Reels'!D182="heal",'Reels'!D183*'Slots'!D24,0)+IF('Reels'!D203="heal",'Reels'!D204*'Slots'!D24,0)+IF('Reels'!D219="heal",'Reels'!D220*'Slots'!D24,0)</f>
        <v>0</v>
      </c>
      <c r="F861">
        <f>IF('Reels'!D182="block",'Reels'!D183*'Slots'!D25,0)+IF('Reels'!D203="block",'Reels'!D204*'Slots'!D25,0)+IF('Reels'!D219="block",'Reels'!D220*'Slots'!D25,0)</f>
        <v>0</v>
      </c>
      <c r="G861" t="b">
        <f>AND('Reels'!D182&lt;&gt;"blank",'Reels'!D182&lt;&gt;"class",'Reels'!D182='Reels'!D219,'Reels'!D183='Reels'!D220,OR('Reels'!D203="class",AND('Reels'!D203='Reels'!D182,'Reels'!D204='Reels'!D183)))</f>
        <v>0</v>
      </c>
      <c r="H861">
        <f>IF(G861,C861,0)</f>
        <v>0</v>
      </c>
    </row>
    <row r="862" spans="1:8" x14ac:dyDescent="0.25">
      <c r="A862" t="s">
        <v>269</v>
      </c>
      <c r="B862" t="s">
        <v>4094</v>
      </c>
      <c r="C862" s="4">
        <f>('Reels'!D184/('Reels'!D178+'Reels'!D181+'Reels'!D184+'Reels'!D187+'Reels'!D190+'Reels'!D193))*('Reels'!D205/('Reels'!D196+'Reels'!D199+'Reels'!D202+'Reels'!D205+'Reels'!D208+'Reels'!D211+'Reels'!D214))*('Reels'!D224/('Reels'!D218+'Reels'!D221+'Reels'!D224+'Reels'!D227+'Reels'!D230+'Reels'!D233))</f>
        <v>0.0008263451062006487</v>
      </c>
      <c r="D862">
        <f>IF(OR('Reels'!D182="attack",'Reels'!D182="magic"),CHOOSE('Reels'!D183+1,'Slots'!D29,'Slots'!D30,'Slots'!D31,'Slots'!D32,'Slots'!D33),0)+IF(OR('Reels'!D203="attack",'Reels'!D203="magic"),CHOOSE('Reels'!D204+1,'Slots'!D29,'Slots'!D30,'Slots'!D31,'Slots'!D32,'Slots'!D33),0)+IF(OR('Reels'!D222="attack",'Reels'!D222="magic"),CHOOSE('Reels'!D223+1,'Slots'!D29,'Slots'!D30,'Slots'!D31,'Slots'!D32,'Slots'!D33),0)</f>
        <v>0</v>
      </c>
      <c r="E862">
        <f>IF('Reels'!D182="heal",'Reels'!D183*'Slots'!D24,0)+IF('Reels'!D203="heal",'Reels'!D204*'Slots'!D24,0)+IF('Reels'!D222="heal",'Reels'!D223*'Slots'!D24,0)</f>
        <v>0</v>
      </c>
      <c r="F862">
        <f>IF('Reels'!D182="block",'Reels'!D183*'Slots'!D25,0)+IF('Reels'!D203="block",'Reels'!D204*'Slots'!D25,0)+IF('Reels'!D222="block",'Reels'!D223*'Slots'!D25,0)</f>
        <v>0</v>
      </c>
      <c r="G862" t="b">
        <f>AND('Reels'!D182&lt;&gt;"blank",'Reels'!D182&lt;&gt;"class",'Reels'!D182='Reels'!D222,'Reels'!D183='Reels'!D223,OR('Reels'!D203="class",AND('Reels'!D203='Reels'!D182,'Reels'!D204='Reels'!D183)))</f>
        <v>0</v>
      </c>
      <c r="H862">
        <f>IF(G862,C862,0)</f>
        <v>0</v>
      </c>
    </row>
    <row r="863" spans="1:8" x14ac:dyDescent="0.25">
      <c r="A863" t="s">
        <v>269</v>
      </c>
      <c r="B863" t="s">
        <v>4095</v>
      </c>
      <c r="C863" s="4">
        <f>('Reels'!D184/('Reels'!D178+'Reels'!D181+'Reels'!D184+'Reels'!D187+'Reels'!D190+'Reels'!D193))*('Reels'!D205/('Reels'!D196+'Reels'!D199+'Reels'!D202+'Reels'!D205+'Reels'!D208+'Reels'!D211+'Reels'!D214))*('Reels'!D227/('Reels'!D218+'Reels'!D221+'Reels'!D224+'Reels'!D227+'Reels'!D230+'Reels'!D233))</f>
        <v>0.0008263451062006487</v>
      </c>
      <c r="D863">
        <f>IF(OR('Reels'!D182="attack",'Reels'!D182="magic"),CHOOSE('Reels'!D183+1,'Slots'!D29,'Slots'!D30,'Slots'!D31,'Slots'!D32,'Slots'!D33),0)+IF(OR('Reels'!D203="attack",'Reels'!D203="magic"),CHOOSE('Reels'!D204+1,'Slots'!D29,'Slots'!D30,'Slots'!D31,'Slots'!D32,'Slots'!D33),0)+IF(OR('Reels'!D225="attack",'Reels'!D225="magic"),CHOOSE('Reels'!D226+1,'Slots'!D29,'Slots'!D30,'Slots'!D31,'Slots'!D32,'Slots'!D33),0)</f>
        <v>0</v>
      </c>
      <c r="E863">
        <f>IF('Reels'!D182="heal",'Reels'!D183*'Slots'!D24,0)+IF('Reels'!D203="heal",'Reels'!D204*'Slots'!D24,0)+IF('Reels'!D225="heal",'Reels'!D226*'Slots'!D24,0)</f>
        <v>0</v>
      </c>
      <c r="F863">
        <f>IF('Reels'!D182="block",'Reels'!D183*'Slots'!D25,0)+IF('Reels'!D203="block",'Reels'!D204*'Slots'!D25,0)+IF('Reels'!D225="block",'Reels'!D226*'Slots'!D25,0)</f>
        <v>0</v>
      </c>
      <c r="G863" t="b">
        <f>AND('Reels'!D182&lt;&gt;"blank",'Reels'!D182&lt;&gt;"class",'Reels'!D182='Reels'!D225,'Reels'!D183='Reels'!D226,OR('Reels'!D203="class",AND('Reels'!D203='Reels'!D182,'Reels'!D204='Reels'!D183)))</f>
        <v>0</v>
      </c>
      <c r="H863">
        <f>IF(G863,C863,0)</f>
        <v>0</v>
      </c>
    </row>
    <row r="864" spans="1:8" x14ac:dyDescent="0.25">
      <c r="A864" t="s">
        <v>269</v>
      </c>
      <c r="B864" t="s">
        <v>4096</v>
      </c>
      <c r="C864" s="4">
        <f>('Reels'!D184/('Reels'!D178+'Reels'!D181+'Reels'!D184+'Reels'!D187+'Reels'!D190+'Reels'!D193))*('Reels'!D205/('Reels'!D196+'Reels'!D199+'Reels'!D202+'Reels'!D205+'Reels'!D208+'Reels'!D211+'Reels'!D214))*('Reels'!D230/('Reels'!D218+'Reels'!D221+'Reels'!D224+'Reels'!D227+'Reels'!D230+'Reels'!D233))</f>
        <v>0.0005508967374670992</v>
      </c>
      <c r="D864">
        <f>IF(OR('Reels'!D182="attack",'Reels'!D182="magic"),CHOOSE('Reels'!D183+1,'Slots'!D29,'Slots'!D30,'Slots'!D31,'Slots'!D32,'Slots'!D33),0)+IF(OR('Reels'!D203="attack",'Reels'!D203="magic"),CHOOSE('Reels'!D204+1,'Slots'!D29,'Slots'!D30,'Slots'!D31,'Slots'!D32,'Slots'!D33),0)+IF(OR('Reels'!D228="attack",'Reels'!D228="magic"),CHOOSE('Reels'!D229+1,'Slots'!D29,'Slots'!D30,'Slots'!D31,'Slots'!D32,'Slots'!D33),0)</f>
        <v>0</v>
      </c>
      <c r="E864">
        <f>IF('Reels'!D182="heal",'Reels'!D183*'Slots'!D24,0)+IF('Reels'!D203="heal",'Reels'!D204*'Slots'!D24,0)+IF('Reels'!D228="heal",'Reels'!D229*'Slots'!D24,0)</f>
        <v>0</v>
      </c>
      <c r="F864">
        <f>IF('Reels'!D182="block",'Reels'!D183*'Slots'!D25,0)+IF('Reels'!D203="block",'Reels'!D204*'Slots'!D25,0)+IF('Reels'!D228="block",'Reels'!D229*'Slots'!D25,0)</f>
        <v>1</v>
      </c>
      <c r="G864" t="b">
        <f>AND('Reels'!D182&lt;&gt;"blank",'Reels'!D182&lt;&gt;"class",'Reels'!D182='Reels'!D228,'Reels'!D183='Reels'!D229,OR('Reels'!D203="class",AND('Reels'!D203='Reels'!D182,'Reels'!D204='Reels'!D183)))</f>
        <v>0</v>
      </c>
      <c r="H864">
        <f>IF(G864,C864,0)</f>
        <v>0</v>
      </c>
    </row>
    <row r="865" spans="1:8" x14ac:dyDescent="0.25">
      <c r="A865" t="s">
        <v>269</v>
      </c>
      <c r="B865" t="s">
        <v>4097</v>
      </c>
      <c r="C865" s="4">
        <f>('Reels'!D184/('Reels'!D178+'Reels'!D181+'Reels'!D184+'Reels'!D187+'Reels'!D190+'Reels'!D193))*('Reels'!D205/('Reels'!D196+'Reels'!D199+'Reels'!D202+'Reels'!D205+'Reels'!D208+'Reels'!D211+'Reels'!D214))*('Reels'!D233/('Reels'!D218+'Reels'!D221+'Reels'!D224+'Reels'!D227+'Reels'!D230+'Reels'!D233))</f>
        <v>0.0013772418436677478</v>
      </c>
      <c r="D865">
        <f>IF(OR('Reels'!D182="attack",'Reels'!D182="magic"),CHOOSE('Reels'!D183+1,'Slots'!D29,'Slots'!D30,'Slots'!D31,'Slots'!D32,'Slots'!D33),0)+IF(OR('Reels'!D203="attack",'Reels'!D203="magic"),CHOOSE('Reels'!D204+1,'Slots'!D29,'Slots'!D30,'Slots'!D31,'Slots'!D32,'Slots'!D33),0)+IF(OR('Reels'!D231="attack",'Reels'!D231="magic"),CHOOSE('Reels'!D232+1,'Slots'!D29,'Slots'!D30,'Slots'!D31,'Slots'!D32,'Slots'!D33),0)</f>
        <v>0</v>
      </c>
      <c r="E865">
        <f>IF('Reels'!D182="heal",'Reels'!D183*'Slots'!D24,0)+IF('Reels'!D203="heal",'Reels'!D204*'Slots'!D24,0)+IF('Reels'!D231="heal",'Reels'!D232*'Slots'!D24,0)</f>
        <v>0</v>
      </c>
      <c r="F865">
        <f>IF('Reels'!D182="block",'Reels'!D183*'Slots'!D25,0)+IF('Reels'!D203="block",'Reels'!D204*'Slots'!D25,0)+IF('Reels'!D231="block",'Reels'!D232*'Slots'!D25,0)</f>
        <v>0</v>
      </c>
      <c r="G865" t="b">
        <f>AND('Reels'!D182&lt;&gt;"blank",'Reels'!D182&lt;&gt;"class",'Reels'!D182='Reels'!D231,'Reels'!D183='Reels'!D232,OR('Reels'!D203="class",AND('Reels'!D203='Reels'!D182,'Reels'!D204='Reels'!D183)))</f>
        <v>0</v>
      </c>
      <c r="H865">
        <f>IF(G865,C865,0)</f>
        <v>0</v>
      </c>
    </row>
    <row r="866" spans="1:8" x14ac:dyDescent="0.25">
      <c r="A866" t="s">
        <v>269</v>
      </c>
      <c r="B866" t="s">
        <v>4098</v>
      </c>
      <c r="C866" s="4">
        <f>('Reels'!D184/('Reels'!D178+'Reels'!D181+'Reels'!D184+'Reels'!D187+'Reels'!D190+'Reels'!D193))*('Reels'!D208/('Reels'!D196+'Reels'!D199+'Reels'!D202+'Reels'!D205+'Reels'!D208+'Reels'!D211+'Reels'!D214))*('Reels'!D218/('Reels'!D218+'Reels'!D221+'Reels'!D224+'Reels'!D227+'Reels'!D230+'Reels'!D233))</f>
        <v>0.0020199547040460307</v>
      </c>
      <c r="D866">
        <f>IF(OR('Reels'!D182="attack",'Reels'!D182="magic"),CHOOSE('Reels'!D183+1,'Slots'!D29,'Slots'!D30,'Slots'!D31,'Slots'!D32,'Slots'!D33),0)+IF(OR('Reels'!D206="attack",'Reels'!D206="magic"),CHOOSE('Reels'!D207+1,'Slots'!D29,'Slots'!D30,'Slots'!D31,'Slots'!D32,'Slots'!D33),0)+IF(OR('Reels'!D216="attack",'Reels'!D216="magic"),CHOOSE('Reels'!D217+1,'Slots'!D29,'Slots'!D30,'Slots'!D31,'Slots'!D32,'Slots'!D33),0)</f>
        <v>2</v>
      </c>
      <c r="E866">
        <f>IF('Reels'!D182="heal",'Reels'!D183*'Slots'!D24,0)+IF('Reels'!D206="heal",'Reels'!D207*'Slots'!D24,0)+IF('Reels'!D216="heal",'Reels'!D217*'Slots'!D24,0)</f>
        <v>0</v>
      </c>
      <c r="F866">
        <f>IF('Reels'!D182="block",'Reels'!D183*'Slots'!D25,0)+IF('Reels'!D206="block",'Reels'!D207*'Slots'!D25,0)+IF('Reels'!D216="block",'Reels'!D217*'Slots'!D25,0)</f>
        <v>1</v>
      </c>
      <c r="G866" t="b">
        <f>AND('Reels'!D182&lt;&gt;"blank",'Reels'!D182&lt;&gt;"class",'Reels'!D182='Reels'!D216,'Reels'!D183='Reels'!D217,OR('Reels'!D206="class",AND('Reels'!D206='Reels'!D182,'Reels'!D207='Reels'!D183)))</f>
        <v>0</v>
      </c>
      <c r="H866">
        <f>IF(G866,C866,0)</f>
        <v>0</v>
      </c>
    </row>
    <row r="867" spans="1:8" x14ac:dyDescent="0.25">
      <c r="A867" t="s">
        <v>269</v>
      </c>
      <c r="B867" t="s">
        <v>4099</v>
      </c>
      <c r="C867" s="4">
        <f>('Reels'!D184/('Reels'!D178+'Reels'!D181+'Reels'!D184+'Reels'!D187+'Reels'!D190+'Reels'!D193))*('Reels'!D208/('Reels'!D196+'Reels'!D199+'Reels'!D202+'Reels'!D205+'Reels'!D208+'Reels'!D211+'Reels'!D214))*('Reels'!D221/('Reels'!D218+'Reels'!D221+'Reels'!D224+'Reels'!D227+'Reels'!D230+'Reels'!D233))</f>
        <v>0.0012854257207565649</v>
      </c>
      <c r="D867">
        <f>IF(OR('Reels'!D182="attack",'Reels'!D182="magic"),CHOOSE('Reels'!D183+1,'Slots'!D29,'Slots'!D30,'Slots'!D31,'Slots'!D32,'Slots'!D33),0)+IF(OR('Reels'!D206="attack",'Reels'!D206="magic"),CHOOSE('Reels'!D207+1,'Slots'!D29,'Slots'!D30,'Slots'!D31,'Slots'!D32,'Slots'!D33),0)+IF(OR('Reels'!D219="attack",'Reels'!D219="magic"),CHOOSE('Reels'!D220+1,'Slots'!D29,'Slots'!D30,'Slots'!D31,'Slots'!D32,'Slots'!D33),0)</f>
        <v>4</v>
      </c>
      <c r="E867">
        <f>IF('Reels'!D182="heal",'Reels'!D183*'Slots'!D24,0)+IF('Reels'!D206="heal",'Reels'!D207*'Slots'!D24,0)+IF('Reels'!D219="heal",'Reels'!D220*'Slots'!D24,0)</f>
        <v>0</v>
      </c>
      <c r="F867">
        <f>IF('Reels'!D182="block",'Reels'!D183*'Slots'!D25,0)+IF('Reels'!D206="block",'Reels'!D207*'Slots'!D25,0)+IF('Reels'!D219="block",'Reels'!D220*'Slots'!D25,0)</f>
        <v>1</v>
      </c>
      <c r="G867" t="b">
        <f>AND('Reels'!D182&lt;&gt;"blank",'Reels'!D182&lt;&gt;"class",'Reels'!D182='Reels'!D219,'Reels'!D183='Reels'!D220,OR('Reels'!D206="class",AND('Reels'!D206='Reels'!D182,'Reels'!D207='Reels'!D183)))</f>
        <v>0</v>
      </c>
      <c r="H867">
        <f>IF(G867,C867,0)</f>
        <v>0</v>
      </c>
    </row>
    <row r="868" spans="1:8" x14ac:dyDescent="0.25">
      <c r="A868" t="s">
        <v>269</v>
      </c>
      <c r="B868" t="s">
        <v>3946</v>
      </c>
      <c r="C868" s="4">
        <f>('Reels'!D184/('Reels'!D178+'Reels'!D181+'Reels'!D184+'Reels'!D187+'Reels'!D190+'Reels'!D193))*('Reels'!D208/('Reels'!D196+'Reels'!D199+'Reels'!D202+'Reels'!D205+'Reels'!D208+'Reels'!D211+'Reels'!D214))*('Reels'!D224/('Reels'!D218+'Reels'!D221+'Reels'!D224+'Reels'!D227+'Reels'!D230+'Reels'!D233))</f>
        <v>0.0005508967374670993</v>
      </c>
      <c r="D868">
        <f>IF(OR('Reels'!D182="attack",'Reels'!D182="magic"),CHOOSE('Reels'!D183+1,'Slots'!D29,'Slots'!D30,'Slots'!D31,'Slots'!D32,'Slots'!D33),0)+IF(OR('Reels'!D206="attack",'Reels'!D206="magic"),CHOOSE('Reels'!D207+1,'Slots'!D29,'Slots'!D30,'Slots'!D31,'Slots'!D32,'Slots'!D33),0)+IF(OR('Reels'!D222="attack",'Reels'!D222="magic"),CHOOSE('Reels'!D223+1,'Slots'!D29,'Slots'!D30,'Slots'!D31,'Slots'!D32,'Slots'!D33),0)</f>
        <v>0</v>
      </c>
      <c r="E868">
        <f>IF('Reels'!D182="heal",'Reels'!D183*'Slots'!D24,0)+IF('Reels'!D206="heal",'Reels'!D207*'Slots'!D24,0)+IF('Reels'!D222="heal",'Reels'!D223*'Slots'!D24,0)</f>
        <v>0</v>
      </c>
      <c r="F868">
        <f>IF('Reels'!D182="block",'Reels'!D183*'Slots'!D25,0)+IF('Reels'!D206="block",'Reels'!D207*'Slots'!D25,0)+IF('Reels'!D222="block",'Reels'!D223*'Slots'!D25,0)</f>
        <v>1</v>
      </c>
      <c r="G868" t="b">
        <f>AND('Reels'!D182&lt;&gt;"blank",'Reels'!D182&lt;&gt;"class",'Reels'!D182='Reels'!D222,'Reels'!D183='Reels'!D223,OR('Reels'!D206="class",AND('Reels'!D206='Reels'!D182,'Reels'!D207='Reels'!D183)))</f>
        <v>0</v>
      </c>
      <c r="H868">
        <f>IF(G868,C868,0)</f>
        <v>0</v>
      </c>
    </row>
    <row r="869" spans="1:8" x14ac:dyDescent="0.25">
      <c r="A869" t="s">
        <v>269</v>
      </c>
      <c r="B869" t="s">
        <v>4100</v>
      </c>
      <c r="C869" s="4">
        <f>('Reels'!D184/('Reels'!D178+'Reels'!D181+'Reels'!D184+'Reels'!D187+'Reels'!D190+'Reels'!D193))*('Reels'!D208/('Reels'!D196+'Reels'!D199+'Reels'!D202+'Reels'!D205+'Reels'!D208+'Reels'!D211+'Reels'!D214))*('Reels'!D227/('Reels'!D218+'Reels'!D221+'Reels'!D224+'Reels'!D227+'Reels'!D230+'Reels'!D233))</f>
        <v>0.0005508967374670993</v>
      </c>
      <c r="D869">
        <f>IF(OR('Reels'!D182="attack",'Reels'!D182="magic"),CHOOSE('Reels'!D183+1,'Slots'!D29,'Slots'!D30,'Slots'!D31,'Slots'!D32,'Slots'!D33),0)+IF(OR('Reels'!D206="attack",'Reels'!D206="magic"),CHOOSE('Reels'!D207+1,'Slots'!D29,'Slots'!D30,'Slots'!D31,'Slots'!D32,'Slots'!D33),0)+IF(OR('Reels'!D225="attack",'Reels'!D225="magic"),CHOOSE('Reels'!D226+1,'Slots'!D29,'Slots'!D30,'Slots'!D31,'Slots'!D32,'Slots'!D33),0)</f>
        <v>0</v>
      </c>
      <c r="E869">
        <f>IF('Reels'!D182="heal",'Reels'!D183*'Slots'!D24,0)+IF('Reels'!D206="heal",'Reels'!D207*'Slots'!D24,0)+IF('Reels'!D225="heal",'Reels'!D226*'Slots'!D24,0)</f>
        <v>0</v>
      </c>
      <c r="F869">
        <f>IF('Reels'!D182="block",'Reels'!D183*'Slots'!D25,0)+IF('Reels'!D206="block",'Reels'!D207*'Slots'!D25,0)+IF('Reels'!D225="block",'Reels'!D226*'Slots'!D25,0)</f>
        <v>1</v>
      </c>
      <c r="G869" t="b">
        <f>AND('Reels'!D182&lt;&gt;"blank",'Reels'!D182&lt;&gt;"class",'Reels'!D182='Reels'!D225,'Reels'!D183='Reels'!D226,OR('Reels'!D206="class",AND('Reels'!D206='Reels'!D182,'Reels'!D207='Reels'!D183)))</f>
        <v>0</v>
      </c>
      <c r="H869">
        <f>IF(G869,C869,0)</f>
        <v>0</v>
      </c>
    </row>
    <row r="870" spans="1:8" x14ac:dyDescent="0.25">
      <c r="A870" t="s">
        <v>269</v>
      </c>
      <c r="B870" t="s">
        <v>3947</v>
      </c>
      <c r="C870" s="4">
        <f>('Reels'!D184/('Reels'!D178+'Reels'!D181+'Reels'!D184+'Reels'!D187+'Reels'!D190+'Reels'!D193))*('Reels'!D208/('Reels'!D196+'Reels'!D199+'Reels'!D202+'Reels'!D205+'Reels'!D208+'Reels'!D211+'Reels'!D214))*('Reels'!D230/('Reels'!D218+'Reels'!D221+'Reels'!D224+'Reels'!D227+'Reels'!D230+'Reels'!D233))</f>
        <v>0.0003672644916447328</v>
      </c>
      <c r="D870">
        <f>IF(OR('Reels'!D182="attack",'Reels'!D182="magic"),CHOOSE('Reels'!D183+1,'Slots'!D29,'Slots'!D30,'Slots'!D31,'Slots'!D32,'Slots'!D33),0)+IF(OR('Reels'!D206="attack",'Reels'!D206="magic"),CHOOSE('Reels'!D207+1,'Slots'!D29,'Slots'!D30,'Slots'!D31,'Slots'!D32,'Slots'!D33),0)+IF(OR('Reels'!D228="attack",'Reels'!D228="magic"),CHOOSE('Reels'!D229+1,'Slots'!D29,'Slots'!D30,'Slots'!D31,'Slots'!D32,'Slots'!D33),0)</f>
        <v>0</v>
      </c>
      <c r="E870">
        <f>IF('Reels'!D182="heal",'Reels'!D183*'Slots'!D24,0)+IF('Reels'!D206="heal",'Reels'!D207*'Slots'!D24,0)+IF('Reels'!D228="heal",'Reels'!D229*'Slots'!D24,0)</f>
        <v>0</v>
      </c>
      <c r="F870">
        <f>IF('Reels'!D182="block",'Reels'!D183*'Slots'!D25,0)+IF('Reels'!D206="block",'Reels'!D207*'Slots'!D25,0)+IF('Reels'!D228="block",'Reels'!D229*'Slots'!D25,0)</f>
        <v>2</v>
      </c>
      <c r="G870" t="b">
        <f>AND('Reels'!D182&lt;&gt;"blank",'Reels'!D182&lt;&gt;"class",'Reels'!D182='Reels'!D228,'Reels'!D183='Reels'!D229,OR('Reels'!D206="class",AND('Reels'!D206='Reels'!D182,'Reels'!D207='Reels'!D183)))</f>
        <v>0</v>
      </c>
      <c r="H870">
        <f>IF(G870,C870,0)</f>
        <v>0</v>
      </c>
    </row>
    <row r="871" spans="1:8" x14ac:dyDescent="0.25">
      <c r="A871" t="s">
        <v>269</v>
      </c>
      <c r="B871" t="s">
        <v>3948</v>
      </c>
      <c r="C871" s="4">
        <f>('Reels'!D184/('Reels'!D178+'Reels'!D181+'Reels'!D184+'Reels'!D187+'Reels'!D190+'Reels'!D193))*('Reels'!D208/('Reels'!D196+'Reels'!D199+'Reels'!D202+'Reels'!D205+'Reels'!D208+'Reels'!D211+'Reels'!D214))*('Reels'!D233/('Reels'!D218+'Reels'!D221+'Reels'!D224+'Reels'!D227+'Reels'!D230+'Reels'!D233))</f>
        <v>0.000918161229111832</v>
      </c>
      <c r="D871">
        <f>IF(OR('Reels'!D182="attack",'Reels'!D182="magic"),CHOOSE('Reels'!D183+1,'Slots'!D29,'Slots'!D30,'Slots'!D31,'Slots'!D32,'Slots'!D33),0)+IF(OR('Reels'!D206="attack",'Reels'!D206="magic"),CHOOSE('Reels'!D207+1,'Slots'!D29,'Slots'!D30,'Slots'!D31,'Slots'!D32,'Slots'!D33),0)+IF(OR('Reels'!D231="attack",'Reels'!D231="magic"),CHOOSE('Reels'!D232+1,'Slots'!D29,'Slots'!D30,'Slots'!D31,'Slots'!D32,'Slots'!D33),0)</f>
        <v>0</v>
      </c>
      <c r="E871">
        <f>IF('Reels'!D182="heal",'Reels'!D183*'Slots'!D24,0)+IF('Reels'!D206="heal",'Reels'!D207*'Slots'!D24,0)+IF('Reels'!D231="heal",'Reels'!D232*'Slots'!D24,0)</f>
        <v>0</v>
      </c>
      <c r="F871">
        <f>IF('Reels'!D182="block",'Reels'!D183*'Slots'!D25,0)+IF('Reels'!D206="block",'Reels'!D207*'Slots'!D25,0)+IF('Reels'!D231="block",'Reels'!D232*'Slots'!D25,0)</f>
        <v>1</v>
      </c>
      <c r="G871" t="b">
        <f>AND('Reels'!D182&lt;&gt;"blank",'Reels'!D182&lt;&gt;"class",'Reels'!D182='Reels'!D231,'Reels'!D183='Reels'!D232,OR('Reels'!D206="class",AND('Reels'!D206='Reels'!D182,'Reels'!D207='Reels'!D183)))</f>
        <v>0</v>
      </c>
      <c r="H871">
        <f>IF(G871,C871,0)</f>
        <v>0</v>
      </c>
    </row>
    <row r="872" spans="1:8" x14ac:dyDescent="0.25">
      <c r="A872" t="s">
        <v>269</v>
      </c>
      <c r="B872" t="s">
        <v>4101</v>
      </c>
      <c r="C872" s="4">
        <f>('Reels'!D184/('Reels'!D178+'Reels'!D181+'Reels'!D184+'Reels'!D187+'Reels'!D190+'Reels'!D193))*('Reels'!D211/('Reels'!D196+'Reels'!D199+'Reels'!D202+'Reels'!D205+'Reels'!D208+'Reels'!D211+'Reels'!D214))*('Reels'!D218/('Reels'!D218+'Reels'!D221+'Reels'!D224+'Reels'!D227+'Reels'!D230+'Reels'!D233))</f>
        <v>0.005049886760115077</v>
      </c>
      <c r="D872">
        <f>IF(OR('Reels'!D182="attack",'Reels'!D182="magic"),CHOOSE('Reels'!D183+1,'Slots'!D29,'Slots'!D30,'Slots'!D31,'Slots'!D32,'Slots'!D33),0)+IF(OR('Reels'!D209="attack",'Reels'!D209="magic"),CHOOSE('Reels'!D210+1,'Slots'!D29,'Slots'!D30,'Slots'!D31,'Slots'!D32,'Slots'!D33),0)+IF(OR('Reels'!D216="attack",'Reels'!D216="magic"),CHOOSE('Reels'!D217+1,'Slots'!D29,'Slots'!D30,'Slots'!D31,'Slots'!D32,'Slots'!D33),0)</f>
        <v>2</v>
      </c>
      <c r="E872">
        <f>IF('Reels'!D182="heal",'Reels'!D183*'Slots'!D24,0)+IF('Reels'!D209="heal",'Reels'!D210*'Slots'!D24,0)+IF('Reels'!D216="heal",'Reels'!D217*'Slots'!D24,0)</f>
        <v>0</v>
      </c>
      <c r="F872">
        <f>IF('Reels'!D182="block",'Reels'!D183*'Slots'!D25,0)+IF('Reels'!D209="block",'Reels'!D210*'Slots'!D25,0)+IF('Reels'!D216="block",'Reels'!D217*'Slots'!D25,0)</f>
        <v>0</v>
      </c>
      <c r="G872" t="b">
        <f>AND('Reels'!D182&lt;&gt;"blank",'Reels'!D182&lt;&gt;"class",'Reels'!D182='Reels'!D216,'Reels'!D183='Reels'!D217,OR('Reels'!D209="class",AND('Reels'!D209='Reels'!D182,'Reels'!D210='Reels'!D183)))</f>
        <v>0</v>
      </c>
      <c r="H872">
        <f>IF(G872,C872,0)</f>
        <v>0</v>
      </c>
    </row>
    <row r="873" spans="1:8" x14ac:dyDescent="0.25">
      <c r="A873" t="s">
        <v>269</v>
      </c>
      <c r="B873" t="s">
        <v>4102</v>
      </c>
      <c r="C873" s="4">
        <f>('Reels'!D184/('Reels'!D178+'Reels'!D181+'Reels'!D184+'Reels'!D187+'Reels'!D190+'Reels'!D193))*('Reels'!D211/('Reels'!D196+'Reels'!D199+'Reels'!D202+'Reels'!D205+'Reels'!D208+'Reels'!D211+'Reels'!D214))*('Reels'!D221/('Reels'!D218+'Reels'!D221+'Reels'!D224+'Reels'!D227+'Reels'!D230+'Reels'!D233))</f>
        <v>0.0032135643018914124</v>
      </c>
      <c r="D873">
        <f>IF(OR('Reels'!D182="attack",'Reels'!D182="magic"),CHOOSE('Reels'!D183+1,'Slots'!D29,'Slots'!D30,'Slots'!D31,'Slots'!D32,'Slots'!D33),0)+IF(OR('Reels'!D209="attack",'Reels'!D209="magic"),CHOOSE('Reels'!D210+1,'Slots'!D29,'Slots'!D30,'Slots'!D31,'Slots'!D32,'Slots'!D33),0)+IF(OR('Reels'!D219="attack",'Reels'!D219="magic"),CHOOSE('Reels'!D220+1,'Slots'!D29,'Slots'!D30,'Slots'!D31,'Slots'!D32,'Slots'!D33),0)</f>
        <v>4</v>
      </c>
      <c r="E873">
        <f>IF('Reels'!D182="heal",'Reels'!D183*'Slots'!D24,0)+IF('Reels'!D209="heal",'Reels'!D210*'Slots'!D24,0)+IF('Reels'!D219="heal",'Reels'!D220*'Slots'!D24,0)</f>
        <v>0</v>
      </c>
      <c r="F873">
        <f>IF('Reels'!D182="block",'Reels'!D183*'Slots'!D25,0)+IF('Reels'!D209="block",'Reels'!D210*'Slots'!D25,0)+IF('Reels'!D219="block",'Reels'!D220*'Slots'!D25,0)</f>
        <v>0</v>
      </c>
      <c r="G873" t="b">
        <f>AND('Reels'!D182&lt;&gt;"blank",'Reels'!D182&lt;&gt;"class",'Reels'!D182='Reels'!D219,'Reels'!D183='Reels'!D220,OR('Reels'!D209="class",AND('Reels'!D209='Reels'!D182,'Reels'!D210='Reels'!D183)))</f>
        <v>0</v>
      </c>
      <c r="H873">
        <f>IF(G873,C873,0)</f>
        <v>0</v>
      </c>
    </row>
    <row r="874" spans="1:8" x14ac:dyDescent="0.25">
      <c r="A874" t="s">
        <v>269</v>
      </c>
      <c r="B874" t="s">
        <v>3952</v>
      </c>
      <c r="C874" s="4">
        <f>('Reels'!D184/('Reels'!D178+'Reels'!D181+'Reels'!D184+'Reels'!D187+'Reels'!D190+'Reels'!D193))*('Reels'!D211/('Reels'!D196+'Reels'!D199+'Reels'!D202+'Reels'!D205+'Reels'!D208+'Reels'!D211+'Reels'!D214))*('Reels'!D224/('Reels'!D218+'Reels'!D221+'Reels'!D224+'Reels'!D227+'Reels'!D230+'Reels'!D233))</f>
        <v>0.001377241843667748</v>
      </c>
      <c r="D874">
        <f>IF(OR('Reels'!D182="attack",'Reels'!D182="magic"),CHOOSE('Reels'!D183+1,'Slots'!D29,'Slots'!D30,'Slots'!D31,'Slots'!D32,'Slots'!D33),0)+IF(OR('Reels'!D209="attack",'Reels'!D209="magic"),CHOOSE('Reels'!D210+1,'Slots'!D29,'Slots'!D30,'Slots'!D31,'Slots'!D32,'Slots'!D33),0)+IF(OR('Reels'!D222="attack",'Reels'!D222="magic"),CHOOSE('Reels'!D223+1,'Slots'!D29,'Slots'!D30,'Slots'!D31,'Slots'!D32,'Slots'!D33),0)</f>
        <v>0</v>
      </c>
      <c r="E874">
        <f>IF('Reels'!D182="heal",'Reels'!D183*'Slots'!D24,0)+IF('Reels'!D209="heal",'Reels'!D210*'Slots'!D24,0)+IF('Reels'!D222="heal",'Reels'!D223*'Slots'!D24,0)</f>
        <v>0</v>
      </c>
      <c r="F874">
        <f>IF('Reels'!D182="block",'Reels'!D183*'Slots'!D25,0)+IF('Reels'!D209="block",'Reels'!D210*'Slots'!D25,0)+IF('Reels'!D222="block",'Reels'!D223*'Slots'!D25,0)</f>
        <v>0</v>
      </c>
      <c r="G874" t="b">
        <f>AND('Reels'!D182&lt;&gt;"blank",'Reels'!D182&lt;&gt;"class",'Reels'!D182='Reels'!D222,'Reels'!D183='Reels'!D223,OR('Reels'!D209="class",AND('Reels'!D209='Reels'!D182,'Reels'!D210='Reels'!D183)))</f>
        <v>0</v>
      </c>
      <c r="H874">
        <f>IF(G874,C874,0)</f>
        <v>0</v>
      </c>
    </row>
    <row r="875" spans="1:8" x14ac:dyDescent="0.25">
      <c r="A875" t="s">
        <v>269</v>
      </c>
      <c r="B875" t="s">
        <v>4103</v>
      </c>
      <c r="C875" s="4">
        <f>('Reels'!D184/('Reels'!D178+'Reels'!D181+'Reels'!D184+'Reels'!D187+'Reels'!D190+'Reels'!D193))*('Reels'!D211/('Reels'!D196+'Reels'!D199+'Reels'!D202+'Reels'!D205+'Reels'!D208+'Reels'!D211+'Reels'!D214))*('Reels'!D227/('Reels'!D218+'Reels'!D221+'Reels'!D224+'Reels'!D227+'Reels'!D230+'Reels'!D233))</f>
        <v>0.001377241843667748</v>
      </c>
      <c r="D875">
        <f>IF(OR('Reels'!D182="attack",'Reels'!D182="magic"),CHOOSE('Reels'!D183+1,'Slots'!D29,'Slots'!D30,'Slots'!D31,'Slots'!D32,'Slots'!D33),0)+IF(OR('Reels'!D209="attack",'Reels'!D209="magic"),CHOOSE('Reels'!D210+1,'Slots'!D29,'Slots'!D30,'Slots'!D31,'Slots'!D32,'Slots'!D33),0)+IF(OR('Reels'!D225="attack",'Reels'!D225="magic"),CHOOSE('Reels'!D226+1,'Slots'!D29,'Slots'!D30,'Slots'!D31,'Slots'!D32,'Slots'!D33),0)</f>
        <v>0</v>
      </c>
      <c r="E875">
        <f>IF('Reels'!D182="heal",'Reels'!D183*'Slots'!D24,0)+IF('Reels'!D209="heal",'Reels'!D210*'Slots'!D24,0)+IF('Reels'!D225="heal",'Reels'!D226*'Slots'!D24,0)</f>
        <v>0</v>
      </c>
      <c r="F875">
        <f>IF('Reels'!D182="block",'Reels'!D183*'Slots'!D25,0)+IF('Reels'!D209="block",'Reels'!D210*'Slots'!D25,0)+IF('Reels'!D225="block",'Reels'!D226*'Slots'!D25,0)</f>
        <v>0</v>
      </c>
      <c r="G875" t="b">
        <f>AND('Reels'!D182&lt;&gt;"blank",'Reels'!D182&lt;&gt;"class",'Reels'!D182='Reels'!D225,'Reels'!D183='Reels'!D226,OR('Reels'!D209="class",AND('Reels'!D209='Reels'!D182,'Reels'!D210='Reels'!D183)))</f>
        <v>0</v>
      </c>
      <c r="H875">
        <f>IF(G875,C875,0)</f>
        <v>0</v>
      </c>
    </row>
    <row r="876" spans="1:8" x14ac:dyDescent="0.25">
      <c r="A876" t="s">
        <v>269</v>
      </c>
      <c r="B876" t="s">
        <v>3953</v>
      </c>
      <c r="C876" s="4">
        <f>('Reels'!D184/('Reels'!D178+'Reels'!D181+'Reels'!D184+'Reels'!D187+'Reels'!D190+'Reels'!D193))*('Reels'!D211/('Reels'!D196+'Reels'!D199+'Reels'!D202+'Reels'!D205+'Reels'!D208+'Reels'!D211+'Reels'!D214))*('Reels'!D230/('Reels'!D218+'Reels'!D221+'Reels'!D224+'Reels'!D227+'Reels'!D230+'Reels'!D233))</f>
        <v>0.0009181612291118321</v>
      </c>
      <c r="D876">
        <f>IF(OR('Reels'!D182="attack",'Reels'!D182="magic"),CHOOSE('Reels'!D183+1,'Slots'!D29,'Slots'!D30,'Slots'!D31,'Slots'!D32,'Slots'!D33),0)+IF(OR('Reels'!D209="attack",'Reels'!D209="magic"),CHOOSE('Reels'!D210+1,'Slots'!D29,'Slots'!D30,'Slots'!D31,'Slots'!D32,'Slots'!D33),0)+IF(OR('Reels'!D228="attack",'Reels'!D228="magic"),CHOOSE('Reels'!D229+1,'Slots'!D29,'Slots'!D30,'Slots'!D31,'Slots'!D32,'Slots'!D33),0)</f>
        <v>0</v>
      </c>
      <c r="E876">
        <f>IF('Reels'!D182="heal",'Reels'!D183*'Slots'!D24,0)+IF('Reels'!D209="heal",'Reels'!D210*'Slots'!D24,0)+IF('Reels'!D228="heal",'Reels'!D229*'Slots'!D24,0)</f>
        <v>0</v>
      </c>
      <c r="F876">
        <f>IF('Reels'!D182="block",'Reels'!D183*'Slots'!D25,0)+IF('Reels'!D209="block",'Reels'!D210*'Slots'!D25,0)+IF('Reels'!D228="block",'Reels'!D229*'Slots'!D25,0)</f>
        <v>1</v>
      </c>
      <c r="G876" t="b">
        <f>AND('Reels'!D182&lt;&gt;"blank",'Reels'!D182&lt;&gt;"class",'Reels'!D182='Reels'!D228,'Reels'!D183='Reels'!D229,OR('Reels'!D209="class",AND('Reels'!D209='Reels'!D182,'Reels'!D210='Reels'!D183)))</f>
        <v>0</v>
      </c>
      <c r="H876">
        <f>IF(G876,C876,0)</f>
        <v>0</v>
      </c>
    </row>
    <row r="877" spans="1:8" x14ac:dyDescent="0.25">
      <c r="A877" t="s">
        <v>269</v>
      </c>
      <c r="B877" t="s">
        <v>3954</v>
      </c>
      <c r="C877" s="4">
        <f>('Reels'!D184/('Reels'!D178+'Reels'!D181+'Reels'!D184+'Reels'!D187+'Reels'!D190+'Reels'!D193))*('Reels'!D211/('Reels'!D196+'Reels'!D199+'Reels'!D202+'Reels'!D205+'Reels'!D208+'Reels'!D211+'Reels'!D214))*('Reels'!D233/('Reels'!D218+'Reels'!D221+'Reels'!D224+'Reels'!D227+'Reels'!D230+'Reels'!D233))</f>
        <v>0.0022954030727795802</v>
      </c>
      <c r="D877">
        <f>IF(OR('Reels'!D182="attack",'Reels'!D182="magic"),CHOOSE('Reels'!D183+1,'Slots'!D29,'Slots'!D30,'Slots'!D31,'Slots'!D32,'Slots'!D33),0)+IF(OR('Reels'!D209="attack",'Reels'!D209="magic"),CHOOSE('Reels'!D210+1,'Slots'!D29,'Slots'!D30,'Slots'!D31,'Slots'!D32,'Slots'!D33),0)+IF(OR('Reels'!D231="attack",'Reels'!D231="magic"),CHOOSE('Reels'!D232+1,'Slots'!D29,'Slots'!D30,'Slots'!D31,'Slots'!D32,'Slots'!D33),0)</f>
        <v>0</v>
      </c>
      <c r="E877">
        <f>IF('Reels'!D182="heal",'Reels'!D183*'Slots'!D24,0)+IF('Reels'!D209="heal",'Reels'!D210*'Slots'!D24,0)+IF('Reels'!D231="heal",'Reels'!D232*'Slots'!D24,0)</f>
        <v>0</v>
      </c>
      <c r="F877">
        <f>IF('Reels'!D182="block",'Reels'!D183*'Slots'!D25,0)+IF('Reels'!D209="block",'Reels'!D210*'Slots'!D25,0)+IF('Reels'!D231="block",'Reels'!D232*'Slots'!D25,0)</f>
        <v>0</v>
      </c>
      <c r="G877" t="b">
        <f>AND('Reels'!D182&lt;&gt;"blank",'Reels'!D182&lt;&gt;"class",'Reels'!D182='Reels'!D231,'Reels'!D183='Reels'!D232,OR('Reels'!D209="class",AND('Reels'!D209='Reels'!D182,'Reels'!D210='Reels'!D183)))</f>
        <v>0</v>
      </c>
      <c r="H877">
        <f>IF(G877,C877,0)</f>
        <v>0</v>
      </c>
    </row>
    <row r="878" spans="1:8" x14ac:dyDescent="0.25">
      <c r="A878" t="s">
        <v>269</v>
      </c>
      <c r="B878" t="s">
        <v>4104</v>
      </c>
      <c r="C878" s="4">
        <f>('Reels'!D184/('Reels'!D178+'Reels'!D181+'Reels'!D184+'Reels'!D187+'Reels'!D190+'Reels'!D193))*('Reels'!D214/('Reels'!D196+'Reels'!D199+'Reels'!D202+'Reels'!D205+'Reels'!D208+'Reels'!D211+'Reels'!D214))*('Reels'!D218/('Reels'!D218+'Reels'!D221+'Reels'!D224+'Reels'!D227+'Reels'!D230+'Reels'!D233))</f>
        <v>0.003029932056069045</v>
      </c>
      <c r="D878">
        <f>IF(OR('Reels'!D182="attack",'Reels'!D182="magic"),CHOOSE('Reels'!D183+1,'Slots'!D29,'Slots'!D30,'Slots'!D31,'Slots'!D32,'Slots'!D33),0)+IF(OR('Reels'!D212="attack",'Reels'!D212="magic"),CHOOSE('Reels'!D213+1,'Slots'!D29,'Slots'!D30,'Slots'!D31,'Slots'!D32,'Slots'!D33),0)+IF(OR('Reels'!D216="attack",'Reels'!D216="magic"),CHOOSE('Reels'!D217+1,'Slots'!D29,'Slots'!D30,'Slots'!D31,'Slots'!D32,'Slots'!D33),0)</f>
        <v>2</v>
      </c>
      <c r="E878">
        <f>IF('Reels'!D182="heal",'Reels'!D183*'Slots'!D24,0)+IF('Reels'!D212="heal",'Reels'!D213*'Slots'!D24,0)+IF('Reels'!D216="heal",'Reels'!D217*'Slots'!D24,0)</f>
        <v>0</v>
      </c>
      <c r="F878">
        <f>IF('Reels'!D182="block",'Reels'!D183*'Slots'!D25,0)+IF('Reels'!D212="block",'Reels'!D213*'Slots'!D25,0)+IF('Reels'!D216="block",'Reels'!D217*'Slots'!D25,0)</f>
        <v>0</v>
      </c>
      <c r="G878" t="b">
        <f>AND('Reels'!D182&lt;&gt;"blank",'Reels'!D182&lt;&gt;"class",'Reels'!D182='Reels'!D216,'Reels'!D183='Reels'!D217,OR('Reels'!D212="class",AND('Reels'!D212='Reels'!D182,'Reels'!D213='Reels'!D183)))</f>
        <v>0</v>
      </c>
      <c r="H878">
        <f>IF(G878,C878,0)</f>
        <v>0</v>
      </c>
    </row>
    <row r="879" spans="1:8" x14ac:dyDescent="0.25">
      <c r="A879" t="s">
        <v>269</v>
      </c>
      <c r="B879" t="s">
        <v>4105</v>
      </c>
      <c r="C879" s="4">
        <f>('Reels'!D184/('Reels'!D178+'Reels'!D181+'Reels'!D184+'Reels'!D187+'Reels'!D190+'Reels'!D193))*('Reels'!D214/('Reels'!D196+'Reels'!D199+'Reels'!D202+'Reels'!D205+'Reels'!D208+'Reels'!D211+'Reels'!D214))*('Reels'!D221/('Reels'!D218+'Reels'!D221+'Reels'!D224+'Reels'!D227+'Reels'!D230+'Reels'!D233))</f>
        <v>0.0019281385811348469</v>
      </c>
      <c r="D879">
        <f>IF(OR('Reels'!D182="attack",'Reels'!D182="magic"),CHOOSE('Reels'!D183+1,'Slots'!D29,'Slots'!D30,'Slots'!D31,'Slots'!D32,'Slots'!D33),0)+IF(OR('Reels'!D212="attack",'Reels'!D212="magic"),CHOOSE('Reels'!D213+1,'Slots'!D29,'Slots'!D30,'Slots'!D31,'Slots'!D32,'Slots'!D33),0)+IF(OR('Reels'!D219="attack",'Reels'!D219="magic"),CHOOSE('Reels'!D220+1,'Slots'!D29,'Slots'!D30,'Slots'!D31,'Slots'!D32,'Slots'!D33),0)</f>
        <v>4</v>
      </c>
      <c r="E879">
        <f>IF('Reels'!D182="heal",'Reels'!D183*'Slots'!D24,0)+IF('Reels'!D212="heal",'Reels'!D213*'Slots'!D24,0)+IF('Reels'!D219="heal",'Reels'!D220*'Slots'!D24,0)</f>
        <v>0</v>
      </c>
      <c r="F879">
        <f>IF('Reels'!D182="block",'Reels'!D183*'Slots'!D25,0)+IF('Reels'!D212="block",'Reels'!D213*'Slots'!D25,0)+IF('Reels'!D219="block",'Reels'!D220*'Slots'!D25,0)</f>
        <v>0</v>
      </c>
      <c r="G879" t="b">
        <f>AND('Reels'!D182&lt;&gt;"blank",'Reels'!D182&lt;&gt;"class",'Reels'!D182='Reels'!D219,'Reels'!D183='Reels'!D220,OR('Reels'!D212="class",AND('Reels'!D212='Reels'!D182,'Reels'!D213='Reels'!D183)))</f>
        <v>0</v>
      </c>
      <c r="H879">
        <f>IF(G879,C879,0)</f>
        <v>0</v>
      </c>
    </row>
    <row r="880" spans="1:8" x14ac:dyDescent="0.25">
      <c r="A880" t="s">
        <v>269</v>
      </c>
      <c r="B880" t="s">
        <v>3958</v>
      </c>
      <c r="C880" s="4">
        <f>('Reels'!D184/('Reels'!D178+'Reels'!D181+'Reels'!D184+'Reels'!D187+'Reels'!D190+'Reels'!D193))*('Reels'!D214/('Reels'!D196+'Reels'!D199+'Reels'!D202+'Reels'!D205+'Reels'!D208+'Reels'!D211+'Reels'!D214))*('Reels'!D224/('Reels'!D218+'Reels'!D221+'Reels'!D224+'Reels'!D227+'Reels'!D230+'Reels'!D233))</f>
        <v>0.0008263451062006487</v>
      </c>
      <c r="D880">
        <f>IF(OR('Reels'!D182="attack",'Reels'!D182="magic"),CHOOSE('Reels'!D183+1,'Slots'!D29,'Slots'!D30,'Slots'!D31,'Slots'!D32,'Slots'!D33),0)+IF(OR('Reels'!D212="attack",'Reels'!D212="magic"),CHOOSE('Reels'!D213+1,'Slots'!D29,'Slots'!D30,'Slots'!D31,'Slots'!D32,'Slots'!D33),0)+IF(OR('Reels'!D222="attack",'Reels'!D222="magic"),CHOOSE('Reels'!D223+1,'Slots'!D29,'Slots'!D30,'Slots'!D31,'Slots'!D32,'Slots'!D33),0)</f>
        <v>0</v>
      </c>
      <c r="E880">
        <f>IF('Reels'!D182="heal",'Reels'!D183*'Slots'!D24,0)+IF('Reels'!D212="heal",'Reels'!D213*'Slots'!D24,0)+IF('Reels'!D222="heal",'Reels'!D223*'Slots'!D24,0)</f>
        <v>0</v>
      </c>
      <c r="F880">
        <f>IF('Reels'!D182="block",'Reels'!D183*'Slots'!D25,0)+IF('Reels'!D212="block",'Reels'!D213*'Slots'!D25,0)+IF('Reels'!D222="block",'Reels'!D223*'Slots'!D25,0)</f>
        <v>0</v>
      </c>
      <c r="G880" t="b">
        <f>AND('Reels'!D182&lt;&gt;"blank",'Reels'!D182&lt;&gt;"class",'Reels'!D182='Reels'!D222,'Reels'!D183='Reels'!D223,OR('Reels'!D212="class",AND('Reels'!D212='Reels'!D182,'Reels'!D213='Reels'!D183)))</f>
        <v>1</v>
      </c>
      <c r="H880">
        <f>IF(G880,C880,0)</f>
        <v>0.0008263451062006487</v>
      </c>
    </row>
    <row r="881" spans="1:8" x14ac:dyDescent="0.25">
      <c r="A881" t="s">
        <v>269</v>
      </c>
      <c r="B881" t="s">
        <v>4106</v>
      </c>
      <c r="C881" s="4">
        <f>('Reels'!D184/('Reels'!D178+'Reels'!D181+'Reels'!D184+'Reels'!D187+'Reels'!D190+'Reels'!D193))*('Reels'!D214/('Reels'!D196+'Reels'!D199+'Reels'!D202+'Reels'!D205+'Reels'!D208+'Reels'!D211+'Reels'!D214))*('Reels'!D227/('Reels'!D218+'Reels'!D221+'Reels'!D224+'Reels'!D227+'Reels'!D230+'Reels'!D233))</f>
        <v>0.0008263451062006487</v>
      </c>
      <c r="D881">
        <f>IF(OR('Reels'!D182="attack",'Reels'!D182="magic"),CHOOSE('Reels'!D183+1,'Slots'!D29,'Slots'!D30,'Slots'!D31,'Slots'!D32,'Slots'!D33),0)+IF(OR('Reels'!D212="attack",'Reels'!D212="magic"),CHOOSE('Reels'!D213+1,'Slots'!D29,'Slots'!D30,'Slots'!D31,'Slots'!D32,'Slots'!D33),0)+IF(OR('Reels'!D225="attack",'Reels'!D225="magic"),CHOOSE('Reels'!D226+1,'Slots'!D29,'Slots'!D30,'Slots'!D31,'Slots'!D32,'Slots'!D33),0)</f>
        <v>0</v>
      </c>
      <c r="E881">
        <f>IF('Reels'!D182="heal",'Reels'!D183*'Slots'!D24,0)+IF('Reels'!D212="heal",'Reels'!D213*'Slots'!D24,0)+IF('Reels'!D225="heal",'Reels'!D226*'Slots'!D24,0)</f>
        <v>0</v>
      </c>
      <c r="F881">
        <f>IF('Reels'!D182="block",'Reels'!D183*'Slots'!D25,0)+IF('Reels'!D212="block",'Reels'!D213*'Slots'!D25,0)+IF('Reels'!D225="block",'Reels'!D226*'Slots'!D25,0)</f>
        <v>0</v>
      </c>
      <c r="G881" t="b">
        <f>AND('Reels'!D182&lt;&gt;"blank",'Reels'!D182&lt;&gt;"class",'Reels'!D182='Reels'!D225,'Reels'!D183='Reels'!D226,OR('Reels'!D212="class",AND('Reels'!D212='Reels'!D182,'Reels'!D213='Reels'!D183)))</f>
        <v>0</v>
      </c>
      <c r="H881">
        <f>IF(G881,C881,0)</f>
        <v>0</v>
      </c>
    </row>
    <row r="882" spans="1:8" x14ac:dyDescent="0.25">
      <c r="A882" t="s">
        <v>269</v>
      </c>
      <c r="B882" t="s">
        <v>3959</v>
      </c>
      <c r="C882" s="4">
        <f>('Reels'!D184/('Reels'!D178+'Reels'!D181+'Reels'!D184+'Reels'!D187+'Reels'!D190+'Reels'!D193))*('Reels'!D214/('Reels'!D196+'Reels'!D199+'Reels'!D202+'Reels'!D205+'Reels'!D208+'Reels'!D211+'Reels'!D214))*('Reels'!D230/('Reels'!D218+'Reels'!D221+'Reels'!D224+'Reels'!D227+'Reels'!D230+'Reels'!D233))</f>
        <v>0.0005508967374670992</v>
      </c>
      <c r="D882">
        <f>IF(OR('Reels'!D182="attack",'Reels'!D182="magic"),CHOOSE('Reels'!D183+1,'Slots'!D29,'Slots'!D30,'Slots'!D31,'Slots'!D32,'Slots'!D33),0)+IF(OR('Reels'!D212="attack",'Reels'!D212="magic"),CHOOSE('Reels'!D213+1,'Slots'!D29,'Slots'!D30,'Slots'!D31,'Slots'!D32,'Slots'!D33),0)+IF(OR('Reels'!D228="attack",'Reels'!D228="magic"),CHOOSE('Reels'!D229+1,'Slots'!D29,'Slots'!D30,'Slots'!D31,'Slots'!D32,'Slots'!D33),0)</f>
        <v>0</v>
      </c>
      <c r="E882">
        <f>IF('Reels'!D182="heal",'Reels'!D183*'Slots'!D24,0)+IF('Reels'!D212="heal",'Reels'!D213*'Slots'!D24,0)+IF('Reels'!D228="heal",'Reels'!D229*'Slots'!D24,0)</f>
        <v>0</v>
      </c>
      <c r="F882">
        <f>IF('Reels'!D182="block",'Reels'!D183*'Slots'!D25,0)+IF('Reels'!D212="block",'Reels'!D213*'Slots'!D25,0)+IF('Reels'!D228="block",'Reels'!D229*'Slots'!D25,0)</f>
        <v>1</v>
      </c>
      <c r="G882" t="b">
        <f>AND('Reels'!D182&lt;&gt;"blank",'Reels'!D182&lt;&gt;"class",'Reels'!D182='Reels'!D228,'Reels'!D183='Reels'!D229,OR('Reels'!D212="class",AND('Reels'!D212='Reels'!D182,'Reels'!D213='Reels'!D183)))</f>
        <v>0</v>
      </c>
      <c r="H882">
        <f>IF(G882,C882,0)</f>
        <v>0</v>
      </c>
    </row>
    <row r="883" spans="1:8" x14ac:dyDescent="0.25">
      <c r="A883" t="s">
        <v>269</v>
      </c>
      <c r="B883" t="s">
        <v>3960</v>
      </c>
      <c r="C883" s="4">
        <f>('Reels'!D184/('Reels'!D178+'Reels'!D181+'Reels'!D184+'Reels'!D187+'Reels'!D190+'Reels'!D193))*('Reels'!D214/('Reels'!D196+'Reels'!D199+'Reels'!D202+'Reels'!D205+'Reels'!D208+'Reels'!D211+'Reels'!D214))*('Reels'!D233/('Reels'!D218+'Reels'!D221+'Reels'!D224+'Reels'!D227+'Reels'!D230+'Reels'!D233))</f>
        <v>0.0013772418436677478</v>
      </c>
      <c r="D883">
        <f>IF(OR('Reels'!D182="attack",'Reels'!D182="magic"),CHOOSE('Reels'!D183+1,'Slots'!D29,'Slots'!D30,'Slots'!D31,'Slots'!D32,'Slots'!D33),0)+IF(OR('Reels'!D212="attack",'Reels'!D212="magic"),CHOOSE('Reels'!D213+1,'Slots'!D29,'Slots'!D30,'Slots'!D31,'Slots'!D32,'Slots'!D33),0)+IF(OR('Reels'!D231="attack",'Reels'!D231="magic"),CHOOSE('Reels'!D232+1,'Slots'!D29,'Slots'!D30,'Slots'!D31,'Slots'!D32,'Slots'!D33),0)</f>
        <v>0</v>
      </c>
      <c r="E883">
        <f>IF('Reels'!D182="heal",'Reels'!D183*'Slots'!D24,0)+IF('Reels'!D212="heal",'Reels'!D213*'Slots'!D24,0)+IF('Reels'!D231="heal",'Reels'!D232*'Slots'!D24,0)</f>
        <v>0</v>
      </c>
      <c r="F883">
        <f>IF('Reels'!D182="block",'Reels'!D183*'Slots'!D25,0)+IF('Reels'!D212="block",'Reels'!D213*'Slots'!D25,0)+IF('Reels'!D231="block",'Reels'!D232*'Slots'!D25,0)</f>
        <v>0</v>
      </c>
      <c r="G883" t="b">
        <f>AND('Reels'!D182&lt;&gt;"blank",'Reels'!D182&lt;&gt;"class",'Reels'!D182='Reels'!D231,'Reels'!D183='Reels'!D232,OR('Reels'!D212="class",AND('Reels'!D212='Reels'!D182,'Reels'!D213='Reels'!D183)))</f>
        <v>0</v>
      </c>
      <c r="H883">
        <f>IF(G883,C883,0)</f>
        <v>0</v>
      </c>
    </row>
    <row r="884" spans="1:8" x14ac:dyDescent="0.25">
      <c r="A884" t="s">
        <v>269</v>
      </c>
      <c r="B884" t="s">
        <v>4107</v>
      </c>
      <c r="C884" s="4">
        <f>('Reels'!D187/('Reels'!D178+'Reels'!D181+'Reels'!D184+'Reels'!D187+'Reels'!D190+'Reels'!D193))*('Reels'!D196/('Reels'!D196+'Reels'!D199+'Reels'!D202+'Reels'!D205+'Reels'!D208+'Reels'!D211+'Reels'!D214))*('Reels'!D218/('Reels'!D218+'Reels'!D221+'Reels'!D224+'Reels'!D227+'Reels'!D230+'Reels'!D233))</f>
        <v>0.011109750872253169</v>
      </c>
      <c r="D884">
        <f>IF(OR('Reels'!D185="attack",'Reels'!D185="magic"),CHOOSE('Reels'!D186+1,'Slots'!D29,'Slots'!D30,'Slots'!D31,'Slots'!D32,'Slots'!D33),0)+IF(OR('Reels'!D194="attack",'Reels'!D194="magic"),CHOOSE('Reels'!D195+1,'Slots'!D29,'Slots'!D30,'Slots'!D31,'Slots'!D32,'Slots'!D33),0)+IF(OR('Reels'!D216="attack",'Reels'!D216="magic"),CHOOSE('Reels'!D217+1,'Slots'!D29,'Slots'!D30,'Slots'!D31,'Slots'!D32,'Slots'!D33),0)</f>
        <v>4</v>
      </c>
      <c r="E884">
        <f>IF('Reels'!D185="heal",'Reels'!D186*'Slots'!D24,0)+IF('Reels'!D194="heal",'Reels'!D195*'Slots'!D24,0)+IF('Reels'!D216="heal",'Reels'!D217*'Slots'!D24,0)</f>
        <v>0</v>
      </c>
      <c r="F884">
        <f>IF('Reels'!D185="block",'Reels'!D186*'Slots'!D25,0)+IF('Reels'!D194="block",'Reels'!D195*'Slots'!D25,0)+IF('Reels'!D216="block",'Reels'!D217*'Slots'!D25,0)</f>
        <v>0</v>
      </c>
      <c r="G884" t="b">
        <f>AND('Reels'!D185&lt;&gt;"blank",'Reels'!D185&lt;&gt;"class",'Reels'!D185='Reels'!D216,'Reels'!D186='Reels'!D217,OR('Reels'!D194="class",AND('Reels'!D194='Reels'!D185,'Reels'!D195='Reels'!D186)))</f>
        <v>0</v>
      </c>
      <c r="H884">
        <f>IF(G884,C884,0)</f>
        <v>0</v>
      </c>
    </row>
    <row r="885" spans="1:8" x14ac:dyDescent="0.25">
      <c r="A885" t="s">
        <v>269</v>
      </c>
      <c r="B885" t="s">
        <v>4108</v>
      </c>
      <c r="C885" s="4">
        <f>('Reels'!D187/('Reels'!D178+'Reels'!D181+'Reels'!D184+'Reels'!D187+'Reels'!D190+'Reels'!D193))*('Reels'!D196/('Reels'!D196+'Reels'!D199+'Reels'!D202+'Reels'!D205+'Reels'!D208+'Reels'!D211+'Reels'!D214))*('Reels'!D221/('Reels'!D218+'Reels'!D221+'Reels'!D224+'Reels'!D227+'Reels'!D230+'Reels'!D233))</f>
        <v>0.0070698414641611074</v>
      </c>
      <c r="D885">
        <f>IF(OR('Reels'!D185="attack",'Reels'!D185="magic"),CHOOSE('Reels'!D186+1,'Slots'!D29,'Slots'!D30,'Slots'!D31,'Slots'!D32,'Slots'!D33),0)+IF(OR('Reels'!D194="attack",'Reels'!D194="magic"),CHOOSE('Reels'!D195+1,'Slots'!D29,'Slots'!D30,'Slots'!D31,'Slots'!D32,'Slots'!D33),0)+IF(OR('Reels'!D219="attack",'Reels'!D219="magic"),CHOOSE('Reels'!D220+1,'Slots'!D29,'Slots'!D30,'Slots'!D31,'Slots'!D32,'Slots'!D33),0)</f>
        <v>6</v>
      </c>
      <c r="E885">
        <f>IF('Reels'!D185="heal",'Reels'!D186*'Slots'!D24,0)+IF('Reels'!D194="heal",'Reels'!D195*'Slots'!D24,0)+IF('Reels'!D219="heal",'Reels'!D220*'Slots'!D24,0)</f>
        <v>0</v>
      </c>
      <c r="F885">
        <f>IF('Reels'!D185="block",'Reels'!D186*'Slots'!D25,0)+IF('Reels'!D194="block",'Reels'!D195*'Slots'!D25,0)+IF('Reels'!D219="block",'Reels'!D220*'Slots'!D25,0)</f>
        <v>0</v>
      </c>
      <c r="G885" t="b">
        <f>AND('Reels'!D185&lt;&gt;"blank",'Reels'!D185&lt;&gt;"class",'Reels'!D185='Reels'!D219,'Reels'!D186='Reels'!D220,OR('Reels'!D194="class",AND('Reels'!D194='Reels'!D185,'Reels'!D195='Reels'!D186)))</f>
        <v>0</v>
      </c>
      <c r="H885">
        <f>IF(G885,C885,0)</f>
        <v>0</v>
      </c>
    </row>
    <row r="886" spans="1:8" x14ac:dyDescent="0.25">
      <c r="A886" t="s">
        <v>269</v>
      </c>
      <c r="B886" t="s">
        <v>4109</v>
      </c>
      <c r="C886" s="4">
        <f>('Reels'!D187/('Reels'!D178+'Reels'!D181+'Reels'!D184+'Reels'!D187+'Reels'!D190+'Reels'!D193))*('Reels'!D196/('Reels'!D196+'Reels'!D199+'Reels'!D202+'Reels'!D205+'Reels'!D208+'Reels'!D211+'Reels'!D214))*('Reels'!D224/('Reels'!D218+'Reels'!D221+'Reels'!D224+'Reels'!D227+'Reels'!D230+'Reels'!D233))</f>
        <v>0.003029932056069046</v>
      </c>
      <c r="D886">
        <f>IF(OR('Reels'!D185="attack",'Reels'!D185="magic"),CHOOSE('Reels'!D186+1,'Slots'!D29,'Slots'!D30,'Slots'!D31,'Slots'!D32,'Slots'!D33),0)+IF(OR('Reels'!D194="attack",'Reels'!D194="magic"),CHOOSE('Reels'!D195+1,'Slots'!D29,'Slots'!D30,'Slots'!D31,'Slots'!D32,'Slots'!D33),0)+IF(OR('Reels'!D222="attack",'Reels'!D222="magic"),CHOOSE('Reels'!D223+1,'Slots'!D29,'Slots'!D30,'Slots'!D31,'Slots'!D32,'Slots'!D33),0)</f>
        <v>2</v>
      </c>
      <c r="E886">
        <f>IF('Reels'!D185="heal",'Reels'!D186*'Slots'!D24,0)+IF('Reels'!D194="heal",'Reels'!D195*'Slots'!D24,0)+IF('Reels'!D222="heal",'Reels'!D223*'Slots'!D24,0)</f>
        <v>0</v>
      </c>
      <c r="F886">
        <f>IF('Reels'!D185="block",'Reels'!D186*'Slots'!D25,0)+IF('Reels'!D194="block",'Reels'!D195*'Slots'!D25,0)+IF('Reels'!D222="block",'Reels'!D223*'Slots'!D25,0)</f>
        <v>0</v>
      </c>
      <c r="G886" t="b">
        <f>AND('Reels'!D185&lt;&gt;"blank",'Reels'!D185&lt;&gt;"class",'Reels'!D185='Reels'!D222,'Reels'!D186='Reels'!D223,OR('Reels'!D194="class",AND('Reels'!D194='Reels'!D185,'Reels'!D195='Reels'!D186)))</f>
        <v>0</v>
      </c>
      <c r="H886">
        <f>IF(G886,C886,0)</f>
        <v>0</v>
      </c>
    </row>
    <row r="887" spans="1:8" x14ac:dyDescent="0.25">
      <c r="A887" t="s">
        <v>269</v>
      </c>
      <c r="B887" t="s">
        <v>4110</v>
      </c>
      <c r="C887" s="4">
        <f>('Reels'!D187/('Reels'!D178+'Reels'!D181+'Reels'!D184+'Reels'!D187+'Reels'!D190+'Reels'!D193))*('Reels'!D196/('Reels'!D196+'Reels'!D199+'Reels'!D202+'Reels'!D205+'Reels'!D208+'Reels'!D211+'Reels'!D214))*('Reels'!D227/('Reels'!D218+'Reels'!D221+'Reels'!D224+'Reels'!D227+'Reels'!D230+'Reels'!D233))</f>
        <v>0.003029932056069046</v>
      </c>
      <c r="D887">
        <f>IF(OR('Reels'!D185="attack",'Reels'!D185="magic"),CHOOSE('Reels'!D186+1,'Slots'!D29,'Slots'!D30,'Slots'!D31,'Slots'!D32,'Slots'!D33),0)+IF(OR('Reels'!D194="attack",'Reels'!D194="magic"),CHOOSE('Reels'!D195+1,'Slots'!D29,'Slots'!D30,'Slots'!D31,'Slots'!D32,'Slots'!D33),0)+IF(OR('Reels'!D225="attack",'Reels'!D225="magic"),CHOOSE('Reels'!D226+1,'Slots'!D29,'Slots'!D30,'Slots'!D31,'Slots'!D32,'Slots'!D33),0)</f>
        <v>2</v>
      </c>
      <c r="E887">
        <f>IF('Reels'!D185="heal",'Reels'!D186*'Slots'!D24,0)+IF('Reels'!D194="heal",'Reels'!D195*'Slots'!D24,0)+IF('Reels'!D225="heal",'Reels'!D226*'Slots'!D24,0)</f>
        <v>0</v>
      </c>
      <c r="F887">
        <f>IF('Reels'!D185="block",'Reels'!D186*'Slots'!D25,0)+IF('Reels'!D194="block",'Reels'!D195*'Slots'!D25,0)+IF('Reels'!D225="block",'Reels'!D226*'Slots'!D25,0)</f>
        <v>0</v>
      </c>
      <c r="G887" t="b">
        <f>AND('Reels'!D185&lt;&gt;"blank",'Reels'!D185&lt;&gt;"class",'Reels'!D185='Reels'!D225,'Reels'!D186='Reels'!D226,OR('Reels'!D194="class",AND('Reels'!D194='Reels'!D185,'Reels'!D195='Reels'!D186)))</f>
        <v>0</v>
      </c>
      <c r="H887">
        <f>IF(G887,C887,0)</f>
        <v>0</v>
      </c>
    </row>
    <row r="888" spans="1:8" x14ac:dyDescent="0.25">
      <c r="A888" t="s">
        <v>269</v>
      </c>
      <c r="B888" t="s">
        <v>4111</v>
      </c>
      <c r="C888" s="4">
        <f>('Reels'!D187/('Reels'!D178+'Reels'!D181+'Reels'!D184+'Reels'!D187+'Reels'!D190+'Reels'!D193))*('Reels'!D196/('Reels'!D196+'Reels'!D199+'Reels'!D202+'Reels'!D205+'Reels'!D208+'Reels'!D211+'Reels'!D214))*('Reels'!D230/('Reels'!D218+'Reels'!D221+'Reels'!D224+'Reels'!D227+'Reels'!D230+'Reels'!D233))</f>
        <v>0.0020199547040460307</v>
      </c>
      <c r="D888">
        <f>IF(OR('Reels'!D185="attack",'Reels'!D185="magic"),CHOOSE('Reels'!D186+1,'Slots'!D29,'Slots'!D30,'Slots'!D31,'Slots'!D32,'Slots'!D33),0)+IF(OR('Reels'!D194="attack",'Reels'!D194="magic"),CHOOSE('Reels'!D195+1,'Slots'!D29,'Slots'!D30,'Slots'!D31,'Slots'!D32,'Slots'!D33),0)+IF(OR('Reels'!D228="attack",'Reels'!D228="magic"),CHOOSE('Reels'!D229+1,'Slots'!D29,'Slots'!D30,'Slots'!D31,'Slots'!D32,'Slots'!D33),0)</f>
        <v>2</v>
      </c>
      <c r="E888">
        <f>IF('Reels'!D185="heal",'Reels'!D186*'Slots'!D24,0)+IF('Reels'!D194="heal",'Reels'!D195*'Slots'!D24,0)+IF('Reels'!D228="heal",'Reels'!D229*'Slots'!D24,0)</f>
        <v>0</v>
      </c>
      <c r="F888">
        <f>IF('Reels'!D185="block",'Reels'!D186*'Slots'!D25,0)+IF('Reels'!D194="block",'Reels'!D195*'Slots'!D25,0)+IF('Reels'!D228="block",'Reels'!D229*'Slots'!D25,0)</f>
        <v>1</v>
      </c>
      <c r="G888" t="b">
        <f>AND('Reels'!D185&lt;&gt;"blank",'Reels'!D185&lt;&gt;"class",'Reels'!D185='Reels'!D228,'Reels'!D186='Reels'!D229,OR('Reels'!D194="class",AND('Reels'!D194='Reels'!D185,'Reels'!D195='Reels'!D186)))</f>
        <v>0</v>
      </c>
      <c r="H888">
        <f>IF(G888,C888,0)</f>
        <v>0</v>
      </c>
    </row>
    <row r="889" spans="1:8" x14ac:dyDescent="0.25">
      <c r="A889" t="s">
        <v>269</v>
      </c>
      <c r="B889" t="s">
        <v>4112</v>
      </c>
      <c r="C889" s="4">
        <f>('Reels'!D187/('Reels'!D178+'Reels'!D181+'Reels'!D184+'Reels'!D187+'Reels'!D190+'Reels'!D193))*('Reels'!D196/('Reels'!D196+'Reels'!D199+'Reels'!D202+'Reels'!D205+'Reels'!D208+'Reels'!D211+'Reels'!D214))*('Reels'!D233/('Reels'!D218+'Reels'!D221+'Reels'!D224+'Reels'!D227+'Reels'!D230+'Reels'!D233))</f>
        <v>0.005049886760115077</v>
      </c>
      <c r="D889">
        <f>IF(OR('Reels'!D185="attack",'Reels'!D185="magic"),CHOOSE('Reels'!D186+1,'Slots'!D29,'Slots'!D30,'Slots'!D31,'Slots'!D32,'Slots'!D33),0)+IF(OR('Reels'!D194="attack",'Reels'!D194="magic"),CHOOSE('Reels'!D195+1,'Slots'!D29,'Slots'!D30,'Slots'!D31,'Slots'!D32,'Slots'!D33),0)+IF(OR('Reels'!D231="attack",'Reels'!D231="magic"),CHOOSE('Reels'!D232+1,'Slots'!D29,'Slots'!D30,'Slots'!D31,'Slots'!D32,'Slots'!D33),0)</f>
        <v>2</v>
      </c>
      <c r="E889">
        <f>IF('Reels'!D185="heal",'Reels'!D186*'Slots'!D24,0)+IF('Reels'!D194="heal",'Reels'!D195*'Slots'!D24,0)+IF('Reels'!D231="heal",'Reels'!D232*'Slots'!D24,0)</f>
        <v>0</v>
      </c>
      <c r="F889">
        <f>IF('Reels'!D185="block",'Reels'!D186*'Slots'!D25,0)+IF('Reels'!D194="block",'Reels'!D195*'Slots'!D25,0)+IF('Reels'!D231="block",'Reels'!D232*'Slots'!D25,0)</f>
        <v>0</v>
      </c>
      <c r="G889" t="b">
        <f>AND('Reels'!D185&lt;&gt;"blank",'Reels'!D185&lt;&gt;"class",'Reels'!D185='Reels'!D231,'Reels'!D186='Reels'!D232,OR('Reels'!D194="class",AND('Reels'!D194='Reels'!D185,'Reels'!D195='Reels'!D186)))</f>
        <v>0</v>
      </c>
      <c r="H889">
        <f>IF(G889,C889,0)</f>
        <v>0</v>
      </c>
    </row>
    <row r="890" spans="1:8" x14ac:dyDescent="0.25">
      <c r="A890" t="s">
        <v>269</v>
      </c>
      <c r="B890" t="s">
        <v>4113</v>
      </c>
      <c r="C890" s="4">
        <f>('Reels'!D187/('Reels'!D178+'Reels'!D181+'Reels'!D184+'Reels'!D187+'Reels'!D190+'Reels'!D193))*('Reels'!D199/('Reels'!D196+'Reels'!D199+'Reels'!D202+'Reels'!D205+'Reels'!D208+'Reels'!D211+'Reels'!D214))*('Reels'!D218/('Reels'!D218+'Reels'!D221+'Reels'!D224+'Reels'!D227+'Reels'!D230+'Reels'!D233))</f>
        <v>0.0070698414641611074</v>
      </c>
      <c r="D890">
        <f>IF(OR('Reels'!D185="attack",'Reels'!D185="magic"),CHOOSE('Reels'!D186+1,'Slots'!D29,'Slots'!D30,'Slots'!D31,'Slots'!D32,'Slots'!D33),0)+IF(OR('Reels'!D197="attack",'Reels'!D197="magic"),CHOOSE('Reels'!D198+1,'Slots'!D29,'Slots'!D30,'Slots'!D31,'Slots'!D32,'Slots'!D33),0)+IF(OR('Reels'!D216="attack",'Reels'!D216="magic"),CHOOSE('Reels'!D217+1,'Slots'!D29,'Slots'!D30,'Slots'!D31,'Slots'!D32,'Slots'!D33),0)</f>
        <v>6</v>
      </c>
      <c r="E890">
        <f>IF('Reels'!D185="heal",'Reels'!D186*'Slots'!D24,0)+IF('Reels'!D197="heal",'Reels'!D198*'Slots'!D24,0)+IF('Reels'!D216="heal",'Reels'!D217*'Slots'!D24,0)</f>
        <v>0</v>
      </c>
      <c r="F890">
        <f>IF('Reels'!D185="block",'Reels'!D186*'Slots'!D25,0)+IF('Reels'!D197="block",'Reels'!D198*'Slots'!D25,0)+IF('Reels'!D216="block",'Reels'!D217*'Slots'!D25,0)</f>
        <v>0</v>
      </c>
      <c r="G890" t="b">
        <f>AND('Reels'!D185&lt;&gt;"blank",'Reels'!D185&lt;&gt;"class",'Reels'!D185='Reels'!D216,'Reels'!D186='Reels'!D217,OR('Reels'!D197="class",AND('Reels'!D197='Reels'!D185,'Reels'!D198='Reels'!D186)))</f>
        <v>0</v>
      </c>
      <c r="H890">
        <f>IF(G890,C890,0)</f>
        <v>0</v>
      </c>
    </row>
    <row r="891" spans="1:8" x14ac:dyDescent="0.25">
      <c r="A891" t="s">
        <v>269</v>
      </c>
      <c r="B891" t="s">
        <v>4114</v>
      </c>
      <c r="C891" s="4">
        <f>('Reels'!D187/('Reels'!D178+'Reels'!D181+'Reels'!D184+'Reels'!D187+'Reels'!D190+'Reels'!D193))*('Reels'!D199/('Reels'!D196+'Reels'!D199+'Reels'!D202+'Reels'!D205+'Reels'!D208+'Reels'!D211+'Reels'!D214))*('Reels'!D221/('Reels'!D218+'Reels'!D221+'Reels'!D224+'Reels'!D227+'Reels'!D230+'Reels'!D233))</f>
        <v>0.004498990022647977</v>
      </c>
      <c r="D891">
        <f>IF(OR('Reels'!D185="attack",'Reels'!D185="magic"),CHOOSE('Reels'!D186+1,'Slots'!D29,'Slots'!D30,'Slots'!D31,'Slots'!D32,'Slots'!D33),0)+IF(OR('Reels'!D197="attack",'Reels'!D197="magic"),CHOOSE('Reels'!D198+1,'Slots'!D29,'Slots'!D30,'Slots'!D31,'Slots'!D32,'Slots'!D33),0)+IF(OR('Reels'!D219="attack",'Reels'!D219="magic"),CHOOSE('Reels'!D220+1,'Slots'!D29,'Slots'!D30,'Slots'!D31,'Slots'!D32,'Slots'!D33),0)</f>
        <v>8</v>
      </c>
      <c r="E891">
        <f>IF('Reels'!D185="heal",'Reels'!D186*'Slots'!D24,0)+IF('Reels'!D197="heal",'Reels'!D198*'Slots'!D24,0)+IF('Reels'!D219="heal",'Reels'!D220*'Slots'!D24,0)</f>
        <v>0</v>
      </c>
      <c r="F891">
        <f>IF('Reels'!D185="block",'Reels'!D186*'Slots'!D25,0)+IF('Reels'!D197="block",'Reels'!D198*'Slots'!D25,0)+IF('Reels'!D219="block",'Reels'!D220*'Slots'!D25,0)</f>
        <v>0</v>
      </c>
      <c r="G891" t="b">
        <f>AND('Reels'!D185&lt;&gt;"blank",'Reels'!D185&lt;&gt;"class",'Reels'!D185='Reels'!D219,'Reels'!D186='Reels'!D220,OR('Reels'!D197="class",AND('Reels'!D197='Reels'!D185,'Reels'!D198='Reels'!D186)))</f>
        <v>0</v>
      </c>
      <c r="H891">
        <f>IF(G891,C891,0)</f>
        <v>0</v>
      </c>
    </row>
    <row r="892" spans="1:8" x14ac:dyDescent="0.25">
      <c r="A892" t="s">
        <v>269</v>
      </c>
      <c r="B892" t="s">
        <v>4115</v>
      </c>
      <c r="C892" s="4">
        <f>('Reels'!D187/('Reels'!D178+'Reels'!D181+'Reels'!D184+'Reels'!D187+'Reels'!D190+'Reels'!D193))*('Reels'!D199/('Reels'!D196+'Reels'!D199+'Reels'!D202+'Reels'!D205+'Reels'!D208+'Reels'!D211+'Reels'!D214))*('Reels'!D224/('Reels'!D218+'Reels'!D221+'Reels'!D224+'Reels'!D227+'Reels'!D230+'Reels'!D233))</f>
        <v>0.001928138581134847</v>
      </c>
      <c r="D892">
        <f>IF(OR('Reels'!D185="attack",'Reels'!D185="magic"),CHOOSE('Reels'!D186+1,'Slots'!D29,'Slots'!D30,'Slots'!D31,'Slots'!D32,'Slots'!D33),0)+IF(OR('Reels'!D197="attack",'Reels'!D197="magic"),CHOOSE('Reels'!D198+1,'Slots'!D29,'Slots'!D30,'Slots'!D31,'Slots'!D32,'Slots'!D33),0)+IF(OR('Reels'!D222="attack",'Reels'!D222="magic"),CHOOSE('Reels'!D223+1,'Slots'!D29,'Slots'!D30,'Slots'!D31,'Slots'!D32,'Slots'!D33),0)</f>
        <v>4</v>
      </c>
      <c r="E892">
        <f>IF('Reels'!D185="heal",'Reels'!D186*'Slots'!D24,0)+IF('Reels'!D197="heal",'Reels'!D198*'Slots'!D24,0)+IF('Reels'!D222="heal",'Reels'!D223*'Slots'!D24,0)</f>
        <v>0</v>
      </c>
      <c r="F892">
        <f>IF('Reels'!D185="block",'Reels'!D186*'Slots'!D25,0)+IF('Reels'!D197="block",'Reels'!D198*'Slots'!D25,0)+IF('Reels'!D222="block",'Reels'!D223*'Slots'!D25,0)</f>
        <v>0</v>
      </c>
      <c r="G892" t="b">
        <f>AND('Reels'!D185&lt;&gt;"blank",'Reels'!D185&lt;&gt;"class",'Reels'!D185='Reels'!D222,'Reels'!D186='Reels'!D223,OR('Reels'!D197="class",AND('Reels'!D197='Reels'!D185,'Reels'!D198='Reels'!D186)))</f>
        <v>0</v>
      </c>
      <c r="H892">
        <f>IF(G892,C892,0)</f>
        <v>0</v>
      </c>
    </row>
    <row r="893" spans="1:8" x14ac:dyDescent="0.25">
      <c r="A893" t="s">
        <v>269</v>
      </c>
      <c r="B893" t="s">
        <v>4116</v>
      </c>
      <c r="C893" s="4">
        <f>('Reels'!D187/('Reels'!D178+'Reels'!D181+'Reels'!D184+'Reels'!D187+'Reels'!D190+'Reels'!D193))*('Reels'!D199/('Reels'!D196+'Reels'!D199+'Reels'!D202+'Reels'!D205+'Reels'!D208+'Reels'!D211+'Reels'!D214))*('Reels'!D227/('Reels'!D218+'Reels'!D221+'Reels'!D224+'Reels'!D227+'Reels'!D230+'Reels'!D233))</f>
        <v>0.001928138581134847</v>
      </c>
      <c r="D893">
        <f>IF(OR('Reels'!D185="attack",'Reels'!D185="magic"),CHOOSE('Reels'!D186+1,'Slots'!D29,'Slots'!D30,'Slots'!D31,'Slots'!D32,'Slots'!D33),0)+IF(OR('Reels'!D197="attack",'Reels'!D197="magic"),CHOOSE('Reels'!D198+1,'Slots'!D29,'Slots'!D30,'Slots'!D31,'Slots'!D32,'Slots'!D33),0)+IF(OR('Reels'!D225="attack",'Reels'!D225="magic"),CHOOSE('Reels'!D226+1,'Slots'!D29,'Slots'!D30,'Slots'!D31,'Slots'!D32,'Slots'!D33),0)</f>
        <v>4</v>
      </c>
      <c r="E893">
        <f>IF('Reels'!D185="heal",'Reels'!D186*'Slots'!D24,0)+IF('Reels'!D197="heal",'Reels'!D198*'Slots'!D24,0)+IF('Reels'!D225="heal",'Reels'!D226*'Slots'!D24,0)</f>
        <v>0</v>
      </c>
      <c r="F893">
        <f>IF('Reels'!D185="block",'Reels'!D186*'Slots'!D25,0)+IF('Reels'!D197="block",'Reels'!D198*'Slots'!D25,0)+IF('Reels'!D225="block",'Reels'!D226*'Slots'!D25,0)</f>
        <v>0</v>
      </c>
      <c r="G893" t="b">
        <f>AND('Reels'!D185&lt;&gt;"blank",'Reels'!D185&lt;&gt;"class",'Reels'!D185='Reels'!D225,'Reels'!D186='Reels'!D226,OR('Reels'!D197="class",AND('Reels'!D197='Reels'!D185,'Reels'!D198='Reels'!D186)))</f>
        <v>0</v>
      </c>
      <c r="H893">
        <f>IF(G893,C893,0)</f>
        <v>0</v>
      </c>
    </row>
    <row r="894" spans="1:8" x14ac:dyDescent="0.25">
      <c r="A894" t="s">
        <v>269</v>
      </c>
      <c r="B894" t="s">
        <v>4117</v>
      </c>
      <c r="C894" s="4">
        <f>('Reels'!D187/('Reels'!D178+'Reels'!D181+'Reels'!D184+'Reels'!D187+'Reels'!D190+'Reels'!D193))*('Reels'!D199/('Reels'!D196+'Reels'!D199+'Reels'!D202+'Reels'!D205+'Reels'!D208+'Reels'!D211+'Reels'!D214))*('Reels'!D230/('Reels'!D218+'Reels'!D221+'Reels'!D224+'Reels'!D227+'Reels'!D230+'Reels'!D233))</f>
        <v>0.0012854257207565649</v>
      </c>
      <c r="D894">
        <f>IF(OR('Reels'!D185="attack",'Reels'!D185="magic"),CHOOSE('Reels'!D186+1,'Slots'!D29,'Slots'!D30,'Slots'!D31,'Slots'!D32,'Slots'!D33),0)+IF(OR('Reels'!D197="attack",'Reels'!D197="magic"),CHOOSE('Reels'!D198+1,'Slots'!D29,'Slots'!D30,'Slots'!D31,'Slots'!D32,'Slots'!D33),0)+IF(OR('Reels'!D228="attack",'Reels'!D228="magic"),CHOOSE('Reels'!D229+1,'Slots'!D29,'Slots'!D30,'Slots'!D31,'Slots'!D32,'Slots'!D33),0)</f>
        <v>4</v>
      </c>
      <c r="E894">
        <f>IF('Reels'!D185="heal",'Reels'!D186*'Slots'!D24,0)+IF('Reels'!D197="heal",'Reels'!D198*'Slots'!D24,0)+IF('Reels'!D228="heal",'Reels'!D229*'Slots'!D24,0)</f>
        <v>0</v>
      </c>
      <c r="F894">
        <f>IF('Reels'!D185="block",'Reels'!D186*'Slots'!D25,0)+IF('Reels'!D197="block",'Reels'!D198*'Slots'!D25,0)+IF('Reels'!D228="block",'Reels'!D229*'Slots'!D25,0)</f>
        <v>1</v>
      </c>
      <c r="G894" t="b">
        <f>AND('Reels'!D185&lt;&gt;"blank",'Reels'!D185&lt;&gt;"class",'Reels'!D185='Reels'!D228,'Reels'!D186='Reels'!D229,OR('Reels'!D197="class",AND('Reels'!D197='Reels'!D185,'Reels'!D198='Reels'!D186)))</f>
        <v>0</v>
      </c>
      <c r="H894">
        <f>IF(G894,C894,0)</f>
        <v>0</v>
      </c>
    </row>
    <row r="895" spans="1:8" x14ac:dyDescent="0.25">
      <c r="A895" t="s">
        <v>269</v>
      </c>
      <c r="B895" t="s">
        <v>4118</v>
      </c>
      <c r="C895" s="4">
        <f>('Reels'!D187/('Reels'!D178+'Reels'!D181+'Reels'!D184+'Reels'!D187+'Reels'!D190+'Reels'!D193))*('Reels'!D199/('Reels'!D196+'Reels'!D199+'Reels'!D202+'Reels'!D205+'Reels'!D208+'Reels'!D211+'Reels'!D214))*('Reels'!D233/('Reels'!D218+'Reels'!D221+'Reels'!D224+'Reels'!D227+'Reels'!D230+'Reels'!D233))</f>
        <v>0.0032135643018914124</v>
      </c>
      <c r="D895">
        <f>IF(OR('Reels'!D185="attack",'Reels'!D185="magic"),CHOOSE('Reels'!D186+1,'Slots'!D29,'Slots'!D30,'Slots'!D31,'Slots'!D32,'Slots'!D33),0)+IF(OR('Reels'!D197="attack",'Reels'!D197="magic"),CHOOSE('Reels'!D198+1,'Slots'!D29,'Slots'!D30,'Slots'!D31,'Slots'!D32,'Slots'!D33),0)+IF(OR('Reels'!D231="attack",'Reels'!D231="magic"),CHOOSE('Reels'!D232+1,'Slots'!D29,'Slots'!D30,'Slots'!D31,'Slots'!D32,'Slots'!D33),0)</f>
        <v>4</v>
      </c>
      <c r="E895">
        <f>IF('Reels'!D185="heal",'Reels'!D186*'Slots'!D24,0)+IF('Reels'!D197="heal",'Reels'!D198*'Slots'!D24,0)+IF('Reels'!D231="heal",'Reels'!D232*'Slots'!D24,0)</f>
        <v>0</v>
      </c>
      <c r="F895">
        <f>IF('Reels'!D185="block",'Reels'!D186*'Slots'!D25,0)+IF('Reels'!D197="block",'Reels'!D198*'Slots'!D25,0)+IF('Reels'!D231="block",'Reels'!D232*'Slots'!D25,0)</f>
        <v>0</v>
      </c>
      <c r="G895" t="b">
        <f>AND('Reels'!D185&lt;&gt;"blank",'Reels'!D185&lt;&gt;"class",'Reels'!D185='Reels'!D231,'Reels'!D186='Reels'!D232,OR('Reels'!D197="class",AND('Reels'!D197='Reels'!D185,'Reels'!D198='Reels'!D186)))</f>
        <v>0</v>
      </c>
      <c r="H895">
        <f>IF(G895,C895,0)</f>
        <v>0</v>
      </c>
    </row>
    <row r="896" spans="1:8" x14ac:dyDescent="0.25">
      <c r="A896" t="s">
        <v>269</v>
      </c>
      <c r="B896" t="s">
        <v>4119</v>
      </c>
      <c r="C896" s="4">
        <f>('Reels'!D187/('Reels'!D178+'Reels'!D181+'Reels'!D184+'Reels'!D187+'Reels'!D190+'Reels'!D193))*('Reels'!D202/('Reels'!D196+'Reels'!D199+'Reels'!D202+'Reels'!D205+'Reels'!D208+'Reels'!D211+'Reels'!D214))*('Reels'!D218/('Reels'!D218+'Reels'!D221+'Reels'!D224+'Reels'!D227+'Reels'!D230+'Reels'!D233))</f>
        <v>0.003029932056069045</v>
      </c>
      <c r="D896">
        <f>IF(OR('Reels'!D185="attack",'Reels'!D185="magic"),CHOOSE('Reels'!D186+1,'Slots'!D29,'Slots'!D30,'Slots'!D31,'Slots'!D32,'Slots'!D33),0)+IF(OR('Reels'!D200="attack",'Reels'!D200="magic"),CHOOSE('Reels'!D201+1,'Slots'!D29,'Slots'!D30,'Slots'!D31,'Slots'!D32,'Slots'!D33),0)+IF(OR('Reels'!D216="attack",'Reels'!D216="magic"),CHOOSE('Reels'!D217+1,'Slots'!D29,'Slots'!D30,'Slots'!D31,'Slots'!D32,'Slots'!D33),0)</f>
        <v>2</v>
      </c>
      <c r="E896">
        <f>IF('Reels'!D185="heal",'Reels'!D186*'Slots'!D24,0)+IF('Reels'!D200="heal",'Reels'!D201*'Slots'!D24,0)+IF('Reels'!D216="heal",'Reels'!D217*'Slots'!D24,0)</f>
        <v>0</v>
      </c>
      <c r="F896">
        <f>IF('Reels'!D185="block",'Reels'!D186*'Slots'!D25,0)+IF('Reels'!D200="block",'Reels'!D201*'Slots'!D25,0)+IF('Reels'!D216="block",'Reels'!D217*'Slots'!D25,0)</f>
        <v>0</v>
      </c>
      <c r="G896" t="b">
        <f>AND('Reels'!D185&lt;&gt;"blank",'Reels'!D185&lt;&gt;"class",'Reels'!D185='Reels'!D216,'Reels'!D186='Reels'!D217,OR('Reels'!D200="class",AND('Reels'!D200='Reels'!D185,'Reels'!D201='Reels'!D186)))</f>
        <v>0</v>
      </c>
      <c r="H896">
        <f>IF(G896,C896,0)</f>
        <v>0</v>
      </c>
    </row>
    <row r="897" spans="1:8" x14ac:dyDescent="0.25">
      <c r="A897" t="s">
        <v>269</v>
      </c>
      <c r="B897" t="s">
        <v>4120</v>
      </c>
      <c r="C897" s="4">
        <f>('Reels'!D187/('Reels'!D178+'Reels'!D181+'Reels'!D184+'Reels'!D187+'Reels'!D190+'Reels'!D193))*('Reels'!D202/('Reels'!D196+'Reels'!D199+'Reels'!D202+'Reels'!D205+'Reels'!D208+'Reels'!D211+'Reels'!D214))*('Reels'!D221/('Reels'!D218+'Reels'!D221+'Reels'!D224+'Reels'!D227+'Reels'!D230+'Reels'!D233))</f>
        <v>0.0019281385811348469</v>
      </c>
      <c r="D897">
        <f>IF(OR('Reels'!D185="attack",'Reels'!D185="magic"),CHOOSE('Reels'!D186+1,'Slots'!D29,'Slots'!D30,'Slots'!D31,'Slots'!D32,'Slots'!D33),0)+IF(OR('Reels'!D200="attack",'Reels'!D200="magic"),CHOOSE('Reels'!D201+1,'Slots'!D29,'Slots'!D30,'Slots'!D31,'Slots'!D32,'Slots'!D33),0)+IF(OR('Reels'!D219="attack",'Reels'!D219="magic"),CHOOSE('Reels'!D220+1,'Slots'!D29,'Slots'!D30,'Slots'!D31,'Slots'!D32,'Slots'!D33),0)</f>
        <v>4</v>
      </c>
      <c r="E897">
        <f>IF('Reels'!D185="heal",'Reels'!D186*'Slots'!D24,0)+IF('Reels'!D200="heal",'Reels'!D201*'Slots'!D24,0)+IF('Reels'!D219="heal",'Reels'!D220*'Slots'!D24,0)</f>
        <v>0</v>
      </c>
      <c r="F897">
        <f>IF('Reels'!D185="block",'Reels'!D186*'Slots'!D25,0)+IF('Reels'!D200="block",'Reels'!D201*'Slots'!D25,0)+IF('Reels'!D219="block",'Reels'!D220*'Slots'!D25,0)</f>
        <v>0</v>
      </c>
      <c r="G897" t="b">
        <f>AND('Reels'!D185&lt;&gt;"blank",'Reels'!D185&lt;&gt;"class",'Reels'!D185='Reels'!D219,'Reels'!D186='Reels'!D220,OR('Reels'!D200="class",AND('Reels'!D200='Reels'!D185,'Reels'!D201='Reels'!D186)))</f>
        <v>0</v>
      </c>
      <c r="H897">
        <f>IF(G897,C897,0)</f>
        <v>0</v>
      </c>
    </row>
    <row r="898" spans="1:8" x14ac:dyDescent="0.25">
      <c r="A898" t="s">
        <v>269</v>
      </c>
      <c r="B898" t="s">
        <v>4121</v>
      </c>
      <c r="C898" s="4">
        <f>('Reels'!D187/('Reels'!D178+'Reels'!D181+'Reels'!D184+'Reels'!D187+'Reels'!D190+'Reels'!D193))*('Reels'!D202/('Reels'!D196+'Reels'!D199+'Reels'!D202+'Reels'!D205+'Reels'!D208+'Reels'!D211+'Reels'!D214))*('Reels'!D224/('Reels'!D218+'Reels'!D221+'Reels'!D224+'Reels'!D227+'Reels'!D230+'Reels'!D233))</f>
        <v>0.0008263451062006487</v>
      </c>
      <c r="D898">
        <f>IF(OR('Reels'!D185="attack",'Reels'!D185="magic"),CHOOSE('Reels'!D186+1,'Slots'!D29,'Slots'!D30,'Slots'!D31,'Slots'!D32,'Slots'!D33),0)+IF(OR('Reels'!D200="attack",'Reels'!D200="magic"),CHOOSE('Reels'!D201+1,'Slots'!D29,'Slots'!D30,'Slots'!D31,'Slots'!D32,'Slots'!D33),0)+IF(OR('Reels'!D222="attack",'Reels'!D222="magic"),CHOOSE('Reels'!D223+1,'Slots'!D29,'Slots'!D30,'Slots'!D31,'Slots'!D32,'Slots'!D33),0)</f>
        <v>0</v>
      </c>
      <c r="E898">
        <f>IF('Reels'!D185="heal",'Reels'!D186*'Slots'!D24,0)+IF('Reels'!D200="heal",'Reels'!D201*'Slots'!D24,0)+IF('Reels'!D222="heal",'Reels'!D223*'Slots'!D24,0)</f>
        <v>0</v>
      </c>
      <c r="F898">
        <f>IF('Reels'!D185="block",'Reels'!D186*'Slots'!D25,0)+IF('Reels'!D200="block",'Reels'!D201*'Slots'!D25,0)+IF('Reels'!D222="block",'Reels'!D223*'Slots'!D25,0)</f>
        <v>0</v>
      </c>
      <c r="G898" t="b">
        <f>AND('Reels'!D185&lt;&gt;"blank",'Reels'!D185&lt;&gt;"class",'Reels'!D185='Reels'!D222,'Reels'!D186='Reels'!D223,OR('Reels'!D200="class",AND('Reels'!D200='Reels'!D185,'Reels'!D201='Reels'!D186)))</f>
        <v>0</v>
      </c>
      <c r="H898">
        <f>IF(G898,C898,0)</f>
        <v>0</v>
      </c>
    </row>
    <row r="899" spans="1:8" x14ac:dyDescent="0.25">
      <c r="A899" t="s">
        <v>269</v>
      </c>
      <c r="B899" t="s">
        <v>4122</v>
      </c>
      <c r="C899" s="4">
        <f>('Reels'!D187/('Reels'!D178+'Reels'!D181+'Reels'!D184+'Reels'!D187+'Reels'!D190+'Reels'!D193))*('Reels'!D202/('Reels'!D196+'Reels'!D199+'Reels'!D202+'Reels'!D205+'Reels'!D208+'Reels'!D211+'Reels'!D214))*('Reels'!D227/('Reels'!D218+'Reels'!D221+'Reels'!D224+'Reels'!D227+'Reels'!D230+'Reels'!D233))</f>
        <v>0.0008263451062006487</v>
      </c>
      <c r="D899">
        <f>IF(OR('Reels'!D185="attack",'Reels'!D185="magic"),CHOOSE('Reels'!D186+1,'Slots'!D29,'Slots'!D30,'Slots'!D31,'Slots'!D32,'Slots'!D33),0)+IF(OR('Reels'!D200="attack",'Reels'!D200="magic"),CHOOSE('Reels'!D201+1,'Slots'!D29,'Slots'!D30,'Slots'!D31,'Slots'!D32,'Slots'!D33),0)+IF(OR('Reels'!D225="attack",'Reels'!D225="magic"),CHOOSE('Reels'!D226+1,'Slots'!D29,'Slots'!D30,'Slots'!D31,'Slots'!D32,'Slots'!D33),0)</f>
        <v>0</v>
      </c>
      <c r="E899">
        <f>IF('Reels'!D185="heal",'Reels'!D186*'Slots'!D24,0)+IF('Reels'!D200="heal",'Reels'!D201*'Slots'!D24,0)+IF('Reels'!D225="heal",'Reels'!D226*'Slots'!D24,0)</f>
        <v>0</v>
      </c>
      <c r="F899">
        <f>IF('Reels'!D185="block",'Reels'!D186*'Slots'!D25,0)+IF('Reels'!D200="block",'Reels'!D201*'Slots'!D25,0)+IF('Reels'!D225="block",'Reels'!D226*'Slots'!D25,0)</f>
        <v>0</v>
      </c>
      <c r="G899" t="b">
        <f>AND('Reels'!D185&lt;&gt;"blank",'Reels'!D185&lt;&gt;"class",'Reels'!D185='Reels'!D225,'Reels'!D186='Reels'!D226,OR('Reels'!D200="class",AND('Reels'!D200='Reels'!D185,'Reels'!D201='Reels'!D186)))</f>
        <v>0</v>
      </c>
      <c r="H899">
        <f>IF(G899,C899,0)</f>
        <v>0</v>
      </c>
    </row>
    <row r="900" spans="1:8" x14ac:dyDescent="0.25">
      <c r="A900" t="s">
        <v>269</v>
      </c>
      <c r="B900" t="s">
        <v>4123</v>
      </c>
      <c r="C900" s="4">
        <f>('Reels'!D187/('Reels'!D178+'Reels'!D181+'Reels'!D184+'Reels'!D187+'Reels'!D190+'Reels'!D193))*('Reels'!D202/('Reels'!D196+'Reels'!D199+'Reels'!D202+'Reels'!D205+'Reels'!D208+'Reels'!D211+'Reels'!D214))*('Reels'!D230/('Reels'!D218+'Reels'!D221+'Reels'!D224+'Reels'!D227+'Reels'!D230+'Reels'!D233))</f>
        <v>0.0005508967374670992</v>
      </c>
      <c r="D900">
        <f>IF(OR('Reels'!D185="attack",'Reels'!D185="magic"),CHOOSE('Reels'!D186+1,'Slots'!D29,'Slots'!D30,'Slots'!D31,'Slots'!D32,'Slots'!D33),0)+IF(OR('Reels'!D200="attack",'Reels'!D200="magic"),CHOOSE('Reels'!D201+1,'Slots'!D29,'Slots'!D30,'Slots'!D31,'Slots'!D32,'Slots'!D33),0)+IF(OR('Reels'!D228="attack",'Reels'!D228="magic"),CHOOSE('Reels'!D229+1,'Slots'!D29,'Slots'!D30,'Slots'!D31,'Slots'!D32,'Slots'!D33),0)</f>
        <v>0</v>
      </c>
      <c r="E900">
        <f>IF('Reels'!D185="heal",'Reels'!D186*'Slots'!D24,0)+IF('Reels'!D200="heal",'Reels'!D201*'Slots'!D24,0)+IF('Reels'!D228="heal",'Reels'!D229*'Slots'!D24,0)</f>
        <v>0</v>
      </c>
      <c r="F900">
        <f>IF('Reels'!D185="block",'Reels'!D186*'Slots'!D25,0)+IF('Reels'!D200="block",'Reels'!D201*'Slots'!D25,0)+IF('Reels'!D228="block",'Reels'!D229*'Slots'!D25,0)</f>
        <v>1</v>
      </c>
      <c r="G900" t="b">
        <f>AND('Reels'!D185&lt;&gt;"blank",'Reels'!D185&lt;&gt;"class",'Reels'!D185='Reels'!D228,'Reels'!D186='Reels'!D229,OR('Reels'!D200="class",AND('Reels'!D200='Reels'!D185,'Reels'!D201='Reels'!D186)))</f>
        <v>0</v>
      </c>
      <c r="H900">
        <f>IF(G900,C900,0)</f>
        <v>0</v>
      </c>
    </row>
    <row r="901" spans="1:8" x14ac:dyDescent="0.25">
      <c r="A901" t="s">
        <v>269</v>
      </c>
      <c r="B901" t="s">
        <v>4124</v>
      </c>
      <c r="C901" s="4">
        <f>('Reels'!D187/('Reels'!D178+'Reels'!D181+'Reels'!D184+'Reels'!D187+'Reels'!D190+'Reels'!D193))*('Reels'!D202/('Reels'!D196+'Reels'!D199+'Reels'!D202+'Reels'!D205+'Reels'!D208+'Reels'!D211+'Reels'!D214))*('Reels'!D233/('Reels'!D218+'Reels'!D221+'Reels'!D224+'Reels'!D227+'Reels'!D230+'Reels'!D233))</f>
        <v>0.0013772418436677478</v>
      </c>
      <c r="D901">
        <f>IF(OR('Reels'!D185="attack",'Reels'!D185="magic"),CHOOSE('Reels'!D186+1,'Slots'!D29,'Slots'!D30,'Slots'!D31,'Slots'!D32,'Slots'!D33),0)+IF(OR('Reels'!D200="attack",'Reels'!D200="magic"),CHOOSE('Reels'!D201+1,'Slots'!D29,'Slots'!D30,'Slots'!D31,'Slots'!D32,'Slots'!D33),0)+IF(OR('Reels'!D231="attack",'Reels'!D231="magic"),CHOOSE('Reels'!D232+1,'Slots'!D29,'Slots'!D30,'Slots'!D31,'Slots'!D32,'Slots'!D33),0)</f>
        <v>0</v>
      </c>
      <c r="E901">
        <f>IF('Reels'!D185="heal",'Reels'!D186*'Slots'!D24,0)+IF('Reels'!D200="heal",'Reels'!D201*'Slots'!D24,0)+IF('Reels'!D231="heal",'Reels'!D232*'Slots'!D24,0)</f>
        <v>0</v>
      </c>
      <c r="F901">
        <f>IF('Reels'!D185="block",'Reels'!D186*'Slots'!D25,0)+IF('Reels'!D200="block",'Reels'!D201*'Slots'!D25,0)+IF('Reels'!D231="block",'Reels'!D232*'Slots'!D25,0)</f>
        <v>0</v>
      </c>
      <c r="G901" t="b">
        <f>AND('Reels'!D185&lt;&gt;"blank",'Reels'!D185&lt;&gt;"class",'Reels'!D185='Reels'!D231,'Reels'!D186='Reels'!D232,OR('Reels'!D200="class",AND('Reels'!D200='Reels'!D185,'Reels'!D201='Reels'!D186)))</f>
        <v>0</v>
      </c>
      <c r="H901">
        <f>IF(G901,C901,0)</f>
        <v>0</v>
      </c>
    </row>
    <row r="902" spans="1:8" x14ac:dyDescent="0.25">
      <c r="A902" t="s">
        <v>269</v>
      </c>
      <c r="B902" t="s">
        <v>4125</v>
      </c>
      <c r="C902" s="4">
        <f>('Reels'!D187/('Reels'!D178+'Reels'!D181+'Reels'!D184+'Reels'!D187+'Reels'!D190+'Reels'!D193))*('Reels'!D205/('Reels'!D196+'Reels'!D199+'Reels'!D202+'Reels'!D205+'Reels'!D208+'Reels'!D211+'Reels'!D214))*('Reels'!D218/('Reels'!D218+'Reels'!D221+'Reels'!D224+'Reels'!D227+'Reels'!D230+'Reels'!D233))</f>
        <v>0.003029932056069045</v>
      </c>
      <c r="D902">
        <f>IF(OR('Reels'!D185="attack",'Reels'!D185="magic"),CHOOSE('Reels'!D186+1,'Slots'!D29,'Slots'!D30,'Slots'!D31,'Slots'!D32,'Slots'!D33),0)+IF(OR('Reels'!D203="attack",'Reels'!D203="magic"),CHOOSE('Reels'!D204+1,'Slots'!D29,'Slots'!D30,'Slots'!D31,'Slots'!D32,'Slots'!D33),0)+IF(OR('Reels'!D216="attack",'Reels'!D216="magic"),CHOOSE('Reels'!D217+1,'Slots'!D29,'Slots'!D30,'Slots'!D31,'Slots'!D32,'Slots'!D33),0)</f>
        <v>2</v>
      </c>
      <c r="E902">
        <f>IF('Reels'!D185="heal",'Reels'!D186*'Slots'!D24,0)+IF('Reels'!D203="heal",'Reels'!D204*'Slots'!D24,0)+IF('Reels'!D216="heal",'Reels'!D217*'Slots'!D24,0)</f>
        <v>0</v>
      </c>
      <c r="F902">
        <f>IF('Reels'!D185="block",'Reels'!D186*'Slots'!D25,0)+IF('Reels'!D203="block",'Reels'!D204*'Slots'!D25,0)+IF('Reels'!D216="block",'Reels'!D217*'Slots'!D25,0)</f>
        <v>0</v>
      </c>
      <c r="G902" t="b">
        <f>AND('Reels'!D185&lt;&gt;"blank",'Reels'!D185&lt;&gt;"class",'Reels'!D185='Reels'!D216,'Reels'!D186='Reels'!D217,OR('Reels'!D203="class",AND('Reels'!D203='Reels'!D185,'Reels'!D204='Reels'!D186)))</f>
        <v>0</v>
      </c>
      <c r="H902">
        <f>IF(G902,C902,0)</f>
        <v>0</v>
      </c>
    </row>
    <row r="903" spans="1:8" x14ac:dyDescent="0.25">
      <c r="A903" t="s">
        <v>269</v>
      </c>
      <c r="B903" t="s">
        <v>4126</v>
      </c>
      <c r="C903" s="4">
        <f>('Reels'!D187/('Reels'!D178+'Reels'!D181+'Reels'!D184+'Reels'!D187+'Reels'!D190+'Reels'!D193))*('Reels'!D205/('Reels'!D196+'Reels'!D199+'Reels'!D202+'Reels'!D205+'Reels'!D208+'Reels'!D211+'Reels'!D214))*('Reels'!D221/('Reels'!D218+'Reels'!D221+'Reels'!D224+'Reels'!D227+'Reels'!D230+'Reels'!D233))</f>
        <v>0.0019281385811348469</v>
      </c>
      <c r="D903">
        <f>IF(OR('Reels'!D185="attack",'Reels'!D185="magic"),CHOOSE('Reels'!D186+1,'Slots'!D29,'Slots'!D30,'Slots'!D31,'Slots'!D32,'Slots'!D33),0)+IF(OR('Reels'!D203="attack",'Reels'!D203="magic"),CHOOSE('Reels'!D204+1,'Slots'!D29,'Slots'!D30,'Slots'!D31,'Slots'!D32,'Slots'!D33),0)+IF(OR('Reels'!D219="attack",'Reels'!D219="magic"),CHOOSE('Reels'!D220+1,'Slots'!D29,'Slots'!D30,'Slots'!D31,'Slots'!D32,'Slots'!D33),0)</f>
        <v>4</v>
      </c>
      <c r="E903">
        <f>IF('Reels'!D185="heal",'Reels'!D186*'Slots'!D24,0)+IF('Reels'!D203="heal",'Reels'!D204*'Slots'!D24,0)+IF('Reels'!D219="heal",'Reels'!D220*'Slots'!D24,0)</f>
        <v>0</v>
      </c>
      <c r="F903">
        <f>IF('Reels'!D185="block",'Reels'!D186*'Slots'!D25,0)+IF('Reels'!D203="block",'Reels'!D204*'Slots'!D25,0)+IF('Reels'!D219="block",'Reels'!D220*'Slots'!D25,0)</f>
        <v>0</v>
      </c>
      <c r="G903" t="b">
        <f>AND('Reels'!D185&lt;&gt;"blank",'Reels'!D185&lt;&gt;"class",'Reels'!D185='Reels'!D219,'Reels'!D186='Reels'!D220,OR('Reels'!D203="class",AND('Reels'!D203='Reels'!D185,'Reels'!D204='Reels'!D186)))</f>
        <v>0</v>
      </c>
      <c r="H903">
        <f>IF(G903,C903,0)</f>
        <v>0</v>
      </c>
    </row>
    <row r="904" spans="1:8" x14ac:dyDescent="0.25">
      <c r="A904" t="s">
        <v>269</v>
      </c>
      <c r="B904" t="s">
        <v>4127</v>
      </c>
      <c r="C904" s="4">
        <f>('Reels'!D187/('Reels'!D178+'Reels'!D181+'Reels'!D184+'Reels'!D187+'Reels'!D190+'Reels'!D193))*('Reels'!D205/('Reels'!D196+'Reels'!D199+'Reels'!D202+'Reels'!D205+'Reels'!D208+'Reels'!D211+'Reels'!D214))*('Reels'!D224/('Reels'!D218+'Reels'!D221+'Reels'!D224+'Reels'!D227+'Reels'!D230+'Reels'!D233))</f>
        <v>0.0008263451062006487</v>
      </c>
      <c r="D904">
        <f>IF(OR('Reels'!D185="attack",'Reels'!D185="magic"),CHOOSE('Reels'!D186+1,'Slots'!D29,'Slots'!D30,'Slots'!D31,'Slots'!D32,'Slots'!D33),0)+IF(OR('Reels'!D203="attack",'Reels'!D203="magic"),CHOOSE('Reels'!D204+1,'Slots'!D29,'Slots'!D30,'Slots'!D31,'Slots'!D32,'Slots'!D33),0)+IF(OR('Reels'!D222="attack",'Reels'!D222="magic"),CHOOSE('Reels'!D223+1,'Slots'!D29,'Slots'!D30,'Slots'!D31,'Slots'!D32,'Slots'!D33),0)</f>
        <v>0</v>
      </c>
      <c r="E904">
        <f>IF('Reels'!D185="heal",'Reels'!D186*'Slots'!D24,0)+IF('Reels'!D203="heal",'Reels'!D204*'Slots'!D24,0)+IF('Reels'!D222="heal",'Reels'!D223*'Slots'!D24,0)</f>
        <v>0</v>
      </c>
      <c r="F904">
        <f>IF('Reels'!D185="block",'Reels'!D186*'Slots'!D25,0)+IF('Reels'!D203="block",'Reels'!D204*'Slots'!D25,0)+IF('Reels'!D222="block",'Reels'!D223*'Slots'!D25,0)</f>
        <v>0</v>
      </c>
      <c r="G904" t="b">
        <f>AND('Reels'!D185&lt;&gt;"blank",'Reels'!D185&lt;&gt;"class",'Reels'!D185='Reels'!D222,'Reels'!D186='Reels'!D223,OR('Reels'!D203="class",AND('Reels'!D203='Reels'!D185,'Reels'!D204='Reels'!D186)))</f>
        <v>0</v>
      </c>
      <c r="H904">
        <f>IF(G904,C904,0)</f>
        <v>0</v>
      </c>
    </row>
    <row r="905" spans="1:8" x14ac:dyDescent="0.25">
      <c r="A905" t="s">
        <v>269</v>
      </c>
      <c r="B905" t="s">
        <v>4128</v>
      </c>
      <c r="C905" s="4">
        <f>('Reels'!D187/('Reels'!D178+'Reels'!D181+'Reels'!D184+'Reels'!D187+'Reels'!D190+'Reels'!D193))*('Reels'!D205/('Reels'!D196+'Reels'!D199+'Reels'!D202+'Reels'!D205+'Reels'!D208+'Reels'!D211+'Reels'!D214))*('Reels'!D227/('Reels'!D218+'Reels'!D221+'Reels'!D224+'Reels'!D227+'Reels'!D230+'Reels'!D233))</f>
        <v>0.0008263451062006487</v>
      </c>
      <c r="D905">
        <f>IF(OR('Reels'!D185="attack",'Reels'!D185="magic"),CHOOSE('Reels'!D186+1,'Slots'!D29,'Slots'!D30,'Slots'!D31,'Slots'!D32,'Slots'!D33),0)+IF(OR('Reels'!D203="attack",'Reels'!D203="magic"),CHOOSE('Reels'!D204+1,'Slots'!D29,'Slots'!D30,'Slots'!D31,'Slots'!D32,'Slots'!D33),0)+IF(OR('Reels'!D225="attack",'Reels'!D225="magic"),CHOOSE('Reels'!D226+1,'Slots'!D29,'Slots'!D30,'Slots'!D31,'Slots'!D32,'Slots'!D33),0)</f>
        <v>0</v>
      </c>
      <c r="E905">
        <f>IF('Reels'!D185="heal",'Reels'!D186*'Slots'!D24,0)+IF('Reels'!D203="heal",'Reels'!D204*'Slots'!D24,0)+IF('Reels'!D225="heal",'Reels'!D226*'Slots'!D24,0)</f>
        <v>0</v>
      </c>
      <c r="F905">
        <f>IF('Reels'!D185="block",'Reels'!D186*'Slots'!D25,0)+IF('Reels'!D203="block",'Reels'!D204*'Slots'!D25,0)+IF('Reels'!D225="block",'Reels'!D226*'Slots'!D25,0)</f>
        <v>0</v>
      </c>
      <c r="G905" t="b">
        <f>AND('Reels'!D185&lt;&gt;"blank",'Reels'!D185&lt;&gt;"class",'Reels'!D185='Reels'!D225,'Reels'!D186='Reels'!D226,OR('Reels'!D203="class",AND('Reels'!D203='Reels'!D185,'Reels'!D204='Reels'!D186)))</f>
        <v>1</v>
      </c>
      <c r="H905">
        <f>IF(G905,C905,0)</f>
        <v>0.0008263451062006487</v>
      </c>
    </row>
    <row r="906" spans="1:8" x14ac:dyDescent="0.25">
      <c r="A906" t="s">
        <v>269</v>
      </c>
      <c r="B906" t="s">
        <v>4129</v>
      </c>
      <c r="C906" s="4">
        <f>('Reels'!D187/('Reels'!D178+'Reels'!D181+'Reels'!D184+'Reels'!D187+'Reels'!D190+'Reels'!D193))*('Reels'!D205/('Reels'!D196+'Reels'!D199+'Reels'!D202+'Reels'!D205+'Reels'!D208+'Reels'!D211+'Reels'!D214))*('Reels'!D230/('Reels'!D218+'Reels'!D221+'Reels'!D224+'Reels'!D227+'Reels'!D230+'Reels'!D233))</f>
        <v>0.0005508967374670992</v>
      </c>
      <c r="D906">
        <f>IF(OR('Reels'!D185="attack",'Reels'!D185="magic"),CHOOSE('Reels'!D186+1,'Slots'!D29,'Slots'!D30,'Slots'!D31,'Slots'!D32,'Slots'!D33),0)+IF(OR('Reels'!D203="attack",'Reels'!D203="magic"),CHOOSE('Reels'!D204+1,'Slots'!D29,'Slots'!D30,'Slots'!D31,'Slots'!D32,'Slots'!D33),0)+IF(OR('Reels'!D228="attack",'Reels'!D228="magic"),CHOOSE('Reels'!D229+1,'Slots'!D29,'Slots'!D30,'Slots'!D31,'Slots'!D32,'Slots'!D33),0)</f>
        <v>0</v>
      </c>
      <c r="E906">
        <f>IF('Reels'!D185="heal",'Reels'!D186*'Slots'!D24,0)+IF('Reels'!D203="heal",'Reels'!D204*'Slots'!D24,0)+IF('Reels'!D228="heal",'Reels'!D229*'Slots'!D24,0)</f>
        <v>0</v>
      </c>
      <c r="F906">
        <f>IF('Reels'!D185="block",'Reels'!D186*'Slots'!D25,0)+IF('Reels'!D203="block",'Reels'!D204*'Slots'!D25,0)+IF('Reels'!D228="block",'Reels'!D229*'Slots'!D25,0)</f>
        <v>1</v>
      </c>
      <c r="G906" t="b">
        <f>AND('Reels'!D185&lt;&gt;"blank",'Reels'!D185&lt;&gt;"class",'Reels'!D185='Reels'!D228,'Reels'!D186='Reels'!D229,OR('Reels'!D203="class",AND('Reels'!D203='Reels'!D185,'Reels'!D204='Reels'!D186)))</f>
        <v>0</v>
      </c>
      <c r="H906">
        <f>IF(G906,C906,0)</f>
        <v>0</v>
      </c>
    </row>
    <row r="907" spans="1:8" x14ac:dyDescent="0.25">
      <c r="A907" t="s">
        <v>269</v>
      </c>
      <c r="B907" t="s">
        <v>4130</v>
      </c>
      <c r="C907" s="4">
        <f>('Reels'!D187/('Reels'!D178+'Reels'!D181+'Reels'!D184+'Reels'!D187+'Reels'!D190+'Reels'!D193))*('Reels'!D205/('Reels'!D196+'Reels'!D199+'Reels'!D202+'Reels'!D205+'Reels'!D208+'Reels'!D211+'Reels'!D214))*('Reels'!D233/('Reels'!D218+'Reels'!D221+'Reels'!D224+'Reels'!D227+'Reels'!D230+'Reels'!D233))</f>
        <v>0.0013772418436677478</v>
      </c>
      <c r="D907">
        <f>IF(OR('Reels'!D185="attack",'Reels'!D185="magic"),CHOOSE('Reels'!D186+1,'Slots'!D29,'Slots'!D30,'Slots'!D31,'Slots'!D32,'Slots'!D33),0)+IF(OR('Reels'!D203="attack",'Reels'!D203="magic"),CHOOSE('Reels'!D204+1,'Slots'!D29,'Slots'!D30,'Slots'!D31,'Slots'!D32,'Slots'!D33),0)+IF(OR('Reels'!D231="attack",'Reels'!D231="magic"),CHOOSE('Reels'!D232+1,'Slots'!D29,'Slots'!D30,'Slots'!D31,'Slots'!D32,'Slots'!D33),0)</f>
        <v>0</v>
      </c>
      <c r="E907">
        <f>IF('Reels'!D185="heal",'Reels'!D186*'Slots'!D24,0)+IF('Reels'!D203="heal",'Reels'!D204*'Slots'!D24,0)+IF('Reels'!D231="heal",'Reels'!D232*'Slots'!D24,0)</f>
        <v>0</v>
      </c>
      <c r="F907">
        <f>IF('Reels'!D185="block",'Reels'!D186*'Slots'!D25,0)+IF('Reels'!D203="block",'Reels'!D204*'Slots'!D25,0)+IF('Reels'!D231="block",'Reels'!D232*'Slots'!D25,0)</f>
        <v>0</v>
      </c>
      <c r="G907" t="b">
        <f>AND('Reels'!D185&lt;&gt;"blank",'Reels'!D185&lt;&gt;"class",'Reels'!D185='Reels'!D231,'Reels'!D186='Reels'!D232,OR('Reels'!D203="class",AND('Reels'!D203='Reels'!D185,'Reels'!D204='Reels'!D186)))</f>
        <v>0</v>
      </c>
      <c r="H907">
        <f>IF(G907,C907,0)</f>
        <v>0</v>
      </c>
    </row>
    <row r="908" spans="1:8" x14ac:dyDescent="0.25">
      <c r="A908" t="s">
        <v>269</v>
      </c>
      <c r="B908" t="s">
        <v>4131</v>
      </c>
      <c r="C908" s="4">
        <f>('Reels'!D187/('Reels'!D178+'Reels'!D181+'Reels'!D184+'Reels'!D187+'Reels'!D190+'Reels'!D193))*('Reels'!D208/('Reels'!D196+'Reels'!D199+'Reels'!D202+'Reels'!D205+'Reels'!D208+'Reels'!D211+'Reels'!D214))*('Reels'!D218/('Reels'!D218+'Reels'!D221+'Reels'!D224+'Reels'!D227+'Reels'!D230+'Reels'!D233))</f>
        <v>0.0020199547040460307</v>
      </c>
      <c r="D908">
        <f>IF(OR('Reels'!D185="attack",'Reels'!D185="magic"),CHOOSE('Reels'!D186+1,'Slots'!D29,'Slots'!D30,'Slots'!D31,'Slots'!D32,'Slots'!D33),0)+IF(OR('Reels'!D206="attack",'Reels'!D206="magic"),CHOOSE('Reels'!D207+1,'Slots'!D29,'Slots'!D30,'Slots'!D31,'Slots'!D32,'Slots'!D33),0)+IF(OR('Reels'!D216="attack",'Reels'!D216="magic"),CHOOSE('Reels'!D217+1,'Slots'!D29,'Slots'!D30,'Slots'!D31,'Slots'!D32,'Slots'!D33),0)</f>
        <v>2</v>
      </c>
      <c r="E908">
        <f>IF('Reels'!D185="heal",'Reels'!D186*'Slots'!D24,0)+IF('Reels'!D206="heal",'Reels'!D207*'Slots'!D24,0)+IF('Reels'!D216="heal",'Reels'!D217*'Slots'!D24,0)</f>
        <v>0</v>
      </c>
      <c r="F908">
        <f>IF('Reels'!D185="block",'Reels'!D186*'Slots'!D25,0)+IF('Reels'!D206="block",'Reels'!D207*'Slots'!D25,0)+IF('Reels'!D216="block",'Reels'!D217*'Slots'!D25,0)</f>
        <v>1</v>
      </c>
      <c r="G908" t="b">
        <f>AND('Reels'!D185&lt;&gt;"blank",'Reels'!D185&lt;&gt;"class",'Reels'!D185='Reels'!D216,'Reels'!D186='Reels'!D217,OR('Reels'!D206="class",AND('Reels'!D206='Reels'!D185,'Reels'!D207='Reels'!D186)))</f>
        <v>0</v>
      </c>
      <c r="H908">
        <f>IF(G908,C908,0)</f>
        <v>0</v>
      </c>
    </row>
    <row r="909" spans="1:8" x14ac:dyDescent="0.25">
      <c r="A909" t="s">
        <v>269</v>
      </c>
      <c r="B909" t="s">
        <v>4132</v>
      </c>
      <c r="C909" s="4">
        <f>('Reels'!D187/('Reels'!D178+'Reels'!D181+'Reels'!D184+'Reels'!D187+'Reels'!D190+'Reels'!D193))*('Reels'!D208/('Reels'!D196+'Reels'!D199+'Reels'!D202+'Reels'!D205+'Reels'!D208+'Reels'!D211+'Reels'!D214))*('Reels'!D221/('Reels'!D218+'Reels'!D221+'Reels'!D224+'Reels'!D227+'Reels'!D230+'Reels'!D233))</f>
        <v>0.0012854257207565649</v>
      </c>
      <c r="D909">
        <f>IF(OR('Reels'!D185="attack",'Reels'!D185="magic"),CHOOSE('Reels'!D186+1,'Slots'!D29,'Slots'!D30,'Slots'!D31,'Slots'!D32,'Slots'!D33),0)+IF(OR('Reels'!D206="attack",'Reels'!D206="magic"),CHOOSE('Reels'!D207+1,'Slots'!D29,'Slots'!D30,'Slots'!D31,'Slots'!D32,'Slots'!D33),0)+IF(OR('Reels'!D219="attack",'Reels'!D219="magic"),CHOOSE('Reels'!D220+1,'Slots'!D29,'Slots'!D30,'Slots'!D31,'Slots'!D32,'Slots'!D33),0)</f>
        <v>4</v>
      </c>
      <c r="E909">
        <f>IF('Reels'!D185="heal",'Reels'!D186*'Slots'!D24,0)+IF('Reels'!D206="heal",'Reels'!D207*'Slots'!D24,0)+IF('Reels'!D219="heal",'Reels'!D220*'Slots'!D24,0)</f>
        <v>0</v>
      </c>
      <c r="F909">
        <f>IF('Reels'!D185="block",'Reels'!D186*'Slots'!D25,0)+IF('Reels'!D206="block",'Reels'!D207*'Slots'!D25,0)+IF('Reels'!D219="block",'Reels'!D220*'Slots'!D25,0)</f>
        <v>1</v>
      </c>
      <c r="G909" t="b">
        <f>AND('Reels'!D185&lt;&gt;"blank",'Reels'!D185&lt;&gt;"class",'Reels'!D185='Reels'!D219,'Reels'!D186='Reels'!D220,OR('Reels'!D206="class",AND('Reels'!D206='Reels'!D185,'Reels'!D207='Reels'!D186)))</f>
        <v>0</v>
      </c>
      <c r="H909">
        <f>IF(G909,C909,0)</f>
        <v>0</v>
      </c>
    </row>
    <row r="910" spans="1:8" x14ac:dyDescent="0.25">
      <c r="A910" t="s">
        <v>269</v>
      </c>
      <c r="B910" t="s">
        <v>4133</v>
      </c>
      <c r="C910" s="4">
        <f>('Reels'!D187/('Reels'!D178+'Reels'!D181+'Reels'!D184+'Reels'!D187+'Reels'!D190+'Reels'!D193))*('Reels'!D208/('Reels'!D196+'Reels'!D199+'Reels'!D202+'Reels'!D205+'Reels'!D208+'Reels'!D211+'Reels'!D214))*('Reels'!D224/('Reels'!D218+'Reels'!D221+'Reels'!D224+'Reels'!D227+'Reels'!D230+'Reels'!D233))</f>
        <v>0.0005508967374670993</v>
      </c>
      <c r="D910">
        <f>IF(OR('Reels'!D185="attack",'Reels'!D185="magic"),CHOOSE('Reels'!D186+1,'Slots'!D29,'Slots'!D30,'Slots'!D31,'Slots'!D32,'Slots'!D33),0)+IF(OR('Reels'!D206="attack",'Reels'!D206="magic"),CHOOSE('Reels'!D207+1,'Slots'!D29,'Slots'!D30,'Slots'!D31,'Slots'!D32,'Slots'!D33),0)+IF(OR('Reels'!D222="attack",'Reels'!D222="magic"),CHOOSE('Reels'!D223+1,'Slots'!D29,'Slots'!D30,'Slots'!D31,'Slots'!D32,'Slots'!D33),0)</f>
        <v>0</v>
      </c>
      <c r="E910">
        <f>IF('Reels'!D185="heal",'Reels'!D186*'Slots'!D24,0)+IF('Reels'!D206="heal",'Reels'!D207*'Slots'!D24,0)+IF('Reels'!D222="heal",'Reels'!D223*'Slots'!D24,0)</f>
        <v>0</v>
      </c>
      <c r="F910">
        <f>IF('Reels'!D185="block",'Reels'!D186*'Slots'!D25,0)+IF('Reels'!D206="block",'Reels'!D207*'Slots'!D25,0)+IF('Reels'!D222="block",'Reels'!D223*'Slots'!D25,0)</f>
        <v>1</v>
      </c>
      <c r="G910" t="b">
        <f>AND('Reels'!D185&lt;&gt;"blank",'Reels'!D185&lt;&gt;"class",'Reels'!D185='Reels'!D222,'Reels'!D186='Reels'!D223,OR('Reels'!D206="class",AND('Reels'!D206='Reels'!D185,'Reels'!D207='Reels'!D186)))</f>
        <v>0</v>
      </c>
      <c r="H910">
        <f>IF(G910,C910,0)</f>
        <v>0</v>
      </c>
    </row>
    <row r="911" spans="1:8" x14ac:dyDescent="0.25">
      <c r="A911" t="s">
        <v>269</v>
      </c>
      <c r="B911" t="s">
        <v>4134</v>
      </c>
      <c r="C911" s="4">
        <f>('Reels'!D187/('Reels'!D178+'Reels'!D181+'Reels'!D184+'Reels'!D187+'Reels'!D190+'Reels'!D193))*('Reels'!D208/('Reels'!D196+'Reels'!D199+'Reels'!D202+'Reels'!D205+'Reels'!D208+'Reels'!D211+'Reels'!D214))*('Reels'!D227/('Reels'!D218+'Reels'!D221+'Reels'!D224+'Reels'!D227+'Reels'!D230+'Reels'!D233))</f>
        <v>0.0005508967374670993</v>
      </c>
      <c r="D911">
        <f>IF(OR('Reels'!D185="attack",'Reels'!D185="magic"),CHOOSE('Reels'!D186+1,'Slots'!D29,'Slots'!D30,'Slots'!D31,'Slots'!D32,'Slots'!D33),0)+IF(OR('Reels'!D206="attack",'Reels'!D206="magic"),CHOOSE('Reels'!D207+1,'Slots'!D29,'Slots'!D30,'Slots'!D31,'Slots'!D32,'Slots'!D33),0)+IF(OR('Reels'!D225="attack",'Reels'!D225="magic"),CHOOSE('Reels'!D226+1,'Slots'!D29,'Slots'!D30,'Slots'!D31,'Slots'!D32,'Slots'!D33),0)</f>
        <v>0</v>
      </c>
      <c r="E911">
        <f>IF('Reels'!D185="heal",'Reels'!D186*'Slots'!D24,0)+IF('Reels'!D206="heal",'Reels'!D207*'Slots'!D24,0)+IF('Reels'!D225="heal",'Reels'!D226*'Slots'!D24,0)</f>
        <v>0</v>
      </c>
      <c r="F911">
        <f>IF('Reels'!D185="block",'Reels'!D186*'Slots'!D25,0)+IF('Reels'!D206="block",'Reels'!D207*'Slots'!D25,0)+IF('Reels'!D225="block",'Reels'!D226*'Slots'!D25,0)</f>
        <v>1</v>
      </c>
      <c r="G911" t="b">
        <f>AND('Reels'!D185&lt;&gt;"blank",'Reels'!D185&lt;&gt;"class",'Reels'!D185='Reels'!D225,'Reels'!D186='Reels'!D226,OR('Reels'!D206="class",AND('Reels'!D206='Reels'!D185,'Reels'!D207='Reels'!D186)))</f>
        <v>0</v>
      </c>
      <c r="H911">
        <f>IF(G911,C911,0)</f>
        <v>0</v>
      </c>
    </row>
    <row r="912" spans="1:8" x14ac:dyDescent="0.25">
      <c r="A912" t="s">
        <v>269</v>
      </c>
      <c r="B912" t="s">
        <v>4135</v>
      </c>
      <c r="C912" s="4">
        <f>('Reels'!D187/('Reels'!D178+'Reels'!D181+'Reels'!D184+'Reels'!D187+'Reels'!D190+'Reels'!D193))*('Reels'!D208/('Reels'!D196+'Reels'!D199+'Reels'!D202+'Reels'!D205+'Reels'!D208+'Reels'!D211+'Reels'!D214))*('Reels'!D230/('Reels'!D218+'Reels'!D221+'Reels'!D224+'Reels'!D227+'Reels'!D230+'Reels'!D233))</f>
        <v>0.0003672644916447328</v>
      </c>
      <c r="D912">
        <f>IF(OR('Reels'!D185="attack",'Reels'!D185="magic"),CHOOSE('Reels'!D186+1,'Slots'!D29,'Slots'!D30,'Slots'!D31,'Slots'!D32,'Slots'!D33),0)+IF(OR('Reels'!D206="attack",'Reels'!D206="magic"),CHOOSE('Reels'!D207+1,'Slots'!D29,'Slots'!D30,'Slots'!D31,'Slots'!D32,'Slots'!D33),0)+IF(OR('Reels'!D228="attack",'Reels'!D228="magic"),CHOOSE('Reels'!D229+1,'Slots'!D29,'Slots'!D30,'Slots'!D31,'Slots'!D32,'Slots'!D33),0)</f>
        <v>0</v>
      </c>
      <c r="E912">
        <f>IF('Reels'!D185="heal",'Reels'!D186*'Slots'!D24,0)+IF('Reels'!D206="heal",'Reels'!D207*'Slots'!D24,0)+IF('Reels'!D228="heal",'Reels'!D229*'Slots'!D24,0)</f>
        <v>0</v>
      </c>
      <c r="F912">
        <f>IF('Reels'!D185="block",'Reels'!D186*'Slots'!D25,0)+IF('Reels'!D206="block",'Reels'!D207*'Slots'!D25,0)+IF('Reels'!D228="block",'Reels'!D229*'Slots'!D25,0)</f>
        <v>2</v>
      </c>
      <c r="G912" t="b">
        <f>AND('Reels'!D185&lt;&gt;"blank",'Reels'!D185&lt;&gt;"class",'Reels'!D185='Reels'!D228,'Reels'!D186='Reels'!D229,OR('Reels'!D206="class",AND('Reels'!D206='Reels'!D185,'Reels'!D207='Reels'!D186)))</f>
        <v>0</v>
      </c>
      <c r="H912">
        <f>IF(G912,C912,0)</f>
        <v>0</v>
      </c>
    </row>
    <row r="913" spans="1:8" x14ac:dyDescent="0.25">
      <c r="A913" t="s">
        <v>269</v>
      </c>
      <c r="B913" t="s">
        <v>4136</v>
      </c>
      <c r="C913" s="4">
        <f>('Reels'!D187/('Reels'!D178+'Reels'!D181+'Reels'!D184+'Reels'!D187+'Reels'!D190+'Reels'!D193))*('Reels'!D208/('Reels'!D196+'Reels'!D199+'Reels'!D202+'Reels'!D205+'Reels'!D208+'Reels'!D211+'Reels'!D214))*('Reels'!D233/('Reels'!D218+'Reels'!D221+'Reels'!D224+'Reels'!D227+'Reels'!D230+'Reels'!D233))</f>
        <v>0.000918161229111832</v>
      </c>
      <c r="D913">
        <f>IF(OR('Reels'!D185="attack",'Reels'!D185="magic"),CHOOSE('Reels'!D186+1,'Slots'!D29,'Slots'!D30,'Slots'!D31,'Slots'!D32,'Slots'!D33),0)+IF(OR('Reels'!D206="attack",'Reels'!D206="magic"),CHOOSE('Reels'!D207+1,'Slots'!D29,'Slots'!D30,'Slots'!D31,'Slots'!D32,'Slots'!D33),0)+IF(OR('Reels'!D231="attack",'Reels'!D231="magic"),CHOOSE('Reels'!D232+1,'Slots'!D29,'Slots'!D30,'Slots'!D31,'Slots'!D32,'Slots'!D33),0)</f>
        <v>0</v>
      </c>
      <c r="E913">
        <f>IF('Reels'!D185="heal",'Reels'!D186*'Slots'!D24,0)+IF('Reels'!D206="heal",'Reels'!D207*'Slots'!D24,0)+IF('Reels'!D231="heal",'Reels'!D232*'Slots'!D24,0)</f>
        <v>0</v>
      </c>
      <c r="F913">
        <f>IF('Reels'!D185="block",'Reels'!D186*'Slots'!D25,0)+IF('Reels'!D206="block",'Reels'!D207*'Slots'!D25,0)+IF('Reels'!D231="block",'Reels'!D232*'Slots'!D25,0)</f>
        <v>1</v>
      </c>
      <c r="G913" t="b">
        <f>AND('Reels'!D185&lt;&gt;"blank",'Reels'!D185&lt;&gt;"class",'Reels'!D185='Reels'!D231,'Reels'!D186='Reels'!D232,OR('Reels'!D206="class",AND('Reels'!D206='Reels'!D185,'Reels'!D207='Reels'!D186)))</f>
        <v>0</v>
      </c>
      <c r="H913">
        <f>IF(G913,C913,0)</f>
        <v>0</v>
      </c>
    </row>
    <row r="914" spans="1:8" x14ac:dyDescent="0.25">
      <c r="A914" t="s">
        <v>269</v>
      </c>
      <c r="B914" t="s">
        <v>4137</v>
      </c>
      <c r="C914" s="4">
        <f>('Reels'!D187/('Reels'!D178+'Reels'!D181+'Reels'!D184+'Reels'!D187+'Reels'!D190+'Reels'!D193))*('Reels'!D211/('Reels'!D196+'Reels'!D199+'Reels'!D202+'Reels'!D205+'Reels'!D208+'Reels'!D211+'Reels'!D214))*('Reels'!D218/('Reels'!D218+'Reels'!D221+'Reels'!D224+'Reels'!D227+'Reels'!D230+'Reels'!D233))</f>
        <v>0.005049886760115077</v>
      </c>
      <c r="D914">
        <f>IF(OR('Reels'!D185="attack",'Reels'!D185="magic"),CHOOSE('Reels'!D186+1,'Slots'!D29,'Slots'!D30,'Slots'!D31,'Slots'!D32,'Slots'!D33),0)+IF(OR('Reels'!D209="attack",'Reels'!D209="magic"),CHOOSE('Reels'!D210+1,'Slots'!D29,'Slots'!D30,'Slots'!D31,'Slots'!D32,'Slots'!D33),0)+IF(OR('Reels'!D216="attack",'Reels'!D216="magic"),CHOOSE('Reels'!D217+1,'Slots'!D29,'Slots'!D30,'Slots'!D31,'Slots'!D32,'Slots'!D33),0)</f>
        <v>2</v>
      </c>
      <c r="E914">
        <f>IF('Reels'!D185="heal",'Reels'!D186*'Slots'!D24,0)+IF('Reels'!D209="heal",'Reels'!D210*'Slots'!D24,0)+IF('Reels'!D216="heal",'Reels'!D217*'Slots'!D24,0)</f>
        <v>0</v>
      </c>
      <c r="F914">
        <f>IF('Reels'!D185="block",'Reels'!D186*'Slots'!D25,0)+IF('Reels'!D209="block",'Reels'!D210*'Slots'!D25,0)+IF('Reels'!D216="block",'Reels'!D217*'Slots'!D25,0)</f>
        <v>0</v>
      </c>
      <c r="G914" t="b">
        <f>AND('Reels'!D185&lt;&gt;"blank",'Reels'!D185&lt;&gt;"class",'Reels'!D185='Reels'!D216,'Reels'!D186='Reels'!D217,OR('Reels'!D209="class",AND('Reels'!D209='Reels'!D185,'Reels'!D210='Reels'!D186)))</f>
        <v>0</v>
      </c>
      <c r="H914">
        <f>IF(G914,C914,0)</f>
        <v>0</v>
      </c>
    </row>
    <row r="915" spans="1:8" x14ac:dyDescent="0.25">
      <c r="A915" t="s">
        <v>269</v>
      </c>
      <c r="B915" t="s">
        <v>4138</v>
      </c>
      <c r="C915" s="4">
        <f>('Reels'!D187/('Reels'!D178+'Reels'!D181+'Reels'!D184+'Reels'!D187+'Reels'!D190+'Reels'!D193))*('Reels'!D211/('Reels'!D196+'Reels'!D199+'Reels'!D202+'Reels'!D205+'Reels'!D208+'Reels'!D211+'Reels'!D214))*('Reels'!D221/('Reels'!D218+'Reels'!D221+'Reels'!D224+'Reels'!D227+'Reels'!D230+'Reels'!D233))</f>
        <v>0.0032135643018914124</v>
      </c>
      <c r="D915">
        <f>IF(OR('Reels'!D185="attack",'Reels'!D185="magic"),CHOOSE('Reels'!D186+1,'Slots'!D29,'Slots'!D30,'Slots'!D31,'Slots'!D32,'Slots'!D33),0)+IF(OR('Reels'!D209="attack",'Reels'!D209="magic"),CHOOSE('Reels'!D210+1,'Slots'!D29,'Slots'!D30,'Slots'!D31,'Slots'!D32,'Slots'!D33),0)+IF(OR('Reels'!D219="attack",'Reels'!D219="magic"),CHOOSE('Reels'!D220+1,'Slots'!D29,'Slots'!D30,'Slots'!D31,'Slots'!D32,'Slots'!D33),0)</f>
        <v>4</v>
      </c>
      <c r="E915">
        <f>IF('Reels'!D185="heal",'Reels'!D186*'Slots'!D24,0)+IF('Reels'!D209="heal",'Reels'!D210*'Slots'!D24,0)+IF('Reels'!D219="heal",'Reels'!D220*'Slots'!D24,0)</f>
        <v>0</v>
      </c>
      <c r="F915">
        <f>IF('Reels'!D185="block",'Reels'!D186*'Slots'!D25,0)+IF('Reels'!D209="block",'Reels'!D210*'Slots'!D25,0)+IF('Reels'!D219="block",'Reels'!D220*'Slots'!D25,0)</f>
        <v>0</v>
      </c>
      <c r="G915" t="b">
        <f>AND('Reels'!D185&lt;&gt;"blank",'Reels'!D185&lt;&gt;"class",'Reels'!D185='Reels'!D219,'Reels'!D186='Reels'!D220,OR('Reels'!D209="class",AND('Reels'!D209='Reels'!D185,'Reels'!D210='Reels'!D186)))</f>
        <v>0</v>
      </c>
      <c r="H915">
        <f>IF(G915,C915,0)</f>
        <v>0</v>
      </c>
    </row>
    <row r="916" spans="1:8" x14ac:dyDescent="0.25">
      <c r="A916" t="s">
        <v>269</v>
      </c>
      <c r="B916" t="s">
        <v>4139</v>
      </c>
      <c r="C916" s="4">
        <f>('Reels'!D187/('Reels'!D178+'Reels'!D181+'Reels'!D184+'Reels'!D187+'Reels'!D190+'Reels'!D193))*('Reels'!D211/('Reels'!D196+'Reels'!D199+'Reels'!D202+'Reels'!D205+'Reels'!D208+'Reels'!D211+'Reels'!D214))*('Reels'!D224/('Reels'!D218+'Reels'!D221+'Reels'!D224+'Reels'!D227+'Reels'!D230+'Reels'!D233))</f>
        <v>0.001377241843667748</v>
      </c>
      <c r="D916">
        <f>IF(OR('Reels'!D185="attack",'Reels'!D185="magic"),CHOOSE('Reels'!D186+1,'Slots'!D29,'Slots'!D30,'Slots'!D31,'Slots'!D32,'Slots'!D33),0)+IF(OR('Reels'!D209="attack",'Reels'!D209="magic"),CHOOSE('Reels'!D210+1,'Slots'!D29,'Slots'!D30,'Slots'!D31,'Slots'!D32,'Slots'!D33),0)+IF(OR('Reels'!D222="attack",'Reels'!D222="magic"),CHOOSE('Reels'!D223+1,'Slots'!D29,'Slots'!D30,'Slots'!D31,'Slots'!D32,'Slots'!D33),0)</f>
        <v>0</v>
      </c>
      <c r="E916">
        <f>IF('Reels'!D185="heal",'Reels'!D186*'Slots'!D24,0)+IF('Reels'!D209="heal",'Reels'!D210*'Slots'!D24,0)+IF('Reels'!D222="heal",'Reels'!D223*'Slots'!D24,0)</f>
        <v>0</v>
      </c>
      <c r="F916">
        <f>IF('Reels'!D185="block",'Reels'!D186*'Slots'!D25,0)+IF('Reels'!D209="block",'Reels'!D210*'Slots'!D25,0)+IF('Reels'!D222="block",'Reels'!D223*'Slots'!D25,0)</f>
        <v>0</v>
      </c>
      <c r="G916" t="b">
        <f>AND('Reels'!D185&lt;&gt;"blank",'Reels'!D185&lt;&gt;"class",'Reels'!D185='Reels'!D222,'Reels'!D186='Reels'!D223,OR('Reels'!D209="class",AND('Reels'!D209='Reels'!D185,'Reels'!D210='Reels'!D186)))</f>
        <v>0</v>
      </c>
      <c r="H916">
        <f>IF(G916,C916,0)</f>
        <v>0</v>
      </c>
    </row>
    <row r="917" spans="1:8" x14ac:dyDescent="0.25">
      <c r="A917" t="s">
        <v>269</v>
      </c>
      <c r="B917" t="s">
        <v>4140</v>
      </c>
      <c r="C917" s="4">
        <f>('Reels'!D187/('Reels'!D178+'Reels'!D181+'Reels'!D184+'Reels'!D187+'Reels'!D190+'Reels'!D193))*('Reels'!D211/('Reels'!D196+'Reels'!D199+'Reels'!D202+'Reels'!D205+'Reels'!D208+'Reels'!D211+'Reels'!D214))*('Reels'!D227/('Reels'!D218+'Reels'!D221+'Reels'!D224+'Reels'!D227+'Reels'!D230+'Reels'!D233))</f>
        <v>0.001377241843667748</v>
      </c>
      <c r="D917">
        <f>IF(OR('Reels'!D185="attack",'Reels'!D185="magic"),CHOOSE('Reels'!D186+1,'Slots'!D29,'Slots'!D30,'Slots'!D31,'Slots'!D32,'Slots'!D33),0)+IF(OR('Reels'!D209="attack",'Reels'!D209="magic"),CHOOSE('Reels'!D210+1,'Slots'!D29,'Slots'!D30,'Slots'!D31,'Slots'!D32,'Slots'!D33),0)+IF(OR('Reels'!D225="attack",'Reels'!D225="magic"),CHOOSE('Reels'!D226+1,'Slots'!D29,'Slots'!D30,'Slots'!D31,'Slots'!D32,'Slots'!D33),0)</f>
        <v>0</v>
      </c>
      <c r="E917">
        <f>IF('Reels'!D185="heal",'Reels'!D186*'Slots'!D24,0)+IF('Reels'!D209="heal",'Reels'!D210*'Slots'!D24,0)+IF('Reels'!D225="heal",'Reels'!D226*'Slots'!D24,0)</f>
        <v>0</v>
      </c>
      <c r="F917">
        <f>IF('Reels'!D185="block",'Reels'!D186*'Slots'!D25,0)+IF('Reels'!D209="block",'Reels'!D210*'Slots'!D25,0)+IF('Reels'!D225="block",'Reels'!D226*'Slots'!D25,0)</f>
        <v>0</v>
      </c>
      <c r="G917" t="b">
        <f>AND('Reels'!D185&lt;&gt;"blank",'Reels'!D185&lt;&gt;"class",'Reels'!D185='Reels'!D225,'Reels'!D186='Reels'!D226,OR('Reels'!D209="class",AND('Reels'!D209='Reels'!D185,'Reels'!D210='Reels'!D186)))</f>
        <v>0</v>
      </c>
      <c r="H917">
        <f>IF(G917,C917,0)</f>
        <v>0</v>
      </c>
    </row>
    <row r="918" spans="1:8" x14ac:dyDescent="0.25">
      <c r="A918" t="s">
        <v>269</v>
      </c>
      <c r="B918" t="s">
        <v>4141</v>
      </c>
      <c r="C918" s="4">
        <f>('Reels'!D187/('Reels'!D178+'Reels'!D181+'Reels'!D184+'Reels'!D187+'Reels'!D190+'Reels'!D193))*('Reels'!D211/('Reels'!D196+'Reels'!D199+'Reels'!D202+'Reels'!D205+'Reels'!D208+'Reels'!D211+'Reels'!D214))*('Reels'!D230/('Reels'!D218+'Reels'!D221+'Reels'!D224+'Reels'!D227+'Reels'!D230+'Reels'!D233))</f>
        <v>0.0009181612291118321</v>
      </c>
      <c r="D918">
        <f>IF(OR('Reels'!D185="attack",'Reels'!D185="magic"),CHOOSE('Reels'!D186+1,'Slots'!D29,'Slots'!D30,'Slots'!D31,'Slots'!D32,'Slots'!D33),0)+IF(OR('Reels'!D209="attack",'Reels'!D209="magic"),CHOOSE('Reels'!D210+1,'Slots'!D29,'Slots'!D30,'Slots'!D31,'Slots'!D32,'Slots'!D33),0)+IF(OR('Reels'!D228="attack",'Reels'!D228="magic"),CHOOSE('Reels'!D229+1,'Slots'!D29,'Slots'!D30,'Slots'!D31,'Slots'!D32,'Slots'!D33),0)</f>
        <v>0</v>
      </c>
      <c r="E918">
        <f>IF('Reels'!D185="heal",'Reels'!D186*'Slots'!D24,0)+IF('Reels'!D209="heal",'Reels'!D210*'Slots'!D24,0)+IF('Reels'!D228="heal",'Reels'!D229*'Slots'!D24,0)</f>
        <v>0</v>
      </c>
      <c r="F918">
        <f>IF('Reels'!D185="block",'Reels'!D186*'Slots'!D25,0)+IF('Reels'!D209="block",'Reels'!D210*'Slots'!D25,0)+IF('Reels'!D228="block",'Reels'!D229*'Slots'!D25,0)</f>
        <v>1</v>
      </c>
      <c r="G918" t="b">
        <f>AND('Reels'!D185&lt;&gt;"blank",'Reels'!D185&lt;&gt;"class",'Reels'!D185='Reels'!D228,'Reels'!D186='Reels'!D229,OR('Reels'!D209="class",AND('Reels'!D209='Reels'!D185,'Reels'!D210='Reels'!D186)))</f>
        <v>0</v>
      </c>
      <c r="H918">
        <f>IF(G918,C918,0)</f>
        <v>0</v>
      </c>
    </row>
    <row r="919" spans="1:8" x14ac:dyDescent="0.25">
      <c r="A919" t="s">
        <v>269</v>
      </c>
      <c r="B919" t="s">
        <v>4142</v>
      </c>
      <c r="C919" s="4">
        <f>('Reels'!D187/('Reels'!D178+'Reels'!D181+'Reels'!D184+'Reels'!D187+'Reels'!D190+'Reels'!D193))*('Reels'!D211/('Reels'!D196+'Reels'!D199+'Reels'!D202+'Reels'!D205+'Reels'!D208+'Reels'!D211+'Reels'!D214))*('Reels'!D233/('Reels'!D218+'Reels'!D221+'Reels'!D224+'Reels'!D227+'Reels'!D230+'Reels'!D233))</f>
        <v>0.0022954030727795802</v>
      </c>
      <c r="D919">
        <f>IF(OR('Reels'!D185="attack",'Reels'!D185="magic"),CHOOSE('Reels'!D186+1,'Slots'!D29,'Slots'!D30,'Slots'!D31,'Slots'!D32,'Slots'!D33),0)+IF(OR('Reels'!D209="attack",'Reels'!D209="magic"),CHOOSE('Reels'!D210+1,'Slots'!D29,'Slots'!D30,'Slots'!D31,'Slots'!D32,'Slots'!D33),0)+IF(OR('Reels'!D231="attack",'Reels'!D231="magic"),CHOOSE('Reels'!D232+1,'Slots'!D29,'Slots'!D30,'Slots'!D31,'Slots'!D32,'Slots'!D33),0)</f>
        <v>0</v>
      </c>
      <c r="E919">
        <f>IF('Reels'!D185="heal",'Reels'!D186*'Slots'!D24,0)+IF('Reels'!D209="heal",'Reels'!D210*'Slots'!D24,0)+IF('Reels'!D231="heal",'Reels'!D232*'Slots'!D24,0)</f>
        <v>0</v>
      </c>
      <c r="F919">
        <f>IF('Reels'!D185="block",'Reels'!D186*'Slots'!D25,0)+IF('Reels'!D209="block",'Reels'!D210*'Slots'!D25,0)+IF('Reels'!D231="block",'Reels'!D232*'Slots'!D25,0)</f>
        <v>0</v>
      </c>
      <c r="G919" t="b">
        <f>AND('Reels'!D185&lt;&gt;"blank",'Reels'!D185&lt;&gt;"class",'Reels'!D185='Reels'!D231,'Reels'!D186='Reels'!D232,OR('Reels'!D209="class",AND('Reels'!D209='Reels'!D185,'Reels'!D210='Reels'!D186)))</f>
        <v>0</v>
      </c>
      <c r="H919">
        <f>IF(G919,C919,0)</f>
        <v>0</v>
      </c>
    </row>
    <row r="920" spans="1:8" x14ac:dyDescent="0.25">
      <c r="A920" t="s">
        <v>269</v>
      </c>
      <c r="B920" t="s">
        <v>4143</v>
      </c>
      <c r="C920" s="4">
        <f>('Reels'!D187/('Reels'!D178+'Reels'!D181+'Reels'!D184+'Reels'!D187+'Reels'!D190+'Reels'!D193))*('Reels'!D214/('Reels'!D196+'Reels'!D199+'Reels'!D202+'Reels'!D205+'Reels'!D208+'Reels'!D211+'Reels'!D214))*('Reels'!D218/('Reels'!D218+'Reels'!D221+'Reels'!D224+'Reels'!D227+'Reels'!D230+'Reels'!D233))</f>
        <v>0.003029932056069045</v>
      </c>
      <c r="D920">
        <f>IF(OR('Reels'!D185="attack",'Reels'!D185="magic"),CHOOSE('Reels'!D186+1,'Slots'!D29,'Slots'!D30,'Slots'!D31,'Slots'!D32,'Slots'!D33),0)+IF(OR('Reels'!D212="attack",'Reels'!D212="magic"),CHOOSE('Reels'!D213+1,'Slots'!D29,'Slots'!D30,'Slots'!D31,'Slots'!D32,'Slots'!D33),0)+IF(OR('Reels'!D216="attack",'Reels'!D216="magic"),CHOOSE('Reels'!D217+1,'Slots'!D29,'Slots'!D30,'Slots'!D31,'Slots'!D32,'Slots'!D33),0)</f>
        <v>2</v>
      </c>
      <c r="E920">
        <f>IF('Reels'!D185="heal",'Reels'!D186*'Slots'!D24,0)+IF('Reels'!D212="heal",'Reels'!D213*'Slots'!D24,0)+IF('Reels'!D216="heal",'Reels'!D217*'Slots'!D24,0)</f>
        <v>0</v>
      </c>
      <c r="F920">
        <f>IF('Reels'!D185="block",'Reels'!D186*'Slots'!D25,0)+IF('Reels'!D212="block",'Reels'!D213*'Slots'!D25,0)+IF('Reels'!D216="block",'Reels'!D217*'Slots'!D25,0)</f>
        <v>0</v>
      </c>
      <c r="G920" t="b">
        <f>AND('Reels'!D185&lt;&gt;"blank",'Reels'!D185&lt;&gt;"class",'Reels'!D185='Reels'!D216,'Reels'!D186='Reels'!D217,OR('Reels'!D212="class",AND('Reels'!D212='Reels'!D185,'Reels'!D213='Reels'!D186)))</f>
        <v>0</v>
      </c>
      <c r="H920">
        <f>IF(G920,C920,0)</f>
        <v>0</v>
      </c>
    </row>
    <row r="921" spans="1:8" x14ac:dyDescent="0.25">
      <c r="A921" t="s">
        <v>269</v>
      </c>
      <c r="B921" t="s">
        <v>4144</v>
      </c>
      <c r="C921" s="4">
        <f>('Reels'!D187/('Reels'!D178+'Reels'!D181+'Reels'!D184+'Reels'!D187+'Reels'!D190+'Reels'!D193))*('Reels'!D214/('Reels'!D196+'Reels'!D199+'Reels'!D202+'Reels'!D205+'Reels'!D208+'Reels'!D211+'Reels'!D214))*('Reels'!D221/('Reels'!D218+'Reels'!D221+'Reels'!D224+'Reels'!D227+'Reels'!D230+'Reels'!D233))</f>
        <v>0.0019281385811348469</v>
      </c>
      <c r="D921">
        <f>IF(OR('Reels'!D185="attack",'Reels'!D185="magic"),CHOOSE('Reels'!D186+1,'Slots'!D29,'Slots'!D30,'Slots'!D31,'Slots'!D32,'Slots'!D33),0)+IF(OR('Reels'!D212="attack",'Reels'!D212="magic"),CHOOSE('Reels'!D213+1,'Slots'!D29,'Slots'!D30,'Slots'!D31,'Slots'!D32,'Slots'!D33),0)+IF(OR('Reels'!D219="attack",'Reels'!D219="magic"),CHOOSE('Reels'!D220+1,'Slots'!D29,'Slots'!D30,'Slots'!D31,'Slots'!D32,'Slots'!D33),0)</f>
        <v>4</v>
      </c>
      <c r="E921">
        <f>IF('Reels'!D185="heal",'Reels'!D186*'Slots'!D24,0)+IF('Reels'!D212="heal",'Reels'!D213*'Slots'!D24,0)+IF('Reels'!D219="heal",'Reels'!D220*'Slots'!D24,0)</f>
        <v>0</v>
      </c>
      <c r="F921">
        <f>IF('Reels'!D185="block",'Reels'!D186*'Slots'!D25,0)+IF('Reels'!D212="block",'Reels'!D213*'Slots'!D25,0)+IF('Reels'!D219="block",'Reels'!D220*'Slots'!D25,0)</f>
        <v>0</v>
      </c>
      <c r="G921" t="b">
        <f>AND('Reels'!D185&lt;&gt;"blank",'Reels'!D185&lt;&gt;"class",'Reels'!D185='Reels'!D219,'Reels'!D186='Reels'!D220,OR('Reels'!D212="class",AND('Reels'!D212='Reels'!D185,'Reels'!D213='Reels'!D186)))</f>
        <v>0</v>
      </c>
      <c r="H921">
        <f>IF(G921,C921,0)</f>
        <v>0</v>
      </c>
    </row>
    <row r="922" spans="1:8" x14ac:dyDescent="0.25">
      <c r="A922" t="s">
        <v>269</v>
      </c>
      <c r="B922" t="s">
        <v>4145</v>
      </c>
      <c r="C922" s="4">
        <f>('Reels'!D187/('Reels'!D178+'Reels'!D181+'Reels'!D184+'Reels'!D187+'Reels'!D190+'Reels'!D193))*('Reels'!D214/('Reels'!D196+'Reels'!D199+'Reels'!D202+'Reels'!D205+'Reels'!D208+'Reels'!D211+'Reels'!D214))*('Reels'!D224/('Reels'!D218+'Reels'!D221+'Reels'!D224+'Reels'!D227+'Reels'!D230+'Reels'!D233))</f>
        <v>0.0008263451062006487</v>
      </c>
      <c r="D922">
        <f>IF(OR('Reels'!D185="attack",'Reels'!D185="magic"),CHOOSE('Reels'!D186+1,'Slots'!D29,'Slots'!D30,'Slots'!D31,'Slots'!D32,'Slots'!D33),0)+IF(OR('Reels'!D212="attack",'Reels'!D212="magic"),CHOOSE('Reels'!D213+1,'Slots'!D29,'Slots'!D30,'Slots'!D31,'Slots'!D32,'Slots'!D33),0)+IF(OR('Reels'!D222="attack",'Reels'!D222="magic"),CHOOSE('Reels'!D223+1,'Slots'!D29,'Slots'!D30,'Slots'!D31,'Slots'!D32,'Slots'!D33),0)</f>
        <v>0</v>
      </c>
      <c r="E922">
        <f>IF('Reels'!D185="heal",'Reels'!D186*'Slots'!D24,0)+IF('Reels'!D212="heal",'Reels'!D213*'Slots'!D24,0)+IF('Reels'!D222="heal",'Reels'!D223*'Slots'!D24,0)</f>
        <v>0</v>
      </c>
      <c r="F922">
        <f>IF('Reels'!D185="block",'Reels'!D186*'Slots'!D25,0)+IF('Reels'!D212="block",'Reels'!D213*'Slots'!D25,0)+IF('Reels'!D222="block",'Reels'!D223*'Slots'!D25,0)</f>
        <v>0</v>
      </c>
      <c r="G922" t="b">
        <f>AND('Reels'!D185&lt;&gt;"blank",'Reels'!D185&lt;&gt;"class",'Reels'!D185='Reels'!D222,'Reels'!D186='Reels'!D223,OR('Reels'!D212="class",AND('Reels'!D212='Reels'!D185,'Reels'!D213='Reels'!D186)))</f>
        <v>0</v>
      </c>
      <c r="H922">
        <f>IF(G922,C922,0)</f>
        <v>0</v>
      </c>
    </row>
    <row r="923" spans="1:8" x14ac:dyDescent="0.25">
      <c r="A923" t="s">
        <v>269</v>
      </c>
      <c r="B923" t="s">
        <v>4146</v>
      </c>
      <c r="C923" s="4">
        <f>('Reels'!D187/('Reels'!D178+'Reels'!D181+'Reels'!D184+'Reels'!D187+'Reels'!D190+'Reels'!D193))*('Reels'!D214/('Reels'!D196+'Reels'!D199+'Reels'!D202+'Reels'!D205+'Reels'!D208+'Reels'!D211+'Reels'!D214))*('Reels'!D227/('Reels'!D218+'Reels'!D221+'Reels'!D224+'Reels'!D227+'Reels'!D230+'Reels'!D233))</f>
        <v>0.0008263451062006487</v>
      </c>
      <c r="D923">
        <f>IF(OR('Reels'!D185="attack",'Reels'!D185="magic"),CHOOSE('Reels'!D186+1,'Slots'!D29,'Slots'!D30,'Slots'!D31,'Slots'!D32,'Slots'!D33),0)+IF(OR('Reels'!D212="attack",'Reels'!D212="magic"),CHOOSE('Reels'!D213+1,'Slots'!D29,'Slots'!D30,'Slots'!D31,'Slots'!D32,'Slots'!D33),0)+IF(OR('Reels'!D225="attack",'Reels'!D225="magic"),CHOOSE('Reels'!D226+1,'Slots'!D29,'Slots'!D30,'Slots'!D31,'Slots'!D32,'Slots'!D33),0)</f>
        <v>0</v>
      </c>
      <c r="E923">
        <f>IF('Reels'!D185="heal",'Reels'!D186*'Slots'!D24,0)+IF('Reels'!D212="heal",'Reels'!D213*'Slots'!D24,0)+IF('Reels'!D225="heal",'Reels'!D226*'Slots'!D24,0)</f>
        <v>0</v>
      </c>
      <c r="F923">
        <f>IF('Reels'!D185="block",'Reels'!D186*'Slots'!D25,0)+IF('Reels'!D212="block",'Reels'!D213*'Slots'!D25,0)+IF('Reels'!D225="block",'Reels'!D226*'Slots'!D25,0)</f>
        <v>0</v>
      </c>
      <c r="G923" t="b">
        <f>AND('Reels'!D185&lt;&gt;"blank",'Reels'!D185&lt;&gt;"class",'Reels'!D185='Reels'!D225,'Reels'!D186='Reels'!D226,OR('Reels'!D212="class",AND('Reels'!D212='Reels'!D185,'Reels'!D213='Reels'!D186)))</f>
        <v>1</v>
      </c>
      <c r="H923">
        <f>IF(G923,C923,0)</f>
        <v>0.0008263451062006487</v>
      </c>
    </row>
    <row r="924" spans="1:8" x14ac:dyDescent="0.25">
      <c r="A924" t="s">
        <v>269</v>
      </c>
      <c r="B924" t="s">
        <v>4147</v>
      </c>
      <c r="C924" s="4">
        <f>('Reels'!D187/('Reels'!D178+'Reels'!D181+'Reels'!D184+'Reels'!D187+'Reels'!D190+'Reels'!D193))*('Reels'!D214/('Reels'!D196+'Reels'!D199+'Reels'!D202+'Reels'!D205+'Reels'!D208+'Reels'!D211+'Reels'!D214))*('Reels'!D230/('Reels'!D218+'Reels'!D221+'Reels'!D224+'Reels'!D227+'Reels'!D230+'Reels'!D233))</f>
        <v>0.0005508967374670992</v>
      </c>
      <c r="D924">
        <f>IF(OR('Reels'!D185="attack",'Reels'!D185="magic"),CHOOSE('Reels'!D186+1,'Slots'!D29,'Slots'!D30,'Slots'!D31,'Slots'!D32,'Slots'!D33),0)+IF(OR('Reels'!D212="attack",'Reels'!D212="magic"),CHOOSE('Reels'!D213+1,'Slots'!D29,'Slots'!D30,'Slots'!D31,'Slots'!D32,'Slots'!D33),0)+IF(OR('Reels'!D228="attack",'Reels'!D228="magic"),CHOOSE('Reels'!D229+1,'Slots'!D29,'Slots'!D30,'Slots'!D31,'Slots'!D32,'Slots'!D33),0)</f>
        <v>0</v>
      </c>
      <c r="E924">
        <f>IF('Reels'!D185="heal",'Reels'!D186*'Slots'!D24,0)+IF('Reels'!D212="heal",'Reels'!D213*'Slots'!D24,0)+IF('Reels'!D228="heal",'Reels'!D229*'Slots'!D24,0)</f>
        <v>0</v>
      </c>
      <c r="F924">
        <f>IF('Reels'!D185="block",'Reels'!D186*'Slots'!D25,0)+IF('Reels'!D212="block",'Reels'!D213*'Slots'!D25,0)+IF('Reels'!D228="block",'Reels'!D229*'Slots'!D25,0)</f>
        <v>1</v>
      </c>
      <c r="G924" t="b">
        <f>AND('Reels'!D185&lt;&gt;"blank",'Reels'!D185&lt;&gt;"class",'Reels'!D185='Reels'!D228,'Reels'!D186='Reels'!D229,OR('Reels'!D212="class",AND('Reels'!D212='Reels'!D185,'Reels'!D213='Reels'!D186)))</f>
        <v>0</v>
      </c>
      <c r="H924">
        <f>IF(G924,C924,0)</f>
        <v>0</v>
      </c>
    </row>
    <row r="925" spans="1:8" x14ac:dyDescent="0.25">
      <c r="A925" t="s">
        <v>269</v>
      </c>
      <c r="B925" t="s">
        <v>4148</v>
      </c>
      <c r="C925" s="4">
        <f>('Reels'!D187/('Reels'!D178+'Reels'!D181+'Reels'!D184+'Reels'!D187+'Reels'!D190+'Reels'!D193))*('Reels'!D214/('Reels'!D196+'Reels'!D199+'Reels'!D202+'Reels'!D205+'Reels'!D208+'Reels'!D211+'Reels'!D214))*('Reels'!D233/('Reels'!D218+'Reels'!D221+'Reels'!D224+'Reels'!D227+'Reels'!D230+'Reels'!D233))</f>
        <v>0.0013772418436677478</v>
      </c>
      <c r="D925">
        <f>IF(OR('Reels'!D185="attack",'Reels'!D185="magic"),CHOOSE('Reels'!D186+1,'Slots'!D29,'Slots'!D30,'Slots'!D31,'Slots'!D32,'Slots'!D33),0)+IF(OR('Reels'!D212="attack",'Reels'!D212="magic"),CHOOSE('Reels'!D213+1,'Slots'!D29,'Slots'!D30,'Slots'!D31,'Slots'!D32,'Slots'!D33),0)+IF(OR('Reels'!D231="attack",'Reels'!D231="magic"),CHOOSE('Reels'!D232+1,'Slots'!D29,'Slots'!D30,'Slots'!D31,'Slots'!D32,'Slots'!D33),0)</f>
        <v>0</v>
      </c>
      <c r="E925">
        <f>IF('Reels'!D185="heal",'Reels'!D186*'Slots'!D24,0)+IF('Reels'!D212="heal",'Reels'!D213*'Slots'!D24,0)+IF('Reels'!D231="heal",'Reels'!D232*'Slots'!D24,0)</f>
        <v>0</v>
      </c>
      <c r="F925">
        <f>IF('Reels'!D185="block",'Reels'!D186*'Slots'!D25,0)+IF('Reels'!D212="block",'Reels'!D213*'Slots'!D25,0)+IF('Reels'!D231="block",'Reels'!D232*'Slots'!D25,0)</f>
        <v>0</v>
      </c>
      <c r="G925" t="b">
        <f>AND('Reels'!D185&lt;&gt;"blank",'Reels'!D185&lt;&gt;"class",'Reels'!D185='Reels'!D231,'Reels'!D186='Reels'!D232,OR('Reels'!D212="class",AND('Reels'!D212='Reels'!D185,'Reels'!D213='Reels'!D186)))</f>
        <v>0</v>
      </c>
      <c r="H925">
        <f>IF(G925,C925,0)</f>
        <v>0</v>
      </c>
    </row>
    <row r="926" spans="1:8" x14ac:dyDescent="0.25">
      <c r="A926" t="s">
        <v>269</v>
      </c>
      <c r="B926" t="s">
        <v>3711</v>
      </c>
      <c r="C926" s="4">
        <f>('Reels'!D190/('Reels'!D178+'Reels'!D181+'Reels'!D184+'Reels'!D187+'Reels'!D190+'Reels'!D193))*('Reels'!D196/('Reels'!D196+'Reels'!D199+'Reels'!D202+'Reels'!D205+'Reels'!D208+'Reels'!D211+'Reels'!D214))*('Reels'!D218/('Reels'!D218+'Reels'!D221+'Reels'!D224+'Reels'!D227+'Reels'!D230+'Reels'!D233))</f>
        <v>0.007406500581502112</v>
      </c>
      <c r="D926">
        <f>IF(OR('Reels'!D188="attack",'Reels'!D188="magic"),CHOOSE('Reels'!D189+1,'Slots'!D29,'Slots'!D30,'Slots'!D31,'Slots'!D32,'Slots'!D33),0)+IF(OR('Reels'!D194="attack",'Reels'!D194="magic"),CHOOSE('Reels'!D195+1,'Slots'!D29,'Slots'!D30,'Slots'!D31,'Slots'!D32,'Slots'!D33),0)+IF(OR('Reels'!D216="attack",'Reels'!D216="magic"),CHOOSE('Reels'!D217+1,'Slots'!D29,'Slots'!D30,'Slots'!D31,'Slots'!D32,'Slots'!D33),0)</f>
        <v>4</v>
      </c>
      <c r="E926">
        <f>IF('Reels'!D188="heal",'Reels'!D189*'Slots'!D24,0)+IF('Reels'!D194="heal",'Reels'!D195*'Slots'!D24,0)+IF('Reels'!D216="heal",'Reels'!D217*'Slots'!D24,0)</f>
        <v>0</v>
      </c>
      <c r="F926">
        <f>IF('Reels'!D188="block",'Reels'!D189*'Slots'!D25,0)+IF('Reels'!D194="block",'Reels'!D195*'Slots'!D25,0)+IF('Reels'!D216="block",'Reels'!D217*'Slots'!D25,0)</f>
        <v>1</v>
      </c>
      <c r="G926" t="b">
        <f>AND('Reels'!D188&lt;&gt;"blank",'Reels'!D188&lt;&gt;"class",'Reels'!D188='Reels'!D216,'Reels'!D189='Reels'!D217,OR('Reels'!D194="class",AND('Reels'!D194='Reels'!D188,'Reels'!D195='Reels'!D189)))</f>
        <v>0</v>
      </c>
      <c r="H926">
        <f>IF(G926,C926,0)</f>
        <v>0</v>
      </c>
    </row>
    <row r="927" spans="1:8" x14ac:dyDescent="0.25">
      <c r="A927" t="s">
        <v>269</v>
      </c>
      <c r="B927" t="s">
        <v>4149</v>
      </c>
      <c r="C927" s="4">
        <f>('Reels'!D190/('Reels'!D178+'Reels'!D181+'Reels'!D184+'Reels'!D187+'Reels'!D190+'Reels'!D193))*('Reels'!D196/('Reels'!D196+'Reels'!D199+'Reels'!D202+'Reels'!D205+'Reels'!D208+'Reels'!D211+'Reels'!D214))*('Reels'!D221/('Reels'!D218+'Reels'!D221+'Reels'!D224+'Reels'!D227+'Reels'!D230+'Reels'!D233))</f>
        <v>0.004713227642774071</v>
      </c>
      <c r="D927">
        <f>IF(OR('Reels'!D188="attack",'Reels'!D188="magic"),CHOOSE('Reels'!D189+1,'Slots'!D29,'Slots'!D30,'Slots'!D31,'Slots'!D32,'Slots'!D33),0)+IF(OR('Reels'!D194="attack",'Reels'!D194="magic"),CHOOSE('Reels'!D195+1,'Slots'!D29,'Slots'!D30,'Slots'!D31,'Slots'!D32,'Slots'!D33),0)+IF(OR('Reels'!D219="attack",'Reels'!D219="magic"),CHOOSE('Reels'!D220+1,'Slots'!D29,'Slots'!D30,'Slots'!D31,'Slots'!D32,'Slots'!D33),0)</f>
        <v>6</v>
      </c>
      <c r="E927">
        <f>IF('Reels'!D188="heal",'Reels'!D189*'Slots'!D24,0)+IF('Reels'!D194="heal",'Reels'!D195*'Slots'!D24,0)+IF('Reels'!D219="heal",'Reels'!D220*'Slots'!D24,0)</f>
        <v>0</v>
      </c>
      <c r="F927">
        <f>IF('Reels'!D188="block",'Reels'!D189*'Slots'!D25,0)+IF('Reels'!D194="block",'Reels'!D195*'Slots'!D25,0)+IF('Reels'!D219="block",'Reels'!D220*'Slots'!D25,0)</f>
        <v>1</v>
      </c>
      <c r="G927" t="b">
        <f>AND('Reels'!D188&lt;&gt;"blank",'Reels'!D188&lt;&gt;"class",'Reels'!D188='Reels'!D219,'Reels'!D189='Reels'!D220,OR('Reels'!D194="class",AND('Reels'!D194='Reels'!D188,'Reels'!D195='Reels'!D189)))</f>
        <v>0</v>
      </c>
      <c r="H927">
        <f>IF(G927,C927,0)</f>
        <v>0</v>
      </c>
    </row>
    <row r="928" spans="1:8" x14ac:dyDescent="0.25">
      <c r="A928" t="s">
        <v>269</v>
      </c>
      <c r="B928" t="s">
        <v>4150</v>
      </c>
      <c r="C928" s="4">
        <f>('Reels'!D190/('Reels'!D178+'Reels'!D181+'Reels'!D184+'Reels'!D187+'Reels'!D190+'Reels'!D193))*('Reels'!D196/('Reels'!D196+'Reels'!D199+'Reels'!D202+'Reels'!D205+'Reels'!D208+'Reels'!D211+'Reels'!D214))*('Reels'!D224/('Reels'!D218+'Reels'!D221+'Reels'!D224+'Reels'!D227+'Reels'!D230+'Reels'!D233))</f>
        <v>0.0020199547040460307</v>
      </c>
      <c r="D928">
        <f>IF(OR('Reels'!D188="attack",'Reels'!D188="magic"),CHOOSE('Reels'!D189+1,'Slots'!D29,'Slots'!D30,'Slots'!D31,'Slots'!D32,'Slots'!D33),0)+IF(OR('Reels'!D194="attack",'Reels'!D194="magic"),CHOOSE('Reels'!D195+1,'Slots'!D29,'Slots'!D30,'Slots'!D31,'Slots'!D32,'Slots'!D33),0)+IF(OR('Reels'!D222="attack",'Reels'!D222="magic"),CHOOSE('Reels'!D223+1,'Slots'!D29,'Slots'!D30,'Slots'!D31,'Slots'!D32,'Slots'!D33),0)</f>
        <v>2</v>
      </c>
      <c r="E928">
        <f>IF('Reels'!D188="heal",'Reels'!D189*'Slots'!D24,0)+IF('Reels'!D194="heal",'Reels'!D195*'Slots'!D24,0)+IF('Reels'!D222="heal",'Reels'!D223*'Slots'!D24,0)</f>
        <v>0</v>
      </c>
      <c r="F928">
        <f>IF('Reels'!D188="block",'Reels'!D189*'Slots'!D25,0)+IF('Reels'!D194="block",'Reels'!D195*'Slots'!D25,0)+IF('Reels'!D222="block",'Reels'!D223*'Slots'!D25,0)</f>
        <v>1</v>
      </c>
      <c r="G928" t="b">
        <f>AND('Reels'!D188&lt;&gt;"blank",'Reels'!D188&lt;&gt;"class",'Reels'!D188='Reels'!D222,'Reels'!D189='Reels'!D223,OR('Reels'!D194="class",AND('Reels'!D194='Reels'!D188,'Reels'!D195='Reels'!D189)))</f>
        <v>0</v>
      </c>
      <c r="H928">
        <f>IF(G928,C928,0)</f>
        <v>0</v>
      </c>
    </row>
    <row r="929" spans="1:8" x14ac:dyDescent="0.25">
      <c r="A929" t="s">
        <v>269</v>
      </c>
      <c r="B929" t="s">
        <v>4151</v>
      </c>
      <c r="C929" s="4">
        <f>('Reels'!D190/('Reels'!D178+'Reels'!D181+'Reels'!D184+'Reels'!D187+'Reels'!D190+'Reels'!D193))*('Reels'!D196/('Reels'!D196+'Reels'!D199+'Reels'!D202+'Reels'!D205+'Reels'!D208+'Reels'!D211+'Reels'!D214))*('Reels'!D227/('Reels'!D218+'Reels'!D221+'Reels'!D224+'Reels'!D227+'Reels'!D230+'Reels'!D233))</f>
        <v>0.0020199547040460307</v>
      </c>
      <c r="D929">
        <f>IF(OR('Reels'!D188="attack",'Reels'!D188="magic"),CHOOSE('Reels'!D189+1,'Slots'!D29,'Slots'!D30,'Slots'!D31,'Slots'!D32,'Slots'!D33),0)+IF(OR('Reels'!D194="attack",'Reels'!D194="magic"),CHOOSE('Reels'!D195+1,'Slots'!D29,'Slots'!D30,'Slots'!D31,'Slots'!D32,'Slots'!D33),0)+IF(OR('Reels'!D225="attack",'Reels'!D225="magic"),CHOOSE('Reels'!D226+1,'Slots'!D29,'Slots'!D30,'Slots'!D31,'Slots'!D32,'Slots'!D33),0)</f>
        <v>2</v>
      </c>
      <c r="E929">
        <f>IF('Reels'!D188="heal",'Reels'!D189*'Slots'!D24,0)+IF('Reels'!D194="heal",'Reels'!D195*'Slots'!D24,0)+IF('Reels'!D225="heal",'Reels'!D226*'Slots'!D24,0)</f>
        <v>0</v>
      </c>
      <c r="F929">
        <f>IF('Reels'!D188="block",'Reels'!D189*'Slots'!D25,0)+IF('Reels'!D194="block",'Reels'!D195*'Slots'!D25,0)+IF('Reels'!D225="block",'Reels'!D226*'Slots'!D25,0)</f>
        <v>1</v>
      </c>
      <c r="G929" t="b">
        <f>AND('Reels'!D188&lt;&gt;"blank",'Reels'!D188&lt;&gt;"class",'Reels'!D188='Reels'!D225,'Reels'!D189='Reels'!D226,OR('Reels'!D194="class",AND('Reels'!D194='Reels'!D188,'Reels'!D195='Reels'!D189)))</f>
        <v>0</v>
      </c>
      <c r="H929">
        <f>IF(G929,C929,0)</f>
        <v>0</v>
      </c>
    </row>
    <row r="930" spans="1:8" x14ac:dyDescent="0.25">
      <c r="A930" t="s">
        <v>269</v>
      </c>
      <c r="B930" t="s">
        <v>3709</v>
      </c>
      <c r="C930" s="4">
        <f>('Reels'!D190/('Reels'!D178+'Reels'!D181+'Reels'!D184+'Reels'!D187+'Reels'!D190+'Reels'!D193))*('Reels'!D196/('Reels'!D196+'Reels'!D199+'Reels'!D202+'Reels'!D205+'Reels'!D208+'Reels'!D211+'Reels'!D214))*('Reels'!D230/('Reels'!D218+'Reels'!D221+'Reels'!D224+'Reels'!D227+'Reels'!D230+'Reels'!D233))</f>
        <v>0.0013466364693640203</v>
      </c>
      <c r="D930">
        <f>IF(OR('Reels'!D188="attack",'Reels'!D188="magic"),CHOOSE('Reels'!D189+1,'Slots'!D29,'Slots'!D30,'Slots'!D31,'Slots'!D32,'Slots'!D33),0)+IF(OR('Reels'!D194="attack",'Reels'!D194="magic"),CHOOSE('Reels'!D195+1,'Slots'!D29,'Slots'!D30,'Slots'!D31,'Slots'!D32,'Slots'!D33),0)+IF(OR('Reels'!D228="attack",'Reels'!D228="magic"),CHOOSE('Reels'!D229+1,'Slots'!D29,'Slots'!D30,'Slots'!D31,'Slots'!D32,'Slots'!D33),0)</f>
        <v>2</v>
      </c>
      <c r="E930">
        <f>IF('Reels'!D188="heal",'Reels'!D189*'Slots'!D24,0)+IF('Reels'!D194="heal",'Reels'!D195*'Slots'!D24,0)+IF('Reels'!D228="heal",'Reels'!D229*'Slots'!D24,0)</f>
        <v>0</v>
      </c>
      <c r="F930">
        <f>IF('Reels'!D188="block",'Reels'!D189*'Slots'!D25,0)+IF('Reels'!D194="block",'Reels'!D195*'Slots'!D25,0)+IF('Reels'!D228="block",'Reels'!D229*'Slots'!D25,0)</f>
        <v>2</v>
      </c>
      <c r="G930" t="b">
        <f>AND('Reels'!D188&lt;&gt;"blank",'Reels'!D188&lt;&gt;"class",'Reels'!D188='Reels'!D228,'Reels'!D189='Reels'!D229,OR('Reels'!D194="class",AND('Reels'!D194='Reels'!D188,'Reels'!D195='Reels'!D189)))</f>
        <v>0</v>
      </c>
      <c r="H930">
        <f>IF(G930,C930,0)</f>
        <v>0</v>
      </c>
    </row>
    <row r="931" spans="1:8" x14ac:dyDescent="0.25">
      <c r="A931" t="s">
        <v>269</v>
      </c>
      <c r="B931" t="s">
        <v>3712</v>
      </c>
      <c r="C931" s="4">
        <f>('Reels'!D190/('Reels'!D178+'Reels'!D181+'Reels'!D184+'Reels'!D187+'Reels'!D190+'Reels'!D193))*('Reels'!D196/('Reels'!D196+'Reels'!D199+'Reels'!D202+'Reels'!D205+'Reels'!D208+'Reels'!D211+'Reels'!D214))*('Reels'!D233/('Reels'!D218+'Reels'!D221+'Reels'!D224+'Reels'!D227+'Reels'!D230+'Reels'!D233))</f>
        <v>0.003366591173410051</v>
      </c>
      <c r="D931">
        <f>IF(OR('Reels'!D188="attack",'Reels'!D188="magic"),CHOOSE('Reels'!D189+1,'Slots'!D29,'Slots'!D30,'Slots'!D31,'Slots'!D32,'Slots'!D33),0)+IF(OR('Reels'!D194="attack",'Reels'!D194="magic"),CHOOSE('Reels'!D195+1,'Slots'!D29,'Slots'!D30,'Slots'!D31,'Slots'!D32,'Slots'!D33),0)+IF(OR('Reels'!D231="attack",'Reels'!D231="magic"),CHOOSE('Reels'!D232+1,'Slots'!D29,'Slots'!D30,'Slots'!D31,'Slots'!D32,'Slots'!D33),0)</f>
        <v>2</v>
      </c>
      <c r="E931">
        <f>IF('Reels'!D188="heal",'Reels'!D189*'Slots'!D24,0)+IF('Reels'!D194="heal",'Reels'!D195*'Slots'!D24,0)+IF('Reels'!D231="heal",'Reels'!D232*'Slots'!D24,0)</f>
        <v>0</v>
      </c>
      <c r="F931">
        <f>IF('Reels'!D188="block",'Reels'!D189*'Slots'!D25,0)+IF('Reels'!D194="block",'Reels'!D195*'Slots'!D25,0)+IF('Reels'!D231="block",'Reels'!D232*'Slots'!D25,0)</f>
        <v>1</v>
      </c>
      <c r="G931" t="b">
        <f>AND('Reels'!D188&lt;&gt;"blank",'Reels'!D188&lt;&gt;"class",'Reels'!D188='Reels'!D231,'Reels'!D189='Reels'!D232,OR('Reels'!D194="class",AND('Reels'!D194='Reels'!D188,'Reels'!D195='Reels'!D189)))</f>
        <v>0</v>
      </c>
      <c r="H931">
        <f>IF(G931,C931,0)</f>
        <v>0</v>
      </c>
    </row>
    <row r="932" spans="1:8" x14ac:dyDescent="0.25">
      <c r="A932" t="s">
        <v>269</v>
      </c>
      <c r="B932" t="s">
        <v>4152</v>
      </c>
      <c r="C932" s="4">
        <f>('Reels'!D190/('Reels'!D178+'Reels'!D181+'Reels'!D184+'Reels'!D187+'Reels'!D190+'Reels'!D193))*('Reels'!D199/('Reels'!D196+'Reels'!D199+'Reels'!D202+'Reels'!D205+'Reels'!D208+'Reels'!D211+'Reels'!D214))*('Reels'!D218/('Reels'!D218+'Reels'!D221+'Reels'!D224+'Reels'!D227+'Reels'!D230+'Reels'!D233))</f>
        <v>0.004713227642774071</v>
      </c>
      <c r="D932">
        <f>IF(OR('Reels'!D188="attack",'Reels'!D188="magic"),CHOOSE('Reels'!D189+1,'Slots'!D29,'Slots'!D30,'Slots'!D31,'Slots'!D32,'Slots'!D33),0)+IF(OR('Reels'!D197="attack",'Reels'!D197="magic"),CHOOSE('Reels'!D198+1,'Slots'!D29,'Slots'!D30,'Slots'!D31,'Slots'!D32,'Slots'!D33),0)+IF(OR('Reels'!D216="attack",'Reels'!D216="magic"),CHOOSE('Reels'!D217+1,'Slots'!D29,'Slots'!D30,'Slots'!D31,'Slots'!D32,'Slots'!D33),0)</f>
        <v>6</v>
      </c>
      <c r="E932">
        <f>IF('Reels'!D188="heal",'Reels'!D189*'Slots'!D24,0)+IF('Reels'!D197="heal",'Reels'!D198*'Slots'!D24,0)+IF('Reels'!D216="heal",'Reels'!D217*'Slots'!D24,0)</f>
        <v>0</v>
      </c>
      <c r="F932">
        <f>IF('Reels'!D188="block",'Reels'!D189*'Slots'!D25,0)+IF('Reels'!D197="block",'Reels'!D198*'Slots'!D25,0)+IF('Reels'!D216="block",'Reels'!D217*'Slots'!D25,0)</f>
        <v>1</v>
      </c>
      <c r="G932" t="b">
        <f>AND('Reels'!D188&lt;&gt;"blank",'Reels'!D188&lt;&gt;"class",'Reels'!D188='Reels'!D216,'Reels'!D189='Reels'!D217,OR('Reels'!D197="class",AND('Reels'!D197='Reels'!D188,'Reels'!D198='Reels'!D189)))</f>
        <v>0</v>
      </c>
      <c r="H932">
        <f>IF(G932,C932,0)</f>
        <v>0</v>
      </c>
    </row>
    <row r="933" spans="1:8" x14ac:dyDescent="0.25">
      <c r="A933" t="s">
        <v>269</v>
      </c>
      <c r="B933" t="s">
        <v>4153</v>
      </c>
      <c r="C933" s="4">
        <f>('Reels'!D190/('Reels'!D178+'Reels'!D181+'Reels'!D184+'Reels'!D187+'Reels'!D190+'Reels'!D193))*('Reels'!D199/('Reels'!D196+'Reels'!D199+'Reels'!D202+'Reels'!D205+'Reels'!D208+'Reels'!D211+'Reels'!D214))*('Reels'!D221/('Reels'!D218+'Reels'!D221+'Reels'!D224+'Reels'!D227+'Reels'!D230+'Reels'!D233))</f>
        <v>0.0029993266817653183</v>
      </c>
      <c r="D933">
        <f>IF(OR('Reels'!D188="attack",'Reels'!D188="magic"),CHOOSE('Reels'!D189+1,'Slots'!D29,'Slots'!D30,'Slots'!D31,'Slots'!D32,'Slots'!D33),0)+IF(OR('Reels'!D197="attack",'Reels'!D197="magic"),CHOOSE('Reels'!D198+1,'Slots'!D29,'Slots'!D30,'Slots'!D31,'Slots'!D32,'Slots'!D33),0)+IF(OR('Reels'!D219="attack",'Reels'!D219="magic"),CHOOSE('Reels'!D220+1,'Slots'!D29,'Slots'!D30,'Slots'!D31,'Slots'!D32,'Slots'!D33),0)</f>
        <v>8</v>
      </c>
      <c r="E933">
        <f>IF('Reels'!D188="heal",'Reels'!D189*'Slots'!D24,0)+IF('Reels'!D197="heal",'Reels'!D198*'Slots'!D24,0)+IF('Reels'!D219="heal",'Reels'!D220*'Slots'!D24,0)</f>
        <v>0</v>
      </c>
      <c r="F933">
        <f>IF('Reels'!D188="block",'Reels'!D189*'Slots'!D25,0)+IF('Reels'!D197="block",'Reels'!D198*'Slots'!D25,0)+IF('Reels'!D219="block",'Reels'!D220*'Slots'!D25,0)</f>
        <v>1</v>
      </c>
      <c r="G933" t="b">
        <f>AND('Reels'!D188&lt;&gt;"blank",'Reels'!D188&lt;&gt;"class",'Reels'!D188='Reels'!D219,'Reels'!D189='Reels'!D220,OR('Reels'!D197="class",AND('Reels'!D197='Reels'!D188,'Reels'!D198='Reels'!D189)))</f>
        <v>0</v>
      </c>
      <c r="H933">
        <f>IF(G933,C933,0)</f>
        <v>0</v>
      </c>
    </row>
    <row r="934" spans="1:8" x14ac:dyDescent="0.25">
      <c r="A934" t="s">
        <v>269</v>
      </c>
      <c r="B934" t="s">
        <v>4154</v>
      </c>
      <c r="C934" s="4">
        <f>('Reels'!D190/('Reels'!D178+'Reels'!D181+'Reels'!D184+'Reels'!D187+'Reels'!D190+'Reels'!D193))*('Reels'!D199/('Reels'!D196+'Reels'!D199+'Reels'!D202+'Reels'!D205+'Reels'!D208+'Reels'!D211+'Reels'!D214))*('Reels'!D224/('Reels'!D218+'Reels'!D221+'Reels'!D224+'Reels'!D227+'Reels'!D230+'Reels'!D233))</f>
        <v>0.0012854257207565649</v>
      </c>
      <c r="D934">
        <f>IF(OR('Reels'!D188="attack",'Reels'!D188="magic"),CHOOSE('Reels'!D189+1,'Slots'!D29,'Slots'!D30,'Slots'!D31,'Slots'!D32,'Slots'!D33),0)+IF(OR('Reels'!D197="attack",'Reels'!D197="magic"),CHOOSE('Reels'!D198+1,'Slots'!D29,'Slots'!D30,'Slots'!D31,'Slots'!D32,'Slots'!D33),0)+IF(OR('Reels'!D222="attack",'Reels'!D222="magic"),CHOOSE('Reels'!D223+1,'Slots'!D29,'Slots'!D30,'Slots'!D31,'Slots'!D32,'Slots'!D33),0)</f>
        <v>4</v>
      </c>
      <c r="E934">
        <f>IF('Reels'!D188="heal",'Reels'!D189*'Slots'!D24,0)+IF('Reels'!D197="heal",'Reels'!D198*'Slots'!D24,0)+IF('Reels'!D222="heal",'Reels'!D223*'Slots'!D24,0)</f>
        <v>0</v>
      </c>
      <c r="F934">
        <f>IF('Reels'!D188="block",'Reels'!D189*'Slots'!D25,0)+IF('Reels'!D197="block",'Reels'!D198*'Slots'!D25,0)+IF('Reels'!D222="block",'Reels'!D223*'Slots'!D25,0)</f>
        <v>1</v>
      </c>
      <c r="G934" t="b">
        <f>AND('Reels'!D188&lt;&gt;"blank",'Reels'!D188&lt;&gt;"class",'Reels'!D188='Reels'!D222,'Reels'!D189='Reels'!D223,OR('Reels'!D197="class",AND('Reels'!D197='Reels'!D188,'Reels'!D198='Reels'!D189)))</f>
        <v>0</v>
      </c>
      <c r="H934">
        <f>IF(G934,C934,0)</f>
        <v>0</v>
      </c>
    </row>
    <row r="935" spans="1:8" x14ac:dyDescent="0.25">
      <c r="A935" t="s">
        <v>269</v>
      </c>
      <c r="B935" t="s">
        <v>4155</v>
      </c>
      <c r="C935" s="4">
        <f>('Reels'!D190/('Reels'!D178+'Reels'!D181+'Reels'!D184+'Reels'!D187+'Reels'!D190+'Reels'!D193))*('Reels'!D199/('Reels'!D196+'Reels'!D199+'Reels'!D202+'Reels'!D205+'Reels'!D208+'Reels'!D211+'Reels'!D214))*('Reels'!D227/('Reels'!D218+'Reels'!D221+'Reels'!D224+'Reels'!D227+'Reels'!D230+'Reels'!D233))</f>
        <v>0.0012854257207565649</v>
      </c>
      <c r="D935">
        <f>IF(OR('Reels'!D188="attack",'Reels'!D188="magic"),CHOOSE('Reels'!D189+1,'Slots'!D29,'Slots'!D30,'Slots'!D31,'Slots'!D32,'Slots'!D33),0)+IF(OR('Reels'!D197="attack",'Reels'!D197="magic"),CHOOSE('Reels'!D198+1,'Slots'!D29,'Slots'!D30,'Slots'!D31,'Slots'!D32,'Slots'!D33),0)+IF(OR('Reels'!D225="attack",'Reels'!D225="magic"),CHOOSE('Reels'!D226+1,'Slots'!D29,'Slots'!D30,'Slots'!D31,'Slots'!D32,'Slots'!D33),0)</f>
        <v>4</v>
      </c>
      <c r="E935">
        <f>IF('Reels'!D188="heal",'Reels'!D189*'Slots'!D24,0)+IF('Reels'!D197="heal",'Reels'!D198*'Slots'!D24,0)+IF('Reels'!D225="heal",'Reels'!D226*'Slots'!D24,0)</f>
        <v>0</v>
      </c>
      <c r="F935">
        <f>IF('Reels'!D188="block",'Reels'!D189*'Slots'!D25,0)+IF('Reels'!D197="block",'Reels'!D198*'Slots'!D25,0)+IF('Reels'!D225="block",'Reels'!D226*'Slots'!D25,0)</f>
        <v>1</v>
      </c>
      <c r="G935" t="b">
        <f>AND('Reels'!D188&lt;&gt;"blank",'Reels'!D188&lt;&gt;"class",'Reels'!D188='Reels'!D225,'Reels'!D189='Reels'!D226,OR('Reels'!D197="class",AND('Reels'!D197='Reels'!D188,'Reels'!D198='Reels'!D189)))</f>
        <v>0</v>
      </c>
      <c r="H935">
        <f>IF(G935,C935,0)</f>
        <v>0</v>
      </c>
    </row>
    <row r="936" spans="1:8" x14ac:dyDescent="0.25">
      <c r="A936" t="s">
        <v>269</v>
      </c>
      <c r="B936" t="s">
        <v>4156</v>
      </c>
      <c r="C936" s="4">
        <f>('Reels'!D190/('Reels'!D178+'Reels'!D181+'Reels'!D184+'Reels'!D187+'Reels'!D190+'Reels'!D193))*('Reels'!D199/('Reels'!D196+'Reels'!D199+'Reels'!D202+'Reels'!D205+'Reels'!D208+'Reels'!D211+'Reels'!D214))*('Reels'!D230/('Reels'!D218+'Reels'!D221+'Reels'!D224+'Reels'!D227+'Reels'!D230+'Reels'!D233))</f>
        <v>0.0008569504805043766</v>
      </c>
      <c r="D936">
        <f>IF(OR('Reels'!D188="attack",'Reels'!D188="magic"),CHOOSE('Reels'!D189+1,'Slots'!D29,'Slots'!D30,'Slots'!D31,'Slots'!D32,'Slots'!D33),0)+IF(OR('Reels'!D197="attack",'Reels'!D197="magic"),CHOOSE('Reels'!D198+1,'Slots'!D29,'Slots'!D30,'Slots'!D31,'Slots'!D32,'Slots'!D33),0)+IF(OR('Reels'!D228="attack",'Reels'!D228="magic"),CHOOSE('Reels'!D229+1,'Slots'!D29,'Slots'!D30,'Slots'!D31,'Slots'!D32,'Slots'!D33),0)</f>
        <v>4</v>
      </c>
      <c r="E936">
        <f>IF('Reels'!D188="heal",'Reels'!D189*'Slots'!D24,0)+IF('Reels'!D197="heal",'Reels'!D198*'Slots'!D24,0)+IF('Reels'!D228="heal",'Reels'!D229*'Slots'!D24,0)</f>
        <v>0</v>
      </c>
      <c r="F936">
        <f>IF('Reels'!D188="block",'Reels'!D189*'Slots'!D25,0)+IF('Reels'!D197="block",'Reels'!D198*'Slots'!D25,0)+IF('Reels'!D228="block",'Reels'!D229*'Slots'!D25,0)</f>
        <v>2</v>
      </c>
      <c r="G936" t="b">
        <f>AND('Reels'!D188&lt;&gt;"blank",'Reels'!D188&lt;&gt;"class",'Reels'!D188='Reels'!D228,'Reels'!D189='Reels'!D229,OR('Reels'!D197="class",AND('Reels'!D197='Reels'!D188,'Reels'!D198='Reels'!D189)))</f>
        <v>0</v>
      </c>
      <c r="H936">
        <f>IF(G936,C936,0)</f>
        <v>0</v>
      </c>
    </row>
    <row r="937" spans="1:8" x14ac:dyDescent="0.25">
      <c r="A937" t="s">
        <v>269</v>
      </c>
      <c r="B937" t="s">
        <v>4157</v>
      </c>
      <c r="C937" s="4">
        <f>('Reels'!D190/('Reels'!D178+'Reels'!D181+'Reels'!D184+'Reels'!D187+'Reels'!D190+'Reels'!D193))*('Reels'!D199/('Reels'!D196+'Reels'!D199+'Reels'!D202+'Reels'!D205+'Reels'!D208+'Reels'!D211+'Reels'!D214))*('Reels'!D233/('Reels'!D218+'Reels'!D221+'Reels'!D224+'Reels'!D227+'Reels'!D230+'Reels'!D233))</f>
        <v>0.002142376201260941</v>
      </c>
      <c r="D937">
        <f>IF(OR('Reels'!D188="attack",'Reels'!D188="magic"),CHOOSE('Reels'!D189+1,'Slots'!D29,'Slots'!D30,'Slots'!D31,'Slots'!D32,'Slots'!D33),0)+IF(OR('Reels'!D197="attack",'Reels'!D197="magic"),CHOOSE('Reels'!D198+1,'Slots'!D29,'Slots'!D30,'Slots'!D31,'Slots'!D32,'Slots'!D33),0)+IF(OR('Reels'!D231="attack",'Reels'!D231="magic"),CHOOSE('Reels'!D232+1,'Slots'!D29,'Slots'!D30,'Slots'!D31,'Slots'!D32,'Slots'!D33),0)</f>
        <v>4</v>
      </c>
      <c r="E937">
        <f>IF('Reels'!D188="heal",'Reels'!D189*'Slots'!D24,0)+IF('Reels'!D197="heal",'Reels'!D198*'Slots'!D24,0)+IF('Reels'!D231="heal",'Reels'!D232*'Slots'!D24,0)</f>
        <v>0</v>
      </c>
      <c r="F937">
        <f>IF('Reels'!D188="block",'Reels'!D189*'Slots'!D25,0)+IF('Reels'!D197="block",'Reels'!D198*'Slots'!D25,0)+IF('Reels'!D231="block",'Reels'!D232*'Slots'!D25,0)</f>
        <v>1</v>
      </c>
      <c r="G937" t="b">
        <f>AND('Reels'!D188&lt;&gt;"blank",'Reels'!D188&lt;&gt;"class",'Reels'!D188='Reels'!D231,'Reels'!D189='Reels'!D232,OR('Reels'!D197="class",AND('Reels'!D197='Reels'!D188,'Reels'!D198='Reels'!D189)))</f>
        <v>0</v>
      </c>
      <c r="H937">
        <f>IF(G937,C937,0)</f>
        <v>0</v>
      </c>
    </row>
    <row r="938" spans="1:8" x14ac:dyDescent="0.25">
      <c r="A938" t="s">
        <v>269</v>
      </c>
      <c r="B938" t="s">
        <v>4158</v>
      </c>
      <c r="C938" s="4">
        <f>('Reels'!D190/('Reels'!D178+'Reels'!D181+'Reels'!D184+'Reels'!D187+'Reels'!D190+'Reels'!D193))*('Reels'!D202/('Reels'!D196+'Reels'!D199+'Reels'!D202+'Reels'!D205+'Reels'!D208+'Reels'!D211+'Reels'!D214))*('Reels'!D218/('Reels'!D218+'Reels'!D221+'Reels'!D224+'Reels'!D227+'Reels'!D230+'Reels'!D233))</f>
        <v>0.0020199547040460307</v>
      </c>
      <c r="D938">
        <f>IF(OR('Reels'!D188="attack",'Reels'!D188="magic"),CHOOSE('Reels'!D189+1,'Slots'!D29,'Slots'!D30,'Slots'!D31,'Slots'!D32,'Slots'!D33),0)+IF(OR('Reels'!D200="attack",'Reels'!D200="magic"),CHOOSE('Reels'!D201+1,'Slots'!D29,'Slots'!D30,'Slots'!D31,'Slots'!D32,'Slots'!D33),0)+IF(OR('Reels'!D216="attack",'Reels'!D216="magic"),CHOOSE('Reels'!D217+1,'Slots'!D29,'Slots'!D30,'Slots'!D31,'Slots'!D32,'Slots'!D33),0)</f>
        <v>2</v>
      </c>
      <c r="E938">
        <f>IF('Reels'!D188="heal",'Reels'!D189*'Slots'!D24,0)+IF('Reels'!D200="heal",'Reels'!D201*'Slots'!D24,0)+IF('Reels'!D216="heal",'Reels'!D217*'Slots'!D24,0)</f>
        <v>0</v>
      </c>
      <c r="F938">
        <f>IF('Reels'!D188="block",'Reels'!D189*'Slots'!D25,0)+IF('Reels'!D200="block",'Reels'!D201*'Slots'!D25,0)+IF('Reels'!D216="block",'Reels'!D217*'Slots'!D25,0)</f>
        <v>1</v>
      </c>
      <c r="G938" t="b">
        <f>AND('Reels'!D188&lt;&gt;"blank",'Reels'!D188&lt;&gt;"class",'Reels'!D188='Reels'!D216,'Reels'!D189='Reels'!D217,OR('Reels'!D200="class",AND('Reels'!D200='Reels'!D188,'Reels'!D201='Reels'!D189)))</f>
        <v>0</v>
      </c>
      <c r="H938">
        <f>IF(G938,C938,0)</f>
        <v>0</v>
      </c>
    </row>
    <row r="939" spans="1:8" x14ac:dyDescent="0.25">
      <c r="A939" t="s">
        <v>269</v>
      </c>
      <c r="B939" t="s">
        <v>4159</v>
      </c>
      <c r="C939" s="4">
        <f>('Reels'!D190/('Reels'!D178+'Reels'!D181+'Reels'!D184+'Reels'!D187+'Reels'!D190+'Reels'!D193))*('Reels'!D202/('Reels'!D196+'Reels'!D199+'Reels'!D202+'Reels'!D205+'Reels'!D208+'Reels'!D211+'Reels'!D214))*('Reels'!D221/('Reels'!D218+'Reels'!D221+'Reels'!D224+'Reels'!D227+'Reels'!D230+'Reels'!D233))</f>
        <v>0.0012854257207565649</v>
      </c>
      <c r="D939">
        <f>IF(OR('Reels'!D188="attack",'Reels'!D188="magic"),CHOOSE('Reels'!D189+1,'Slots'!D29,'Slots'!D30,'Slots'!D31,'Slots'!D32,'Slots'!D33),0)+IF(OR('Reels'!D200="attack",'Reels'!D200="magic"),CHOOSE('Reels'!D201+1,'Slots'!D29,'Slots'!D30,'Slots'!D31,'Slots'!D32,'Slots'!D33),0)+IF(OR('Reels'!D219="attack",'Reels'!D219="magic"),CHOOSE('Reels'!D220+1,'Slots'!D29,'Slots'!D30,'Slots'!D31,'Slots'!D32,'Slots'!D33),0)</f>
        <v>4</v>
      </c>
      <c r="E939">
        <f>IF('Reels'!D188="heal",'Reels'!D189*'Slots'!D24,0)+IF('Reels'!D200="heal",'Reels'!D201*'Slots'!D24,0)+IF('Reels'!D219="heal",'Reels'!D220*'Slots'!D24,0)</f>
        <v>0</v>
      </c>
      <c r="F939">
        <f>IF('Reels'!D188="block",'Reels'!D189*'Slots'!D25,0)+IF('Reels'!D200="block",'Reels'!D201*'Slots'!D25,0)+IF('Reels'!D219="block",'Reels'!D220*'Slots'!D25,0)</f>
        <v>1</v>
      </c>
      <c r="G939" t="b">
        <f>AND('Reels'!D188&lt;&gt;"blank",'Reels'!D188&lt;&gt;"class",'Reels'!D188='Reels'!D219,'Reels'!D189='Reels'!D220,OR('Reels'!D200="class",AND('Reels'!D200='Reels'!D188,'Reels'!D201='Reels'!D189)))</f>
        <v>0</v>
      </c>
      <c r="H939">
        <f>IF(G939,C939,0)</f>
        <v>0</v>
      </c>
    </row>
    <row r="940" spans="1:8" x14ac:dyDescent="0.25">
      <c r="A940" t="s">
        <v>269</v>
      </c>
      <c r="B940" t="s">
        <v>3974</v>
      </c>
      <c r="C940" s="4">
        <f>('Reels'!D190/('Reels'!D178+'Reels'!D181+'Reels'!D184+'Reels'!D187+'Reels'!D190+'Reels'!D193))*('Reels'!D202/('Reels'!D196+'Reels'!D199+'Reels'!D202+'Reels'!D205+'Reels'!D208+'Reels'!D211+'Reels'!D214))*('Reels'!D224/('Reels'!D218+'Reels'!D221+'Reels'!D224+'Reels'!D227+'Reels'!D230+'Reels'!D233))</f>
        <v>0.0005508967374670993</v>
      </c>
      <c r="D940">
        <f>IF(OR('Reels'!D188="attack",'Reels'!D188="magic"),CHOOSE('Reels'!D189+1,'Slots'!D29,'Slots'!D30,'Slots'!D31,'Slots'!D32,'Slots'!D33),0)+IF(OR('Reels'!D200="attack",'Reels'!D200="magic"),CHOOSE('Reels'!D201+1,'Slots'!D29,'Slots'!D30,'Slots'!D31,'Slots'!D32,'Slots'!D33),0)+IF(OR('Reels'!D222="attack",'Reels'!D222="magic"),CHOOSE('Reels'!D223+1,'Slots'!D29,'Slots'!D30,'Slots'!D31,'Slots'!D32,'Slots'!D33),0)</f>
        <v>0</v>
      </c>
      <c r="E940">
        <f>IF('Reels'!D188="heal",'Reels'!D189*'Slots'!D24,0)+IF('Reels'!D200="heal",'Reels'!D201*'Slots'!D24,0)+IF('Reels'!D222="heal",'Reels'!D223*'Slots'!D24,0)</f>
        <v>0</v>
      </c>
      <c r="F940">
        <f>IF('Reels'!D188="block",'Reels'!D189*'Slots'!D25,0)+IF('Reels'!D200="block",'Reels'!D201*'Slots'!D25,0)+IF('Reels'!D222="block",'Reels'!D223*'Slots'!D25,0)</f>
        <v>1</v>
      </c>
      <c r="G940" t="b">
        <f>AND('Reels'!D188&lt;&gt;"blank",'Reels'!D188&lt;&gt;"class",'Reels'!D188='Reels'!D222,'Reels'!D189='Reels'!D223,OR('Reels'!D200="class",AND('Reels'!D200='Reels'!D188,'Reels'!D201='Reels'!D189)))</f>
        <v>0</v>
      </c>
      <c r="H940">
        <f>IF(G940,C940,0)</f>
        <v>0</v>
      </c>
    </row>
    <row r="941" spans="1:8" x14ac:dyDescent="0.25">
      <c r="A941" t="s">
        <v>269</v>
      </c>
      <c r="B941" t="s">
        <v>4160</v>
      </c>
      <c r="C941" s="4">
        <f>('Reels'!D190/('Reels'!D178+'Reels'!D181+'Reels'!D184+'Reels'!D187+'Reels'!D190+'Reels'!D193))*('Reels'!D202/('Reels'!D196+'Reels'!D199+'Reels'!D202+'Reels'!D205+'Reels'!D208+'Reels'!D211+'Reels'!D214))*('Reels'!D227/('Reels'!D218+'Reels'!D221+'Reels'!D224+'Reels'!D227+'Reels'!D230+'Reels'!D233))</f>
        <v>0.0005508967374670993</v>
      </c>
      <c r="D941">
        <f>IF(OR('Reels'!D188="attack",'Reels'!D188="magic"),CHOOSE('Reels'!D189+1,'Slots'!D29,'Slots'!D30,'Slots'!D31,'Slots'!D32,'Slots'!D33),0)+IF(OR('Reels'!D200="attack",'Reels'!D200="magic"),CHOOSE('Reels'!D201+1,'Slots'!D29,'Slots'!D30,'Slots'!D31,'Slots'!D32,'Slots'!D33),0)+IF(OR('Reels'!D225="attack",'Reels'!D225="magic"),CHOOSE('Reels'!D226+1,'Slots'!D29,'Slots'!D30,'Slots'!D31,'Slots'!D32,'Slots'!D33),0)</f>
        <v>0</v>
      </c>
      <c r="E941">
        <f>IF('Reels'!D188="heal",'Reels'!D189*'Slots'!D24,0)+IF('Reels'!D200="heal",'Reels'!D201*'Slots'!D24,0)+IF('Reels'!D225="heal",'Reels'!D226*'Slots'!D24,0)</f>
        <v>0</v>
      </c>
      <c r="F941">
        <f>IF('Reels'!D188="block",'Reels'!D189*'Slots'!D25,0)+IF('Reels'!D200="block",'Reels'!D201*'Slots'!D25,0)+IF('Reels'!D225="block",'Reels'!D226*'Slots'!D25,0)</f>
        <v>1</v>
      </c>
      <c r="G941" t="b">
        <f>AND('Reels'!D188&lt;&gt;"blank",'Reels'!D188&lt;&gt;"class",'Reels'!D188='Reels'!D225,'Reels'!D189='Reels'!D226,OR('Reels'!D200="class",AND('Reels'!D200='Reels'!D188,'Reels'!D201='Reels'!D189)))</f>
        <v>0</v>
      </c>
      <c r="H941">
        <f>IF(G941,C941,0)</f>
        <v>0</v>
      </c>
    </row>
    <row r="942" spans="1:8" x14ac:dyDescent="0.25">
      <c r="A942" t="s">
        <v>269</v>
      </c>
      <c r="B942" t="s">
        <v>3975</v>
      </c>
      <c r="C942" s="4">
        <f>('Reels'!D190/('Reels'!D178+'Reels'!D181+'Reels'!D184+'Reels'!D187+'Reels'!D190+'Reels'!D193))*('Reels'!D202/('Reels'!D196+'Reels'!D199+'Reels'!D202+'Reels'!D205+'Reels'!D208+'Reels'!D211+'Reels'!D214))*('Reels'!D230/('Reels'!D218+'Reels'!D221+'Reels'!D224+'Reels'!D227+'Reels'!D230+'Reels'!D233))</f>
        <v>0.0003672644916447328</v>
      </c>
      <c r="D942">
        <f>IF(OR('Reels'!D188="attack",'Reels'!D188="magic"),CHOOSE('Reels'!D189+1,'Slots'!D29,'Slots'!D30,'Slots'!D31,'Slots'!D32,'Slots'!D33),0)+IF(OR('Reels'!D200="attack",'Reels'!D200="magic"),CHOOSE('Reels'!D201+1,'Slots'!D29,'Slots'!D30,'Slots'!D31,'Slots'!D32,'Slots'!D33),0)+IF(OR('Reels'!D228="attack",'Reels'!D228="magic"),CHOOSE('Reels'!D229+1,'Slots'!D29,'Slots'!D30,'Slots'!D31,'Slots'!D32,'Slots'!D33),0)</f>
        <v>0</v>
      </c>
      <c r="E942">
        <f>IF('Reels'!D188="heal",'Reels'!D189*'Slots'!D24,0)+IF('Reels'!D200="heal",'Reels'!D201*'Slots'!D24,0)+IF('Reels'!D228="heal",'Reels'!D229*'Slots'!D24,0)</f>
        <v>0</v>
      </c>
      <c r="F942">
        <f>IF('Reels'!D188="block",'Reels'!D189*'Slots'!D25,0)+IF('Reels'!D200="block",'Reels'!D201*'Slots'!D25,0)+IF('Reels'!D228="block",'Reels'!D229*'Slots'!D25,0)</f>
        <v>2</v>
      </c>
      <c r="G942" t="b">
        <f>AND('Reels'!D188&lt;&gt;"blank",'Reels'!D188&lt;&gt;"class",'Reels'!D188='Reels'!D228,'Reels'!D189='Reels'!D229,OR('Reels'!D200="class",AND('Reels'!D200='Reels'!D188,'Reels'!D201='Reels'!D189)))</f>
        <v>0</v>
      </c>
      <c r="H942">
        <f>IF(G942,C942,0)</f>
        <v>0</v>
      </c>
    </row>
    <row r="943" spans="1:8" x14ac:dyDescent="0.25">
      <c r="A943" t="s">
        <v>269</v>
      </c>
      <c r="B943" t="s">
        <v>3976</v>
      </c>
      <c r="C943" s="4">
        <f>('Reels'!D190/('Reels'!D178+'Reels'!D181+'Reels'!D184+'Reels'!D187+'Reels'!D190+'Reels'!D193))*('Reels'!D202/('Reels'!D196+'Reels'!D199+'Reels'!D202+'Reels'!D205+'Reels'!D208+'Reels'!D211+'Reels'!D214))*('Reels'!D233/('Reels'!D218+'Reels'!D221+'Reels'!D224+'Reels'!D227+'Reels'!D230+'Reels'!D233))</f>
        <v>0.000918161229111832</v>
      </c>
      <c r="D943">
        <f>IF(OR('Reels'!D188="attack",'Reels'!D188="magic"),CHOOSE('Reels'!D189+1,'Slots'!D29,'Slots'!D30,'Slots'!D31,'Slots'!D32,'Slots'!D33),0)+IF(OR('Reels'!D200="attack",'Reels'!D200="magic"),CHOOSE('Reels'!D201+1,'Slots'!D29,'Slots'!D30,'Slots'!D31,'Slots'!D32,'Slots'!D33),0)+IF(OR('Reels'!D231="attack",'Reels'!D231="magic"),CHOOSE('Reels'!D232+1,'Slots'!D29,'Slots'!D30,'Slots'!D31,'Slots'!D32,'Slots'!D33),0)</f>
        <v>0</v>
      </c>
      <c r="E943">
        <f>IF('Reels'!D188="heal",'Reels'!D189*'Slots'!D24,0)+IF('Reels'!D200="heal",'Reels'!D201*'Slots'!D24,0)+IF('Reels'!D231="heal",'Reels'!D232*'Slots'!D24,0)</f>
        <v>0</v>
      </c>
      <c r="F943">
        <f>IF('Reels'!D188="block",'Reels'!D189*'Slots'!D25,0)+IF('Reels'!D200="block",'Reels'!D201*'Slots'!D25,0)+IF('Reels'!D231="block",'Reels'!D232*'Slots'!D25,0)</f>
        <v>1</v>
      </c>
      <c r="G943" t="b">
        <f>AND('Reels'!D188&lt;&gt;"blank",'Reels'!D188&lt;&gt;"class",'Reels'!D188='Reels'!D231,'Reels'!D189='Reels'!D232,OR('Reels'!D200="class",AND('Reels'!D200='Reels'!D188,'Reels'!D201='Reels'!D189)))</f>
        <v>0</v>
      </c>
      <c r="H943">
        <f>IF(G943,C943,0)</f>
        <v>0</v>
      </c>
    </row>
    <row r="944" spans="1:8" x14ac:dyDescent="0.25">
      <c r="A944" t="s">
        <v>269</v>
      </c>
      <c r="B944" t="s">
        <v>4161</v>
      </c>
      <c r="C944" s="4">
        <f>('Reels'!D190/('Reels'!D178+'Reels'!D181+'Reels'!D184+'Reels'!D187+'Reels'!D190+'Reels'!D193))*('Reels'!D205/('Reels'!D196+'Reels'!D199+'Reels'!D202+'Reels'!D205+'Reels'!D208+'Reels'!D211+'Reels'!D214))*('Reels'!D218/('Reels'!D218+'Reels'!D221+'Reels'!D224+'Reels'!D227+'Reels'!D230+'Reels'!D233))</f>
        <v>0.0020199547040460307</v>
      </c>
      <c r="D944">
        <f>IF(OR('Reels'!D188="attack",'Reels'!D188="magic"),CHOOSE('Reels'!D189+1,'Slots'!D29,'Slots'!D30,'Slots'!D31,'Slots'!D32,'Slots'!D33),0)+IF(OR('Reels'!D203="attack",'Reels'!D203="magic"),CHOOSE('Reels'!D204+1,'Slots'!D29,'Slots'!D30,'Slots'!D31,'Slots'!D32,'Slots'!D33),0)+IF(OR('Reels'!D216="attack",'Reels'!D216="magic"),CHOOSE('Reels'!D217+1,'Slots'!D29,'Slots'!D30,'Slots'!D31,'Slots'!D32,'Slots'!D33),0)</f>
        <v>2</v>
      </c>
      <c r="E944">
        <f>IF('Reels'!D188="heal",'Reels'!D189*'Slots'!D24,0)+IF('Reels'!D203="heal",'Reels'!D204*'Slots'!D24,0)+IF('Reels'!D216="heal",'Reels'!D217*'Slots'!D24,0)</f>
        <v>0</v>
      </c>
      <c r="F944">
        <f>IF('Reels'!D188="block",'Reels'!D189*'Slots'!D25,0)+IF('Reels'!D203="block",'Reels'!D204*'Slots'!D25,0)+IF('Reels'!D216="block",'Reels'!D217*'Slots'!D25,0)</f>
        <v>1</v>
      </c>
      <c r="G944" t="b">
        <f>AND('Reels'!D188&lt;&gt;"blank",'Reels'!D188&lt;&gt;"class",'Reels'!D188='Reels'!D216,'Reels'!D189='Reels'!D217,OR('Reels'!D203="class",AND('Reels'!D203='Reels'!D188,'Reels'!D204='Reels'!D189)))</f>
        <v>0</v>
      </c>
      <c r="H944">
        <f>IF(G944,C944,0)</f>
        <v>0</v>
      </c>
    </row>
    <row r="945" spans="1:8" x14ac:dyDescent="0.25">
      <c r="A945" t="s">
        <v>269</v>
      </c>
      <c r="B945" t="s">
        <v>4162</v>
      </c>
      <c r="C945" s="4">
        <f>('Reels'!D190/('Reels'!D178+'Reels'!D181+'Reels'!D184+'Reels'!D187+'Reels'!D190+'Reels'!D193))*('Reels'!D205/('Reels'!D196+'Reels'!D199+'Reels'!D202+'Reels'!D205+'Reels'!D208+'Reels'!D211+'Reels'!D214))*('Reels'!D221/('Reels'!D218+'Reels'!D221+'Reels'!D224+'Reels'!D227+'Reels'!D230+'Reels'!D233))</f>
        <v>0.0012854257207565649</v>
      </c>
      <c r="D945">
        <f>IF(OR('Reels'!D188="attack",'Reels'!D188="magic"),CHOOSE('Reels'!D189+1,'Slots'!D29,'Slots'!D30,'Slots'!D31,'Slots'!D32,'Slots'!D33),0)+IF(OR('Reels'!D203="attack",'Reels'!D203="magic"),CHOOSE('Reels'!D204+1,'Slots'!D29,'Slots'!D30,'Slots'!D31,'Slots'!D32,'Slots'!D33),0)+IF(OR('Reels'!D219="attack",'Reels'!D219="magic"),CHOOSE('Reels'!D220+1,'Slots'!D29,'Slots'!D30,'Slots'!D31,'Slots'!D32,'Slots'!D33),0)</f>
        <v>4</v>
      </c>
      <c r="E945">
        <f>IF('Reels'!D188="heal",'Reels'!D189*'Slots'!D24,0)+IF('Reels'!D203="heal",'Reels'!D204*'Slots'!D24,0)+IF('Reels'!D219="heal",'Reels'!D220*'Slots'!D24,0)</f>
        <v>0</v>
      </c>
      <c r="F945">
        <f>IF('Reels'!D188="block",'Reels'!D189*'Slots'!D25,0)+IF('Reels'!D203="block",'Reels'!D204*'Slots'!D25,0)+IF('Reels'!D219="block",'Reels'!D220*'Slots'!D25,0)</f>
        <v>1</v>
      </c>
      <c r="G945" t="b">
        <f>AND('Reels'!D188&lt;&gt;"blank",'Reels'!D188&lt;&gt;"class",'Reels'!D188='Reels'!D219,'Reels'!D189='Reels'!D220,OR('Reels'!D203="class",AND('Reels'!D203='Reels'!D188,'Reels'!D204='Reels'!D189)))</f>
        <v>0</v>
      </c>
      <c r="H945">
        <f>IF(G945,C945,0)</f>
        <v>0</v>
      </c>
    </row>
    <row r="946" spans="1:8" x14ac:dyDescent="0.25">
      <c r="A946" t="s">
        <v>269</v>
      </c>
      <c r="B946" t="s">
        <v>4163</v>
      </c>
      <c r="C946" s="4">
        <f>('Reels'!D190/('Reels'!D178+'Reels'!D181+'Reels'!D184+'Reels'!D187+'Reels'!D190+'Reels'!D193))*('Reels'!D205/('Reels'!D196+'Reels'!D199+'Reels'!D202+'Reels'!D205+'Reels'!D208+'Reels'!D211+'Reels'!D214))*('Reels'!D224/('Reels'!D218+'Reels'!D221+'Reels'!D224+'Reels'!D227+'Reels'!D230+'Reels'!D233))</f>
        <v>0.0005508967374670993</v>
      </c>
      <c r="D946">
        <f>IF(OR('Reels'!D188="attack",'Reels'!D188="magic"),CHOOSE('Reels'!D189+1,'Slots'!D29,'Slots'!D30,'Slots'!D31,'Slots'!D32,'Slots'!D33),0)+IF(OR('Reels'!D203="attack",'Reels'!D203="magic"),CHOOSE('Reels'!D204+1,'Slots'!D29,'Slots'!D30,'Slots'!D31,'Slots'!D32,'Slots'!D33),0)+IF(OR('Reels'!D222="attack",'Reels'!D222="magic"),CHOOSE('Reels'!D223+1,'Slots'!D29,'Slots'!D30,'Slots'!D31,'Slots'!D32,'Slots'!D33),0)</f>
        <v>0</v>
      </c>
      <c r="E946">
        <f>IF('Reels'!D188="heal",'Reels'!D189*'Slots'!D24,0)+IF('Reels'!D203="heal",'Reels'!D204*'Slots'!D24,0)+IF('Reels'!D222="heal",'Reels'!D223*'Slots'!D24,0)</f>
        <v>0</v>
      </c>
      <c r="F946">
        <f>IF('Reels'!D188="block",'Reels'!D189*'Slots'!D25,0)+IF('Reels'!D203="block",'Reels'!D204*'Slots'!D25,0)+IF('Reels'!D222="block",'Reels'!D223*'Slots'!D25,0)</f>
        <v>1</v>
      </c>
      <c r="G946" t="b">
        <f>AND('Reels'!D188&lt;&gt;"blank",'Reels'!D188&lt;&gt;"class",'Reels'!D188='Reels'!D222,'Reels'!D189='Reels'!D223,OR('Reels'!D203="class",AND('Reels'!D203='Reels'!D188,'Reels'!D204='Reels'!D189)))</f>
        <v>0</v>
      </c>
      <c r="H946">
        <f>IF(G946,C946,0)</f>
        <v>0</v>
      </c>
    </row>
    <row r="947" spans="1:8" x14ac:dyDescent="0.25">
      <c r="A947" t="s">
        <v>269</v>
      </c>
      <c r="B947" t="s">
        <v>4164</v>
      </c>
      <c r="C947" s="4">
        <f>('Reels'!D190/('Reels'!D178+'Reels'!D181+'Reels'!D184+'Reels'!D187+'Reels'!D190+'Reels'!D193))*('Reels'!D205/('Reels'!D196+'Reels'!D199+'Reels'!D202+'Reels'!D205+'Reels'!D208+'Reels'!D211+'Reels'!D214))*('Reels'!D227/('Reels'!D218+'Reels'!D221+'Reels'!D224+'Reels'!D227+'Reels'!D230+'Reels'!D233))</f>
        <v>0.0005508967374670993</v>
      </c>
      <c r="D947">
        <f>IF(OR('Reels'!D188="attack",'Reels'!D188="magic"),CHOOSE('Reels'!D189+1,'Slots'!D29,'Slots'!D30,'Slots'!D31,'Slots'!D32,'Slots'!D33),0)+IF(OR('Reels'!D203="attack",'Reels'!D203="magic"),CHOOSE('Reels'!D204+1,'Slots'!D29,'Slots'!D30,'Slots'!D31,'Slots'!D32,'Slots'!D33),0)+IF(OR('Reels'!D225="attack",'Reels'!D225="magic"),CHOOSE('Reels'!D226+1,'Slots'!D29,'Slots'!D30,'Slots'!D31,'Slots'!D32,'Slots'!D33),0)</f>
        <v>0</v>
      </c>
      <c r="E947">
        <f>IF('Reels'!D188="heal",'Reels'!D189*'Slots'!D24,0)+IF('Reels'!D203="heal",'Reels'!D204*'Slots'!D24,0)+IF('Reels'!D225="heal",'Reels'!D226*'Slots'!D24,0)</f>
        <v>0</v>
      </c>
      <c r="F947">
        <f>IF('Reels'!D188="block",'Reels'!D189*'Slots'!D25,0)+IF('Reels'!D203="block",'Reels'!D204*'Slots'!D25,0)+IF('Reels'!D225="block",'Reels'!D226*'Slots'!D25,0)</f>
        <v>1</v>
      </c>
      <c r="G947" t="b">
        <f>AND('Reels'!D188&lt;&gt;"blank",'Reels'!D188&lt;&gt;"class",'Reels'!D188='Reels'!D225,'Reels'!D189='Reels'!D226,OR('Reels'!D203="class",AND('Reels'!D203='Reels'!D188,'Reels'!D204='Reels'!D189)))</f>
        <v>0</v>
      </c>
      <c r="H947">
        <f>IF(G947,C947,0)</f>
        <v>0</v>
      </c>
    </row>
    <row r="948" spans="1:8" x14ac:dyDescent="0.25">
      <c r="A948" t="s">
        <v>269</v>
      </c>
      <c r="B948" t="s">
        <v>4165</v>
      </c>
      <c r="C948" s="4">
        <f>('Reels'!D190/('Reels'!D178+'Reels'!D181+'Reels'!D184+'Reels'!D187+'Reels'!D190+'Reels'!D193))*('Reels'!D205/('Reels'!D196+'Reels'!D199+'Reels'!D202+'Reels'!D205+'Reels'!D208+'Reels'!D211+'Reels'!D214))*('Reels'!D230/('Reels'!D218+'Reels'!D221+'Reels'!D224+'Reels'!D227+'Reels'!D230+'Reels'!D233))</f>
        <v>0.0003672644916447328</v>
      </c>
      <c r="D948">
        <f>IF(OR('Reels'!D188="attack",'Reels'!D188="magic"),CHOOSE('Reels'!D189+1,'Slots'!D29,'Slots'!D30,'Slots'!D31,'Slots'!D32,'Slots'!D33),0)+IF(OR('Reels'!D203="attack",'Reels'!D203="magic"),CHOOSE('Reels'!D204+1,'Slots'!D29,'Slots'!D30,'Slots'!D31,'Slots'!D32,'Slots'!D33),0)+IF(OR('Reels'!D228="attack",'Reels'!D228="magic"),CHOOSE('Reels'!D229+1,'Slots'!D29,'Slots'!D30,'Slots'!D31,'Slots'!D32,'Slots'!D33),0)</f>
        <v>0</v>
      </c>
      <c r="E948">
        <f>IF('Reels'!D188="heal",'Reels'!D189*'Slots'!D24,0)+IF('Reels'!D203="heal",'Reels'!D204*'Slots'!D24,0)+IF('Reels'!D228="heal",'Reels'!D229*'Slots'!D24,0)</f>
        <v>0</v>
      </c>
      <c r="F948">
        <f>IF('Reels'!D188="block",'Reels'!D189*'Slots'!D25,0)+IF('Reels'!D203="block",'Reels'!D204*'Slots'!D25,0)+IF('Reels'!D228="block",'Reels'!D229*'Slots'!D25,0)</f>
        <v>2</v>
      </c>
      <c r="G948" t="b">
        <f>AND('Reels'!D188&lt;&gt;"blank",'Reels'!D188&lt;&gt;"class",'Reels'!D188='Reels'!D228,'Reels'!D189='Reels'!D229,OR('Reels'!D203="class",AND('Reels'!D203='Reels'!D188,'Reels'!D204='Reels'!D189)))</f>
        <v>0</v>
      </c>
      <c r="H948">
        <f>IF(G948,C948,0)</f>
        <v>0</v>
      </c>
    </row>
    <row r="949" spans="1:8" x14ac:dyDescent="0.25">
      <c r="A949" t="s">
        <v>269</v>
      </c>
      <c r="B949" t="s">
        <v>4166</v>
      </c>
      <c r="C949" s="4">
        <f>('Reels'!D190/('Reels'!D178+'Reels'!D181+'Reels'!D184+'Reels'!D187+'Reels'!D190+'Reels'!D193))*('Reels'!D205/('Reels'!D196+'Reels'!D199+'Reels'!D202+'Reels'!D205+'Reels'!D208+'Reels'!D211+'Reels'!D214))*('Reels'!D233/('Reels'!D218+'Reels'!D221+'Reels'!D224+'Reels'!D227+'Reels'!D230+'Reels'!D233))</f>
        <v>0.000918161229111832</v>
      </c>
      <c r="D949">
        <f>IF(OR('Reels'!D188="attack",'Reels'!D188="magic"),CHOOSE('Reels'!D189+1,'Slots'!D29,'Slots'!D30,'Slots'!D31,'Slots'!D32,'Slots'!D33),0)+IF(OR('Reels'!D203="attack",'Reels'!D203="magic"),CHOOSE('Reels'!D204+1,'Slots'!D29,'Slots'!D30,'Slots'!D31,'Slots'!D32,'Slots'!D33),0)+IF(OR('Reels'!D231="attack",'Reels'!D231="magic"),CHOOSE('Reels'!D232+1,'Slots'!D29,'Slots'!D30,'Slots'!D31,'Slots'!D32,'Slots'!D33),0)</f>
        <v>0</v>
      </c>
      <c r="E949">
        <f>IF('Reels'!D188="heal",'Reels'!D189*'Slots'!D24,0)+IF('Reels'!D203="heal",'Reels'!D204*'Slots'!D24,0)+IF('Reels'!D231="heal",'Reels'!D232*'Slots'!D24,0)</f>
        <v>0</v>
      </c>
      <c r="F949">
        <f>IF('Reels'!D188="block",'Reels'!D189*'Slots'!D25,0)+IF('Reels'!D203="block",'Reels'!D204*'Slots'!D25,0)+IF('Reels'!D231="block",'Reels'!D232*'Slots'!D25,0)</f>
        <v>1</v>
      </c>
      <c r="G949" t="b">
        <f>AND('Reels'!D188&lt;&gt;"blank",'Reels'!D188&lt;&gt;"class",'Reels'!D188='Reels'!D231,'Reels'!D189='Reels'!D232,OR('Reels'!D203="class",AND('Reels'!D203='Reels'!D188,'Reels'!D204='Reels'!D189)))</f>
        <v>0</v>
      </c>
      <c r="H949">
        <f>IF(G949,C949,0)</f>
        <v>0</v>
      </c>
    </row>
    <row r="950" spans="1:8" x14ac:dyDescent="0.25">
      <c r="A950" t="s">
        <v>269</v>
      </c>
      <c r="B950" t="s">
        <v>3700</v>
      </c>
      <c r="C950" s="4">
        <f>('Reels'!D190/('Reels'!D178+'Reels'!D181+'Reels'!D184+'Reels'!D187+'Reels'!D190+'Reels'!D193))*('Reels'!D208/('Reels'!D196+'Reels'!D199+'Reels'!D202+'Reels'!D205+'Reels'!D208+'Reels'!D211+'Reels'!D214))*('Reels'!D218/('Reels'!D218+'Reels'!D221+'Reels'!D224+'Reels'!D227+'Reels'!D230+'Reels'!D233))</f>
        <v>0.0013466364693640203</v>
      </c>
      <c r="D950">
        <f>IF(OR('Reels'!D188="attack",'Reels'!D188="magic"),CHOOSE('Reels'!D189+1,'Slots'!D29,'Slots'!D30,'Slots'!D31,'Slots'!D32,'Slots'!D33),0)+IF(OR('Reels'!D206="attack",'Reels'!D206="magic"),CHOOSE('Reels'!D207+1,'Slots'!D29,'Slots'!D30,'Slots'!D31,'Slots'!D32,'Slots'!D33),0)+IF(OR('Reels'!D216="attack",'Reels'!D216="magic"),CHOOSE('Reels'!D217+1,'Slots'!D29,'Slots'!D30,'Slots'!D31,'Slots'!D32,'Slots'!D33),0)</f>
        <v>2</v>
      </c>
      <c r="E950">
        <f>IF('Reels'!D188="heal",'Reels'!D189*'Slots'!D24,0)+IF('Reels'!D206="heal",'Reels'!D207*'Slots'!D24,0)+IF('Reels'!D216="heal",'Reels'!D217*'Slots'!D24,0)</f>
        <v>0</v>
      </c>
      <c r="F950">
        <f>IF('Reels'!D188="block",'Reels'!D189*'Slots'!D25,0)+IF('Reels'!D206="block",'Reels'!D207*'Slots'!D25,0)+IF('Reels'!D216="block",'Reels'!D217*'Slots'!D25,0)</f>
        <v>2</v>
      </c>
      <c r="G950" t="b">
        <f>AND('Reels'!D188&lt;&gt;"blank",'Reels'!D188&lt;&gt;"class",'Reels'!D188='Reels'!D216,'Reels'!D189='Reels'!D217,OR('Reels'!D206="class",AND('Reels'!D206='Reels'!D188,'Reels'!D207='Reels'!D189)))</f>
        <v>0</v>
      </c>
      <c r="H950">
        <f>IF(G950,C950,0)</f>
        <v>0</v>
      </c>
    </row>
    <row r="951" spans="1:8" x14ac:dyDescent="0.25">
      <c r="A951" t="s">
        <v>269</v>
      </c>
      <c r="B951" t="s">
        <v>4167</v>
      </c>
      <c r="C951" s="4">
        <f>('Reels'!D190/('Reels'!D178+'Reels'!D181+'Reels'!D184+'Reels'!D187+'Reels'!D190+'Reels'!D193))*('Reels'!D208/('Reels'!D196+'Reels'!D199+'Reels'!D202+'Reels'!D205+'Reels'!D208+'Reels'!D211+'Reels'!D214))*('Reels'!D221/('Reels'!D218+'Reels'!D221+'Reels'!D224+'Reels'!D227+'Reels'!D230+'Reels'!D233))</f>
        <v>0.0008569504805043766</v>
      </c>
      <c r="D951">
        <f>IF(OR('Reels'!D188="attack",'Reels'!D188="magic"),CHOOSE('Reels'!D189+1,'Slots'!D29,'Slots'!D30,'Slots'!D31,'Slots'!D32,'Slots'!D33),0)+IF(OR('Reels'!D206="attack",'Reels'!D206="magic"),CHOOSE('Reels'!D207+1,'Slots'!D29,'Slots'!D30,'Slots'!D31,'Slots'!D32,'Slots'!D33),0)+IF(OR('Reels'!D219="attack",'Reels'!D219="magic"),CHOOSE('Reels'!D220+1,'Slots'!D29,'Slots'!D30,'Slots'!D31,'Slots'!D32,'Slots'!D33),0)</f>
        <v>4</v>
      </c>
      <c r="E951">
        <f>IF('Reels'!D188="heal",'Reels'!D189*'Slots'!D24,0)+IF('Reels'!D206="heal",'Reels'!D207*'Slots'!D24,0)+IF('Reels'!D219="heal",'Reels'!D220*'Slots'!D24,0)</f>
        <v>0</v>
      </c>
      <c r="F951">
        <f>IF('Reels'!D188="block",'Reels'!D189*'Slots'!D25,0)+IF('Reels'!D206="block",'Reels'!D207*'Slots'!D25,0)+IF('Reels'!D219="block",'Reels'!D220*'Slots'!D25,0)</f>
        <v>2</v>
      </c>
      <c r="G951" t="b">
        <f>AND('Reels'!D188&lt;&gt;"blank",'Reels'!D188&lt;&gt;"class",'Reels'!D188='Reels'!D219,'Reels'!D189='Reels'!D220,OR('Reels'!D206="class",AND('Reels'!D206='Reels'!D188,'Reels'!D207='Reels'!D189)))</f>
        <v>0</v>
      </c>
      <c r="H951">
        <f>IF(G951,C951,0)</f>
        <v>0</v>
      </c>
    </row>
    <row r="952" spans="1:8" x14ac:dyDescent="0.25">
      <c r="A952" t="s">
        <v>269</v>
      </c>
      <c r="B952" t="s">
        <v>3978</v>
      </c>
      <c r="C952" s="4">
        <f>('Reels'!D190/('Reels'!D178+'Reels'!D181+'Reels'!D184+'Reels'!D187+'Reels'!D190+'Reels'!D193))*('Reels'!D208/('Reels'!D196+'Reels'!D199+'Reels'!D202+'Reels'!D205+'Reels'!D208+'Reels'!D211+'Reels'!D214))*('Reels'!D224/('Reels'!D218+'Reels'!D221+'Reels'!D224+'Reels'!D227+'Reels'!D230+'Reels'!D233))</f>
        <v>0.0003672644916447328</v>
      </c>
      <c r="D952">
        <f>IF(OR('Reels'!D188="attack",'Reels'!D188="magic"),CHOOSE('Reels'!D189+1,'Slots'!D29,'Slots'!D30,'Slots'!D31,'Slots'!D32,'Slots'!D33),0)+IF(OR('Reels'!D206="attack",'Reels'!D206="magic"),CHOOSE('Reels'!D207+1,'Slots'!D29,'Slots'!D30,'Slots'!D31,'Slots'!D32,'Slots'!D33),0)+IF(OR('Reels'!D222="attack",'Reels'!D222="magic"),CHOOSE('Reels'!D223+1,'Slots'!D29,'Slots'!D30,'Slots'!D31,'Slots'!D32,'Slots'!D33),0)</f>
        <v>0</v>
      </c>
      <c r="E952">
        <f>IF('Reels'!D188="heal",'Reels'!D189*'Slots'!D24,0)+IF('Reels'!D206="heal",'Reels'!D207*'Slots'!D24,0)+IF('Reels'!D222="heal",'Reels'!D223*'Slots'!D24,0)</f>
        <v>0</v>
      </c>
      <c r="F952">
        <f>IF('Reels'!D188="block",'Reels'!D189*'Slots'!D25,0)+IF('Reels'!D206="block",'Reels'!D207*'Slots'!D25,0)+IF('Reels'!D222="block",'Reels'!D223*'Slots'!D25,0)</f>
        <v>2</v>
      </c>
      <c r="G952" t="b">
        <f>AND('Reels'!D188&lt;&gt;"blank",'Reels'!D188&lt;&gt;"class",'Reels'!D188='Reels'!D222,'Reels'!D189='Reels'!D223,OR('Reels'!D206="class",AND('Reels'!D206='Reels'!D188,'Reels'!D207='Reels'!D189)))</f>
        <v>0</v>
      </c>
      <c r="H952">
        <f>IF(G952,C952,0)</f>
        <v>0</v>
      </c>
    </row>
    <row r="953" spans="1:8" x14ac:dyDescent="0.25">
      <c r="A953" t="s">
        <v>269</v>
      </c>
      <c r="B953" t="s">
        <v>4168</v>
      </c>
      <c r="C953" s="4">
        <f>('Reels'!D190/('Reels'!D178+'Reels'!D181+'Reels'!D184+'Reels'!D187+'Reels'!D190+'Reels'!D193))*('Reels'!D208/('Reels'!D196+'Reels'!D199+'Reels'!D202+'Reels'!D205+'Reels'!D208+'Reels'!D211+'Reels'!D214))*('Reels'!D227/('Reels'!D218+'Reels'!D221+'Reels'!D224+'Reels'!D227+'Reels'!D230+'Reels'!D233))</f>
        <v>0.0003672644916447328</v>
      </c>
      <c r="D953">
        <f>IF(OR('Reels'!D188="attack",'Reels'!D188="magic"),CHOOSE('Reels'!D189+1,'Slots'!D29,'Slots'!D30,'Slots'!D31,'Slots'!D32,'Slots'!D33),0)+IF(OR('Reels'!D206="attack",'Reels'!D206="magic"),CHOOSE('Reels'!D207+1,'Slots'!D29,'Slots'!D30,'Slots'!D31,'Slots'!D32,'Slots'!D33),0)+IF(OR('Reels'!D225="attack",'Reels'!D225="magic"),CHOOSE('Reels'!D226+1,'Slots'!D29,'Slots'!D30,'Slots'!D31,'Slots'!D32,'Slots'!D33),0)</f>
        <v>0</v>
      </c>
      <c r="E953">
        <f>IF('Reels'!D188="heal",'Reels'!D189*'Slots'!D24,0)+IF('Reels'!D206="heal",'Reels'!D207*'Slots'!D24,0)+IF('Reels'!D225="heal",'Reels'!D226*'Slots'!D24,0)</f>
        <v>0</v>
      </c>
      <c r="F953">
        <f>IF('Reels'!D188="block",'Reels'!D189*'Slots'!D25,0)+IF('Reels'!D206="block",'Reels'!D207*'Slots'!D25,0)+IF('Reels'!D225="block",'Reels'!D226*'Slots'!D25,0)</f>
        <v>2</v>
      </c>
      <c r="G953" t="b">
        <f>AND('Reels'!D188&lt;&gt;"blank",'Reels'!D188&lt;&gt;"class",'Reels'!D188='Reels'!D225,'Reels'!D189='Reels'!D226,OR('Reels'!D206="class",AND('Reels'!D206='Reels'!D188,'Reels'!D207='Reels'!D189)))</f>
        <v>0</v>
      </c>
      <c r="H953">
        <f>IF(G953,C953,0)</f>
        <v>0</v>
      </c>
    </row>
    <row r="954" spans="1:8" x14ac:dyDescent="0.25">
      <c r="A954" t="s">
        <v>269</v>
      </c>
      <c r="B954" t="s">
        <v>3463</v>
      </c>
      <c r="C954" s="4">
        <f>('Reels'!D190/('Reels'!D178+'Reels'!D181+'Reels'!D184+'Reels'!D187+'Reels'!D190+'Reels'!D193))*('Reels'!D208/('Reels'!D196+'Reels'!D199+'Reels'!D202+'Reels'!D205+'Reels'!D208+'Reels'!D211+'Reels'!D214))*('Reels'!D230/('Reels'!D218+'Reels'!D221+'Reels'!D224+'Reels'!D227+'Reels'!D230+'Reels'!D233))</f>
        <v>0.0002448429944298219</v>
      </c>
      <c r="D954">
        <f>IF(OR('Reels'!D188="attack",'Reels'!D188="magic"),CHOOSE('Reels'!D189+1,'Slots'!D29,'Slots'!D30,'Slots'!D31,'Slots'!D32,'Slots'!D33),0)+IF(OR('Reels'!D206="attack",'Reels'!D206="magic"),CHOOSE('Reels'!D207+1,'Slots'!D29,'Slots'!D30,'Slots'!D31,'Slots'!D32,'Slots'!D33),0)+IF(OR('Reels'!D228="attack",'Reels'!D228="magic"),CHOOSE('Reels'!D229+1,'Slots'!D29,'Slots'!D30,'Slots'!D31,'Slots'!D32,'Slots'!D33),0)</f>
        <v>0</v>
      </c>
      <c r="E954">
        <f>IF('Reels'!D188="heal",'Reels'!D189*'Slots'!D24,0)+IF('Reels'!D206="heal",'Reels'!D207*'Slots'!D24,0)+IF('Reels'!D228="heal",'Reels'!D229*'Slots'!D24,0)</f>
        <v>0</v>
      </c>
      <c r="F954">
        <f>IF('Reels'!D188="block",'Reels'!D189*'Slots'!D25,0)+IF('Reels'!D206="block",'Reels'!D207*'Slots'!D25,0)+IF('Reels'!D228="block",'Reels'!D229*'Slots'!D25,0)</f>
        <v>3</v>
      </c>
      <c r="G954" t="b">
        <f>AND('Reels'!D188&lt;&gt;"blank",'Reels'!D188&lt;&gt;"class",'Reels'!D188='Reels'!D228,'Reels'!D189='Reels'!D229,OR('Reels'!D206="class",AND('Reels'!D206='Reels'!D188,'Reels'!D207='Reels'!D189)))</f>
        <v>1</v>
      </c>
      <c r="H954">
        <f>IF(G954,C954,0)</f>
        <v>0.0002448429944298219</v>
      </c>
    </row>
    <row r="955" spans="1:8" x14ac:dyDescent="0.25">
      <c r="A955" t="s">
        <v>269</v>
      </c>
      <c r="B955" t="s">
        <v>3466</v>
      </c>
      <c r="C955" s="4">
        <f>('Reels'!D190/('Reels'!D178+'Reels'!D181+'Reels'!D184+'Reels'!D187+'Reels'!D190+'Reels'!D193))*('Reels'!D208/('Reels'!D196+'Reels'!D199+'Reels'!D202+'Reels'!D205+'Reels'!D208+'Reels'!D211+'Reels'!D214))*('Reels'!D233/('Reels'!D218+'Reels'!D221+'Reels'!D224+'Reels'!D227+'Reels'!D230+'Reels'!D233))</f>
        <v>0.0006121074860745547</v>
      </c>
      <c r="D955">
        <f>IF(OR('Reels'!D188="attack",'Reels'!D188="magic"),CHOOSE('Reels'!D189+1,'Slots'!D29,'Slots'!D30,'Slots'!D31,'Slots'!D32,'Slots'!D33),0)+IF(OR('Reels'!D206="attack",'Reels'!D206="magic"),CHOOSE('Reels'!D207+1,'Slots'!D29,'Slots'!D30,'Slots'!D31,'Slots'!D32,'Slots'!D33),0)+IF(OR('Reels'!D231="attack",'Reels'!D231="magic"),CHOOSE('Reels'!D232+1,'Slots'!D29,'Slots'!D30,'Slots'!D31,'Slots'!D32,'Slots'!D33),0)</f>
        <v>0</v>
      </c>
      <c r="E955">
        <f>IF('Reels'!D188="heal",'Reels'!D189*'Slots'!D24,0)+IF('Reels'!D206="heal",'Reels'!D207*'Slots'!D24,0)+IF('Reels'!D231="heal",'Reels'!D232*'Slots'!D24,0)</f>
        <v>0</v>
      </c>
      <c r="F955">
        <f>IF('Reels'!D188="block",'Reels'!D189*'Slots'!D25,0)+IF('Reels'!D206="block",'Reels'!D207*'Slots'!D25,0)+IF('Reels'!D231="block",'Reels'!D232*'Slots'!D25,0)</f>
        <v>2</v>
      </c>
      <c r="G955" t="b">
        <f>AND('Reels'!D188&lt;&gt;"blank",'Reels'!D188&lt;&gt;"class",'Reels'!D188='Reels'!D231,'Reels'!D189='Reels'!D232,OR('Reels'!D206="class",AND('Reels'!D206='Reels'!D188,'Reels'!D207='Reels'!D189)))</f>
        <v>0</v>
      </c>
      <c r="H955">
        <f>IF(G955,C955,0)</f>
        <v>0</v>
      </c>
    </row>
    <row r="956" spans="1:8" x14ac:dyDescent="0.25">
      <c r="A956" t="s">
        <v>269</v>
      </c>
      <c r="B956" t="s">
        <v>3715</v>
      </c>
      <c r="C956" s="4">
        <f>('Reels'!D190/('Reels'!D178+'Reels'!D181+'Reels'!D184+'Reels'!D187+'Reels'!D190+'Reels'!D193))*('Reels'!D211/('Reels'!D196+'Reels'!D199+'Reels'!D202+'Reels'!D205+'Reels'!D208+'Reels'!D211+'Reels'!D214))*('Reels'!D218/('Reels'!D218+'Reels'!D221+'Reels'!D224+'Reels'!D227+'Reels'!D230+'Reels'!D233))</f>
        <v>0.0033665911734100506</v>
      </c>
      <c r="D956">
        <f>IF(OR('Reels'!D188="attack",'Reels'!D188="magic"),CHOOSE('Reels'!D189+1,'Slots'!D29,'Slots'!D30,'Slots'!D31,'Slots'!D32,'Slots'!D33),0)+IF(OR('Reels'!D209="attack",'Reels'!D209="magic"),CHOOSE('Reels'!D210+1,'Slots'!D29,'Slots'!D30,'Slots'!D31,'Slots'!D32,'Slots'!D33),0)+IF(OR('Reels'!D216="attack",'Reels'!D216="magic"),CHOOSE('Reels'!D217+1,'Slots'!D29,'Slots'!D30,'Slots'!D31,'Slots'!D32,'Slots'!D33),0)</f>
        <v>2</v>
      </c>
      <c r="E956">
        <f>IF('Reels'!D188="heal",'Reels'!D189*'Slots'!D24,0)+IF('Reels'!D209="heal",'Reels'!D210*'Slots'!D24,0)+IF('Reels'!D216="heal",'Reels'!D217*'Slots'!D24,0)</f>
        <v>0</v>
      </c>
      <c r="F956">
        <f>IF('Reels'!D188="block",'Reels'!D189*'Slots'!D25,0)+IF('Reels'!D209="block",'Reels'!D210*'Slots'!D25,0)+IF('Reels'!D216="block",'Reels'!D217*'Slots'!D25,0)</f>
        <v>1</v>
      </c>
      <c r="G956" t="b">
        <f>AND('Reels'!D188&lt;&gt;"blank",'Reels'!D188&lt;&gt;"class",'Reels'!D188='Reels'!D216,'Reels'!D189='Reels'!D217,OR('Reels'!D209="class",AND('Reels'!D209='Reels'!D188,'Reels'!D210='Reels'!D189)))</f>
        <v>0</v>
      </c>
      <c r="H956">
        <f>IF(G956,C956,0)</f>
        <v>0</v>
      </c>
    </row>
    <row r="957" spans="1:8" x14ac:dyDescent="0.25">
      <c r="A957" t="s">
        <v>269</v>
      </c>
      <c r="B957" t="s">
        <v>4169</v>
      </c>
      <c r="C957" s="4">
        <f>('Reels'!D190/('Reels'!D178+'Reels'!D181+'Reels'!D184+'Reels'!D187+'Reels'!D190+'Reels'!D193))*('Reels'!D211/('Reels'!D196+'Reels'!D199+'Reels'!D202+'Reels'!D205+'Reels'!D208+'Reels'!D211+'Reels'!D214))*('Reels'!D221/('Reels'!D218+'Reels'!D221+'Reels'!D224+'Reels'!D227+'Reels'!D230+'Reels'!D233))</f>
        <v>0.002142376201260941</v>
      </c>
      <c r="D957">
        <f>IF(OR('Reels'!D188="attack",'Reels'!D188="magic"),CHOOSE('Reels'!D189+1,'Slots'!D29,'Slots'!D30,'Slots'!D31,'Slots'!D32,'Slots'!D33),0)+IF(OR('Reels'!D209="attack",'Reels'!D209="magic"),CHOOSE('Reels'!D210+1,'Slots'!D29,'Slots'!D30,'Slots'!D31,'Slots'!D32,'Slots'!D33),0)+IF(OR('Reels'!D219="attack",'Reels'!D219="magic"),CHOOSE('Reels'!D220+1,'Slots'!D29,'Slots'!D30,'Slots'!D31,'Slots'!D32,'Slots'!D33),0)</f>
        <v>4</v>
      </c>
      <c r="E957">
        <f>IF('Reels'!D188="heal",'Reels'!D189*'Slots'!D24,0)+IF('Reels'!D209="heal",'Reels'!D210*'Slots'!D24,0)+IF('Reels'!D219="heal",'Reels'!D220*'Slots'!D24,0)</f>
        <v>0</v>
      </c>
      <c r="F957">
        <f>IF('Reels'!D188="block",'Reels'!D189*'Slots'!D25,0)+IF('Reels'!D209="block",'Reels'!D210*'Slots'!D25,0)+IF('Reels'!D219="block",'Reels'!D220*'Slots'!D25,0)</f>
        <v>1</v>
      </c>
      <c r="G957" t="b">
        <f>AND('Reels'!D188&lt;&gt;"blank",'Reels'!D188&lt;&gt;"class",'Reels'!D188='Reels'!D219,'Reels'!D189='Reels'!D220,OR('Reels'!D209="class",AND('Reels'!D209='Reels'!D188,'Reels'!D210='Reels'!D189)))</f>
        <v>0</v>
      </c>
      <c r="H957">
        <f>IF(G957,C957,0)</f>
        <v>0</v>
      </c>
    </row>
    <row r="958" spans="1:8" x14ac:dyDescent="0.25">
      <c r="A958" t="s">
        <v>269</v>
      </c>
      <c r="B958" t="s">
        <v>3980</v>
      </c>
      <c r="C958" s="4">
        <f>('Reels'!D190/('Reels'!D178+'Reels'!D181+'Reels'!D184+'Reels'!D187+'Reels'!D190+'Reels'!D193))*('Reels'!D211/('Reels'!D196+'Reels'!D199+'Reels'!D202+'Reels'!D205+'Reels'!D208+'Reels'!D211+'Reels'!D214))*('Reels'!D224/('Reels'!D218+'Reels'!D221+'Reels'!D224+'Reels'!D227+'Reels'!D230+'Reels'!D233))</f>
        <v>0.000918161229111832</v>
      </c>
      <c r="D958">
        <f>IF(OR('Reels'!D188="attack",'Reels'!D188="magic"),CHOOSE('Reels'!D189+1,'Slots'!D29,'Slots'!D30,'Slots'!D31,'Slots'!D32,'Slots'!D33),0)+IF(OR('Reels'!D209="attack",'Reels'!D209="magic"),CHOOSE('Reels'!D210+1,'Slots'!D29,'Slots'!D30,'Slots'!D31,'Slots'!D32,'Slots'!D33),0)+IF(OR('Reels'!D222="attack",'Reels'!D222="magic"),CHOOSE('Reels'!D223+1,'Slots'!D29,'Slots'!D30,'Slots'!D31,'Slots'!D32,'Slots'!D33),0)</f>
        <v>0</v>
      </c>
      <c r="E958">
        <f>IF('Reels'!D188="heal",'Reels'!D189*'Slots'!D24,0)+IF('Reels'!D209="heal",'Reels'!D210*'Slots'!D24,0)+IF('Reels'!D222="heal",'Reels'!D223*'Slots'!D24,0)</f>
        <v>0</v>
      </c>
      <c r="F958">
        <f>IF('Reels'!D188="block",'Reels'!D189*'Slots'!D25,0)+IF('Reels'!D209="block",'Reels'!D210*'Slots'!D25,0)+IF('Reels'!D222="block",'Reels'!D223*'Slots'!D25,0)</f>
        <v>1</v>
      </c>
      <c r="G958" t="b">
        <f>AND('Reels'!D188&lt;&gt;"blank",'Reels'!D188&lt;&gt;"class",'Reels'!D188='Reels'!D222,'Reels'!D189='Reels'!D223,OR('Reels'!D209="class",AND('Reels'!D209='Reels'!D188,'Reels'!D210='Reels'!D189)))</f>
        <v>0</v>
      </c>
      <c r="H958">
        <f>IF(G958,C958,0)</f>
        <v>0</v>
      </c>
    </row>
    <row r="959" spans="1:8" x14ac:dyDescent="0.25">
      <c r="A959" t="s">
        <v>269</v>
      </c>
      <c r="B959" t="s">
        <v>4170</v>
      </c>
      <c r="C959" s="4">
        <f>('Reels'!D190/('Reels'!D178+'Reels'!D181+'Reels'!D184+'Reels'!D187+'Reels'!D190+'Reels'!D193))*('Reels'!D211/('Reels'!D196+'Reels'!D199+'Reels'!D202+'Reels'!D205+'Reels'!D208+'Reels'!D211+'Reels'!D214))*('Reels'!D227/('Reels'!D218+'Reels'!D221+'Reels'!D224+'Reels'!D227+'Reels'!D230+'Reels'!D233))</f>
        <v>0.000918161229111832</v>
      </c>
      <c r="D959">
        <f>IF(OR('Reels'!D188="attack",'Reels'!D188="magic"),CHOOSE('Reels'!D189+1,'Slots'!D29,'Slots'!D30,'Slots'!D31,'Slots'!D32,'Slots'!D33),0)+IF(OR('Reels'!D209="attack",'Reels'!D209="magic"),CHOOSE('Reels'!D210+1,'Slots'!D29,'Slots'!D30,'Slots'!D31,'Slots'!D32,'Slots'!D33),0)+IF(OR('Reels'!D225="attack",'Reels'!D225="magic"),CHOOSE('Reels'!D226+1,'Slots'!D29,'Slots'!D30,'Slots'!D31,'Slots'!D32,'Slots'!D33),0)</f>
        <v>0</v>
      </c>
      <c r="E959">
        <f>IF('Reels'!D188="heal",'Reels'!D189*'Slots'!D24,0)+IF('Reels'!D209="heal",'Reels'!D210*'Slots'!D24,0)+IF('Reels'!D225="heal",'Reels'!D226*'Slots'!D24,0)</f>
        <v>0</v>
      </c>
      <c r="F959">
        <f>IF('Reels'!D188="block",'Reels'!D189*'Slots'!D25,0)+IF('Reels'!D209="block",'Reels'!D210*'Slots'!D25,0)+IF('Reels'!D225="block",'Reels'!D226*'Slots'!D25,0)</f>
        <v>1</v>
      </c>
      <c r="G959" t="b">
        <f>AND('Reels'!D188&lt;&gt;"blank",'Reels'!D188&lt;&gt;"class",'Reels'!D188='Reels'!D225,'Reels'!D189='Reels'!D226,OR('Reels'!D209="class",AND('Reels'!D209='Reels'!D188,'Reels'!D210='Reels'!D189)))</f>
        <v>0</v>
      </c>
      <c r="H959">
        <f>IF(G959,C959,0)</f>
        <v>0</v>
      </c>
    </row>
    <row r="960" spans="1:8" x14ac:dyDescent="0.25">
      <c r="A960" t="s">
        <v>269</v>
      </c>
      <c r="B960" t="s">
        <v>3481</v>
      </c>
      <c r="C960" s="4">
        <f>('Reels'!D190/('Reels'!D178+'Reels'!D181+'Reels'!D184+'Reels'!D187+'Reels'!D190+'Reels'!D193))*('Reels'!D211/('Reels'!D196+'Reels'!D199+'Reels'!D202+'Reels'!D205+'Reels'!D208+'Reels'!D211+'Reels'!D214))*('Reels'!D230/('Reels'!D218+'Reels'!D221+'Reels'!D224+'Reels'!D227+'Reels'!D230+'Reels'!D233))</f>
        <v>0.0006121074860745547</v>
      </c>
      <c r="D960">
        <f>IF(OR('Reels'!D188="attack",'Reels'!D188="magic"),CHOOSE('Reels'!D189+1,'Slots'!D29,'Slots'!D30,'Slots'!D31,'Slots'!D32,'Slots'!D33),0)+IF(OR('Reels'!D209="attack",'Reels'!D209="magic"),CHOOSE('Reels'!D210+1,'Slots'!D29,'Slots'!D30,'Slots'!D31,'Slots'!D32,'Slots'!D33),0)+IF(OR('Reels'!D228="attack",'Reels'!D228="magic"),CHOOSE('Reels'!D229+1,'Slots'!D29,'Slots'!D30,'Slots'!D31,'Slots'!D32,'Slots'!D33),0)</f>
        <v>0</v>
      </c>
      <c r="E960">
        <f>IF('Reels'!D188="heal",'Reels'!D189*'Slots'!D24,0)+IF('Reels'!D209="heal",'Reels'!D210*'Slots'!D24,0)+IF('Reels'!D228="heal",'Reels'!D229*'Slots'!D24,0)</f>
        <v>0</v>
      </c>
      <c r="F960">
        <f>IF('Reels'!D188="block",'Reels'!D189*'Slots'!D25,0)+IF('Reels'!D209="block",'Reels'!D210*'Slots'!D25,0)+IF('Reels'!D228="block",'Reels'!D229*'Slots'!D25,0)</f>
        <v>2</v>
      </c>
      <c r="G960" t="b">
        <f>AND('Reels'!D188&lt;&gt;"blank",'Reels'!D188&lt;&gt;"class",'Reels'!D188='Reels'!D228,'Reels'!D189='Reels'!D229,OR('Reels'!D209="class",AND('Reels'!D209='Reels'!D188,'Reels'!D210='Reels'!D189)))</f>
        <v>0</v>
      </c>
      <c r="H960">
        <f>IF(G960,C960,0)</f>
        <v>0</v>
      </c>
    </row>
    <row r="961" spans="1:8" x14ac:dyDescent="0.25">
      <c r="A961" t="s">
        <v>269</v>
      </c>
      <c r="B961" t="s">
        <v>3484</v>
      </c>
      <c r="C961" s="4">
        <f>('Reels'!D190/('Reels'!D178+'Reels'!D181+'Reels'!D184+'Reels'!D187+'Reels'!D190+'Reels'!D193))*('Reels'!D211/('Reels'!D196+'Reels'!D199+'Reels'!D202+'Reels'!D205+'Reels'!D208+'Reels'!D211+'Reels'!D214))*('Reels'!D233/('Reels'!D218+'Reels'!D221+'Reels'!D224+'Reels'!D227+'Reels'!D230+'Reels'!D233))</f>
        <v>0.0015302687151863867</v>
      </c>
      <c r="D961">
        <f>IF(OR('Reels'!D188="attack",'Reels'!D188="magic"),CHOOSE('Reels'!D189+1,'Slots'!D29,'Slots'!D30,'Slots'!D31,'Slots'!D32,'Slots'!D33),0)+IF(OR('Reels'!D209="attack",'Reels'!D209="magic"),CHOOSE('Reels'!D210+1,'Slots'!D29,'Slots'!D30,'Slots'!D31,'Slots'!D32,'Slots'!D33),0)+IF(OR('Reels'!D231="attack",'Reels'!D231="magic"),CHOOSE('Reels'!D232+1,'Slots'!D29,'Slots'!D30,'Slots'!D31,'Slots'!D32,'Slots'!D33),0)</f>
        <v>0</v>
      </c>
      <c r="E961">
        <f>IF('Reels'!D188="heal",'Reels'!D189*'Slots'!D24,0)+IF('Reels'!D209="heal",'Reels'!D210*'Slots'!D24,0)+IF('Reels'!D231="heal",'Reels'!D232*'Slots'!D24,0)</f>
        <v>0</v>
      </c>
      <c r="F961">
        <f>IF('Reels'!D188="block",'Reels'!D189*'Slots'!D25,0)+IF('Reels'!D209="block",'Reels'!D210*'Slots'!D25,0)+IF('Reels'!D231="block",'Reels'!D232*'Slots'!D25,0)</f>
        <v>1</v>
      </c>
      <c r="G961" t="b">
        <f>AND('Reels'!D188&lt;&gt;"blank",'Reels'!D188&lt;&gt;"class",'Reels'!D188='Reels'!D231,'Reels'!D189='Reels'!D232,OR('Reels'!D209="class",AND('Reels'!D209='Reels'!D188,'Reels'!D210='Reels'!D189)))</f>
        <v>0</v>
      </c>
      <c r="H961">
        <f>IF(G961,C961,0)</f>
        <v>0</v>
      </c>
    </row>
    <row r="962" spans="1:8" x14ac:dyDescent="0.25">
      <c r="A962" t="s">
        <v>269</v>
      </c>
      <c r="B962" t="s">
        <v>3718</v>
      </c>
      <c r="C962" s="4">
        <f>('Reels'!D190/('Reels'!D178+'Reels'!D181+'Reels'!D184+'Reels'!D187+'Reels'!D190+'Reels'!D193))*('Reels'!D214/('Reels'!D196+'Reels'!D199+'Reels'!D202+'Reels'!D205+'Reels'!D208+'Reels'!D211+'Reels'!D214))*('Reels'!D218/('Reels'!D218+'Reels'!D221+'Reels'!D224+'Reels'!D227+'Reels'!D230+'Reels'!D233))</f>
        <v>0.0020199547040460307</v>
      </c>
      <c r="D962">
        <f>IF(OR('Reels'!D188="attack",'Reels'!D188="magic"),CHOOSE('Reels'!D189+1,'Slots'!D29,'Slots'!D30,'Slots'!D31,'Slots'!D32,'Slots'!D33),0)+IF(OR('Reels'!D212="attack",'Reels'!D212="magic"),CHOOSE('Reels'!D213+1,'Slots'!D29,'Slots'!D30,'Slots'!D31,'Slots'!D32,'Slots'!D33),0)+IF(OR('Reels'!D216="attack",'Reels'!D216="magic"),CHOOSE('Reels'!D217+1,'Slots'!D29,'Slots'!D30,'Slots'!D31,'Slots'!D32,'Slots'!D33),0)</f>
        <v>2</v>
      </c>
      <c r="E962">
        <f>IF('Reels'!D188="heal",'Reels'!D189*'Slots'!D24,0)+IF('Reels'!D212="heal",'Reels'!D213*'Slots'!D24,0)+IF('Reels'!D216="heal",'Reels'!D217*'Slots'!D24,0)</f>
        <v>0</v>
      </c>
      <c r="F962">
        <f>IF('Reels'!D188="block",'Reels'!D189*'Slots'!D25,0)+IF('Reels'!D212="block",'Reels'!D213*'Slots'!D25,0)+IF('Reels'!D216="block",'Reels'!D217*'Slots'!D25,0)</f>
        <v>1</v>
      </c>
      <c r="G962" t="b">
        <f>AND('Reels'!D188&lt;&gt;"blank",'Reels'!D188&lt;&gt;"class",'Reels'!D188='Reels'!D216,'Reels'!D189='Reels'!D217,OR('Reels'!D212="class",AND('Reels'!D212='Reels'!D188,'Reels'!D213='Reels'!D189)))</f>
        <v>0</v>
      </c>
      <c r="H962">
        <f>IF(G962,C962,0)</f>
        <v>0</v>
      </c>
    </row>
    <row r="963" spans="1:8" x14ac:dyDescent="0.25">
      <c r="A963" t="s">
        <v>269</v>
      </c>
      <c r="B963" t="s">
        <v>4171</v>
      </c>
      <c r="C963" s="4">
        <f>('Reels'!D190/('Reels'!D178+'Reels'!D181+'Reels'!D184+'Reels'!D187+'Reels'!D190+'Reels'!D193))*('Reels'!D214/('Reels'!D196+'Reels'!D199+'Reels'!D202+'Reels'!D205+'Reels'!D208+'Reels'!D211+'Reels'!D214))*('Reels'!D221/('Reels'!D218+'Reels'!D221+'Reels'!D224+'Reels'!D227+'Reels'!D230+'Reels'!D233))</f>
        <v>0.0012854257207565649</v>
      </c>
      <c r="D963">
        <f>IF(OR('Reels'!D188="attack",'Reels'!D188="magic"),CHOOSE('Reels'!D189+1,'Slots'!D29,'Slots'!D30,'Slots'!D31,'Slots'!D32,'Slots'!D33),0)+IF(OR('Reels'!D212="attack",'Reels'!D212="magic"),CHOOSE('Reels'!D213+1,'Slots'!D29,'Slots'!D30,'Slots'!D31,'Slots'!D32,'Slots'!D33),0)+IF(OR('Reels'!D219="attack",'Reels'!D219="magic"),CHOOSE('Reels'!D220+1,'Slots'!D29,'Slots'!D30,'Slots'!D31,'Slots'!D32,'Slots'!D33),0)</f>
        <v>4</v>
      </c>
      <c r="E963">
        <f>IF('Reels'!D188="heal",'Reels'!D189*'Slots'!D24,0)+IF('Reels'!D212="heal",'Reels'!D213*'Slots'!D24,0)+IF('Reels'!D219="heal",'Reels'!D220*'Slots'!D24,0)</f>
        <v>0</v>
      </c>
      <c r="F963">
        <f>IF('Reels'!D188="block",'Reels'!D189*'Slots'!D25,0)+IF('Reels'!D212="block",'Reels'!D213*'Slots'!D25,0)+IF('Reels'!D219="block",'Reels'!D220*'Slots'!D25,0)</f>
        <v>1</v>
      </c>
      <c r="G963" t="b">
        <f>AND('Reels'!D188&lt;&gt;"blank",'Reels'!D188&lt;&gt;"class",'Reels'!D188='Reels'!D219,'Reels'!D189='Reels'!D220,OR('Reels'!D212="class",AND('Reels'!D212='Reels'!D188,'Reels'!D213='Reels'!D189)))</f>
        <v>0</v>
      </c>
      <c r="H963">
        <f>IF(G963,C963,0)</f>
        <v>0</v>
      </c>
    </row>
    <row r="964" spans="1:8" x14ac:dyDescent="0.25">
      <c r="A964" t="s">
        <v>269</v>
      </c>
      <c r="B964" t="s">
        <v>3982</v>
      </c>
      <c r="C964" s="4">
        <f>('Reels'!D190/('Reels'!D178+'Reels'!D181+'Reels'!D184+'Reels'!D187+'Reels'!D190+'Reels'!D193))*('Reels'!D214/('Reels'!D196+'Reels'!D199+'Reels'!D202+'Reels'!D205+'Reels'!D208+'Reels'!D211+'Reels'!D214))*('Reels'!D224/('Reels'!D218+'Reels'!D221+'Reels'!D224+'Reels'!D227+'Reels'!D230+'Reels'!D233))</f>
        <v>0.0005508967374670993</v>
      </c>
      <c r="D964">
        <f>IF(OR('Reels'!D188="attack",'Reels'!D188="magic"),CHOOSE('Reels'!D189+1,'Slots'!D29,'Slots'!D30,'Slots'!D31,'Slots'!D32,'Slots'!D33),0)+IF(OR('Reels'!D212="attack",'Reels'!D212="magic"),CHOOSE('Reels'!D213+1,'Slots'!D29,'Slots'!D30,'Slots'!D31,'Slots'!D32,'Slots'!D33),0)+IF(OR('Reels'!D222="attack",'Reels'!D222="magic"),CHOOSE('Reels'!D223+1,'Slots'!D29,'Slots'!D30,'Slots'!D31,'Slots'!D32,'Slots'!D33),0)</f>
        <v>0</v>
      </c>
      <c r="E964">
        <f>IF('Reels'!D188="heal",'Reels'!D189*'Slots'!D24,0)+IF('Reels'!D212="heal",'Reels'!D213*'Slots'!D24,0)+IF('Reels'!D222="heal",'Reels'!D223*'Slots'!D24,0)</f>
        <v>0</v>
      </c>
      <c r="F964">
        <f>IF('Reels'!D188="block",'Reels'!D189*'Slots'!D25,0)+IF('Reels'!D212="block",'Reels'!D213*'Slots'!D25,0)+IF('Reels'!D222="block",'Reels'!D223*'Slots'!D25,0)</f>
        <v>1</v>
      </c>
      <c r="G964" t="b">
        <f>AND('Reels'!D188&lt;&gt;"blank",'Reels'!D188&lt;&gt;"class",'Reels'!D188='Reels'!D222,'Reels'!D189='Reels'!D223,OR('Reels'!D212="class",AND('Reels'!D212='Reels'!D188,'Reels'!D213='Reels'!D189)))</f>
        <v>0</v>
      </c>
      <c r="H964">
        <f>IF(G964,C964,0)</f>
        <v>0</v>
      </c>
    </row>
    <row r="965" spans="1:8" x14ac:dyDescent="0.25">
      <c r="A965" t="s">
        <v>269</v>
      </c>
      <c r="B965" t="s">
        <v>4172</v>
      </c>
      <c r="C965" s="4">
        <f>('Reels'!D190/('Reels'!D178+'Reels'!D181+'Reels'!D184+'Reels'!D187+'Reels'!D190+'Reels'!D193))*('Reels'!D214/('Reels'!D196+'Reels'!D199+'Reels'!D202+'Reels'!D205+'Reels'!D208+'Reels'!D211+'Reels'!D214))*('Reels'!D227/('Reels'!D218+'Reels'!D221+'Reels'!D224+'Reels'!D227+'Reels'!D230+'Reels'!D233))</f>
        <v>0.0005508967374670993</v>
      </c>
      <c r="D965">
        <f>IF(OR('Reels'!D188="attack",'Reels'!D188="magic"),CHOOSE('Reels'!D189+1,'Slots'!D29,'Slots'!D30,'Slots'!D31,'Slots'!D32,'Slots'!D33),0)+IF(OR('Reels'!D212="attack",'Reels'!D212="magic"),CHOOSE('Reels'!D213+1,'Slots'!D29,'Slots'!D30,'Slots'!D31,'Slots'!D32,'Slots'!D33),0)+IF(OR('Reels'!D225="attack",'Reels'!D225="magic"),CHOOSE('Reels'!D226+1,'Slots'!D29,'Slots'!D30,'Slots'!D31,'Slots'!D32,'Slots'!D33),0)</f>
        <v>0</v>
      </c>
      <c r="E965">
        <f>IF('Reels'!D188="heal",'Reels'!D189*'Slots'!D24,0)+IF('Reels'!D212="heal",'Reels'!D213*'Slots'!D24,0)+IF('Reels'!D225="heal",'Reels'!D226*'Slots'!D24,0)</f>
        <v>0</v>
      </c>
      <c r="F965">
        <f>IF('Reels'!D188="block",'Reels'!D189*'Slots'!D25,0)+IF('Reels'!D212="block",'Reels'!D213*'Slots'!D25,0)+IF('Reels'!D225="block",'Reels'!D226*'Slots'!D25,0)</f>
        <v>1</v>
      </c>
      <c r="G965" t="b">
        <f>AND('Reels'!D188&lt;&gt;"blank",'Reels'!D188&lt;&gt;"class",'Reels'!D188='Reels'!D225,'Reels'!D189='Reels'!D226,OR('Reels'!D212="class",AND('Reels'!D212='Reels'!D188,'Reels'!D213='Reels'!D189)))</f>
        <v>0</v>
      </c>
      <c r="H965">
        <f>IF(G965,C965,0)</f>
        <v>0</v>
      </c>
    </row>
    <row r="966" spans="1:8" x14ac:dyDescent="0.25">
      <c r="A966" t="s">
        <v>269</v>
      </c>
      <c r="B966" t="s">
        <v>3487</v>
      </c>
      <c r="C966" s="4">
        <f>('Reels'!D190/('Reels'!D178+'Reels'!D181+'Reels'!D184+'Reels'!D187+'Reels'!D190+'Reels'!D193))*('Reels'!D214/('Reels'!D196+'Reels'!D199+'Reels'!D202+'Reels'!D205+'Reels'!D208+'Reels'!D211+'Reels'!D214))*('Reels'!D230/('Reels'!D218+'Reels'!D221+'Reels'!D224+'Reels'!D227+'Reels'!D230+'Reels'!D233))</f>
        <v>0.0003672644916447328</v>
      </c>
      <c r="D966">
        <f>IF(OR('Reels'!D188="attack",'Reels'!D188="magic"),CHOOSE('Reels'!D189+1,'Slots'!D29,'Slots'!D30,'Slots'!D31,'Slots'!D32,'Slots'!D33),0)+IF(OR('Reels'!D212="attack",'Reels'!D212="magic"),CHOOSE('Reels'!D213+1,'Slots'!D29,'Slots'!D30,'Slots'!D31,'Slots'!D32,'Slots'!D33),0)+IF(OR('Reels'!D228="attack",'Reels'!D228="magic"),CHOOSE('Reels'!D229+1,'Slots'!D29,'Slots'!D30,'Slots'!D31,'Slots'!D32,'Slots'!D33),0)</f>
        <v>0</v>
      </c>
      <c r="E966">
        <f>IF('Reels'!D188="heal",'Reels'!D189*'Slots'!D24,0)+IF('Reels'!D212="heal",'Reels'!D213*'Slots'!D24,0)+IF('Reels'!D228="heal",'Reels'!D229*'Slots'!D24,0)</f>
        <v>0</v>
      </c>
      <c r="F966">
        <f>IF('Reels'!D188="block",'Reels'!D189*'Slots'!D25,0)+IF('Reels'!D212="block",'Reels'!D213*'Slots'!D25,0)+IF('Reels'!D228="block",'Reels'!D229*'Slots'!D25,0)</f>
        <v>2</v>
      </c>
      <c r="G966" t="b">
        <f>AND('Reels'!D188&lt;&gt;"blank",'Reels'!D188&lt;&gt;"class",'Reels'!D188='Reels'!D228,'Reels'!D189='Reels'!D229,OR('Reels'!D212="class",AND('Reels'!D212='Reels'!D188,'Reels'!D213='Reels'!D189)))</f>
        <v>1</v>
      </c>
      <c r="H966">
        <f>IF(G966,C966,0)</f>
        <v>0.0003672644916447328</v>
      </c>
    </row>
    <row r="967" spans="1:8" x14ac:dyDescent="0.25">
      <c r="A967" t="s">
        <v>269</v>
      </c>
      <c r="B967" t="s">
        <v>3490</v>
      </c>
      <c r="C967" s="4">
        <f>('Reels'!D190/('Reels'!D178+'Reels'!D181+'Reels'!D184+'Reels'!D187+'Reels'!D190+'Reels'!D193))*('Reels'!D214/('Reels'!D196+'Reels'!D199+'Reels'!D202+'Reels'!D205+'Reels'!D208+'Reels'!D211+'Reels'!D214))*('Reels'!D233/('Reels'!D218+'Reels'!D221+'Reels'!D224+'Reels'!D227+'Reels'!D230+'Reels'!D233))</f>
        <v>0.000918161229111832</v>
      </c>
      <c r="D967">
        <f>IF(OR('Reels'!D188="attack",'Reels'!D188="magic"),CHOOSE('Reels'!D189+1,'Slots'!D29,'Slots'!D30,'Slots'!D31,'Slots'!D32,'Slots'!D33),0)+IF(OR('Reels'!D212="attack",'Reels'!D212="magic"),CHOOSE('Reels'!D213+1,'Slots'!D29,'Slots'!D30,'Slots'!D31,'Slots'!D32,'Slots'!D33),0)+IF(OR('Reels'!D231="attack",'Reels'!D231="magic"),CHOOSE('Reels'!D232+1,'Slots'!D29,'Slots'!D30,'Slots'!D31,'Slots'!D32,'Slots'!D33),0)</f>
        <v>0</v>
      </c>
      <c r="E967">
        <f>IF('Reels'!D188="heal",'Reels'!D189*'Slots'!D24,0)+IF('Reels'!D212="heal",'Reels'!D213*'Slots'!D24,0)+IF('Reels'!D231="heal",'Reels'!D232*'Slots'!D24,0)</f>
        <v>0</v>
      </c>
      <c r="F967">
        <f>IF('Reels'!D188="block",'Reels'!D189*'Slots'!D25,0)+IF('Reels'!D212="block",'Reels'!D213*'Slots'!D25,0)+IF('Reels'!D231="block",'Reels'!D232*'Slots'!D25,0)</f>
        <v>1</v>
      </c>
      <c r="G967" t="b">
        <f>AND('Reels'!D188&lt;&gt;"blank",'Reels'!D188&lt;&gt;"class",'Reels'!D188='Reels'!D231,'Reels'!D189='Reels'!D232,OR('Reels'!D212="class",AND('Reels'!D212='Reels'!D188,'Reels'!D213='Reels'!D189)))</f>
        <v>0</v>
      </c>
      <c r="H967">
        <f>IF(G967,C967,0)</f>
        <v>0</v>
      </c>
    </row>
    <row r="968" spans="1:8" x14ac:dyDescent="0.25">
      <c r="A968" t="s">
        <v>269</v>
      </c>
      <c r="B968" t="s">
        <v>3825</v>
      </c>
      <c r="C968" s="4">
        <f>('Reels'!D193/('Reels'!D178+'Reels'!D181+'Reels'!D184+'Reels'!D187+'Reels'!D190+'Reels'!D193))*('Reels'!D196/('Reels'!D196+'Reels'!D199+'Reels'!D202+'Reels'!D205+'Reels'!D208+'Reels'!D211+'Reels'!D214))*('Reels'!D218/('Reels'!D218+'Reels'!D221+'Reels'!D224+'Reels'!D227+'Reels'!D230+'Reels'!D233))</f>
        <v>0.018516251453755277</v>
      </c>
      <c r="D968">
        <f>IF(OR('Reels'!D191="attack",'Reels'!D191="magic"),CHOOSE('Reels'!D192+1,'Slots'!D29,'Slots'!D30,'Slots'!D31,'Slots'!D32,'Slots'!D33),0)+IF(OR('Reels'!D194="attack",'Reels'!D194="magic"),CHOOSE('Reels'!D195+1,'Slots'!D29,'Slots'!D30,'Slots'!D31,'Slots'!D32,'Slots'!D33),0)+IF(OR('Reels'!D216="attack",'Reels'!D216="magic"),CHOOSE('Reels'!D217+1,'Slots'!D29,'Slots'!D30,'Slots'!D31,'Slots'!D32,'Slots'!D33),0)</f>
        <v>4</v>
      </c>
      <c r="E968">
        <f>IF('Reels'!D191="heal",'Reels'!D192*'Slots'!D24,0)+IF('Reels'!D194="heal",'Reels'!D195*'Slots'!D24,0)+IF('Reels'!D216="heal",'Reels'!D217*'Slots'!D24,0)</f>
        <v>0</v>
      </c>
      <c r="F968">
        <f>IF('Reels'!D191="block",'Reels'!D192*'Slots'!D25,0)+IF('Reels'!D194="block",'Reels'!D195*'Slots'!D25,0)+IF('Reels'!D216="block",'Reels'!D217*'Slots'!D25,0)</f>
        <v>0</v>
      </c>
      <c r="G968" t="b">
        <f>AND('Reels'!D191&lt;&gt;"blank",'Reels'!D191&lt;&gt;"class",'Reels'!D191='Reels'!D216,'Reels'!D192='Reels'!D217,OR('Reels'!D194="class",AND('Reels'!D194='Reels'!D191,'Reels'!D195='Reels'!D192)))</f>
        <v>0</v>
      </c>
      <c r="H968">
        <f>IF(G968,C968,0)</f>
        <v>0</v>
      </c>
    </row>
    <row r="969" spans="1:8" x14ac:dyDescent="0.25">
      <c r="A969" t="s">
        <v>269</v>
      </c>
      <c r="B969" t="s">
        <v>4173</v>
      </c>
      <c r="C969" s="4">
        <f>('Reels'!D193/('Reels'!D178+'Reels'!D181+'Reels'!D184+'Reels'!D187+'Reels'!D190+'Reels'!D193))*('Reels'!D196/('Reels'!D196+'Reels'!D199+'Reels'!D202+'Reels'!D205+'Reels'!D208+'Reels'!D211+'Reels'!D214))*('Reels'!D221/('Reels'!D218+'Reels'!D221+'Reels'!D224+'Reels'!D227+'Reels'!D230+'Reels'!D233))</f>
        <v>0.011783069106935178</v>
      </c>
      <c r="D969">
        <f>IF(OR('Reels'!D191="attack",'Reels'!D191="magic"),CHOOSE('Reels'!D192+1,'Slots'!D29,'Slots'!D30,'Slots'!D31,'Slots'!D32,'Slots'!D33),0)+IF(OR('Reels'!D194="attack",'Reels'!D194="magic"),CHOOSE('Reels'!D195+1,'Slots'!D29,'Slots'!D30,'Slots'!D31,'Slots'!D32,'Slots'!D33),0)+IF(OR('Reels'!D219="attack",'Reels'!D219="magic"),CHOOSE('Reels'!D220+1,'Slots'!D29,'Slots'!D30,'Slots'!D31,'Slots'!D32,'Slots'!D33),0)</f>
        <v>6</v>
      </c>
      <c r="E969">
        <f>IF('Reels'!D191="heal",'Reels'!D192*'Slots'!D24,0)+IF('Reels'!D194="heal",'Reels'!D195*'Slots'!D24,0)+IF('Reels'!D219="heal",'Reels'!D220*'Slots'!D24,0)</f>
        <v>0</v>
      </c>
      <c r="F969">
        <f>IF('Reels'!D191="block",'Reels'!D192*'Slots'!D25,0)+IF('Reels'!D194="block",'Reels'!D195*'Slots'!D25,0)+IF('Reels'!D219="block",'Reels'!D220*'Slots'!D25,0)</f>
        <v>0</v>
      </c>
      <c r="G969" t="b">
        <f>AND('Reels'!D191&lt;&gt;"blank",'Reels'!D191&lt;&gt;"class",'Reels'!D191='Reels'!D219,'Reels'!D192='Reels'!D220,OR('Reels'!D194="class",AND('Reels'!D194='Reels'!D191,'Reels'!D195='Reels'!D192)))</f>
        <v>0</v>
      </c>
      <c r="H969">
        <f>IF(G969,C969,0)</f>
        <v>0</v>
      </c>
    </row>
    <row r="970" spans="1:8" x14ac:dyDescent="0.25">
      <c r="A970" t="s">
        <v>269</v>
      </c>
      <c r="B970" t="s">
        <v>4174</v>
      </c>
      <c r="C970" s="4">
        <f>('Reels'!D193/('Reels'!D178+'Reels'!D181+'Reels'!D184+'Reels'!D187+'Reels'!D190+'Reels'!D193))*('Reels'!D196/('Reels'!D196+'Reels'!D199+'Reels'!D202+'Reels'!D205+'Reels'!D208+'Reels'!D211+'Reels'!D214))*('Reels'!D224/('Reels'!D218+'Reels'!D221+'Reels'!D224+'Reels'!D227+'Reels'!D230+'Reels'!D233))</f>
        <v>0.005049886760115077</v>
      </c>
      <c r="D970">
        <f>IF(OR('Reels'!D191="attack",'Reels'!D191="magic"),CHOOSE('Reels'!D192+1,'Slots'!D29,'Slots'!D30,'Slots'!D31,'Slots'!D32,'Slots'!D33),0)+IF(OR('Reels'!D194="attack",'Reels'!D194="magic"),CHOOSE('Reels'!D195+1,'Slots'!D29,'Slots'!D30,'Slots'!D31,'Slots'!D32,'Slots'!D33),0)+IF(OR('Reels'!D222="attack",'Reels'!D222="magic"),CHOOSE('Reels'!D223+1,'Slots'!D29,'Slots'!D30,'Slots'!D31,'Slots'!D32,'Slots'!D33),0)</f>
        <v>2</v>
      </c>
      <c r="E970">
        <f>IF('Reels'!D191="heal",'Reels'!D192*'Slots'!D24,0)+IF('Reels'!D194="heal",'Reels'!D195*'Slots'!D24,0)+IF('Reels'!D222="heal",'Reels'!D223*'Slots'!D24,0)</f>
        <v>0</v>
      </c>
      <c r="F970">
        <f>IF('Reels'!D191="block",'Reels'!D192*'Slots'!D25,0)+IF('Reels'!D194="block",'Reels'!D195*'Slots'!D25,0)+IF('Reels'!D222="block",'Reels'!D223*'Slots'!D25,0)</f>
        <v>0</v>
      </c>
      <c r="G970" t="b">
        <f>AND('Reels'!D191&lt;&gt;"blank",'Reels'!D191&lt;&gt;"class",'Reels'!D191='Reels'!D222,'Reels'!D192='Reels'!D223,OR('Reels'!D194="class",AND('Reels'!D194='Reels'!D191,'Reels'!D195='Reels'!D192)))</f>
        <v>0</v>
      </c>
      <c r="H970">
        <f>IF(G970,C970,0)</f>
        <v>0</v>
      </c>
    </row>
    <row r="971" spans="1:8" x14ac:dyDescent="0.25">
      <c r="A971" t="s">
        <v>269</v>
      </c>
      <c r="B971" t="s">
        <v>4175</v>
      </c>
      <c r="C971" s="4">
        <f>('Reels'!D193/('Reels'!D178+'Reels'!D181+'Reels'!D184+'Reels'!D187+'Reels'!D190+'Reels'!D193))*('Reels'!D196/('Reels'!D196+'Reels'!D199+'Reels'!D202+'Reels'!D205+'Reels'!D208+'Reels'!D211+'Reels'!D214))*('Reels'!D227/('Reels'!D218+'Reels'!D221+'Reels'!D224+'Reels'!D227+'Reels'!D230+'Reels'!D233))</f>
        <v>0.005049886760115077</v>
      </c>
      <c r="D971">
        <f>IF(OR('Reels'!D191="attack",'Reels'!D191="magic"),CHOOSE('Reels'!D192+1,'Slots'!D29,'Slots'!D30,'Slots'!D31,'Slots'!D32,'Slots'!D33),0)+IF(OR('Reels'!D194="attack",'Reels'!D194="magic"),CHOOSE('Reels'!D195+1,'Slots'!D29,'Slots'!D30,'Slots'!D31,'Slots'!D32,'Slots'!D33),0)+IF(OR('Reels'!D225="attack",'Reels'!D225="magic"),CHOOSE('Reels'!D226+1,'Slots'!D29,'Slots'!D30,'Slots'!D31,'Slots'!D32,'Slots'!D33),0)</f>
        <v>2</v>
      </c>
      <c r="E971">
        <f>IF('Reels'!D191="heal",'Reels'!D192*'Slots'!D24,0)+IF('Reels'!D194="heal",'Reels'!D195*'Slots'!D24,0)+IF('Reels'!D225="heal",'Reels'!D226*'Slots'!D24,0)</f>
        <v>0</v>
      </c>
      <c r="F971">
        <f>IF('Reels'!D191="block",'Reels'!D192*'Slots'!D25,0)+IF('Reels'!D194="block",'Reels'!D195*'Slots'!D25,0)+IF('Reels'!D225="block",'Reels'!D226*'Slots'!D25,0)</f>
        <v>0</v>
      </c>
      <c r="G971" t="b">
        <f>AND('Reels'!D191&lt;&gt;"blank",'Reels'!D191&lt;&gt;"class",'Reels'!D191='Reels'!D225,'Reels'!D192='Reels'!D226,OR('Reels'!D194="class",AND('Reels'!D194='Reels'!D191,'Reels'!D195='Reels'!D192)))</f>
        <v>0</v>
      </c>
      <c r="H971">
        <f>IF(G971,C971,0)</f>
        <v>0</v>
      </c>
    </row>
    <row r="972" spans="1:8" x14ac:dyDescent="0.25">
      <c r="A972" t="s">
        <v>269</v>
      </c>
      <c r="B972" t="s">
        <v>3823</v>
      </c>
      <c r="C972" s="4">
        <f>('Reels'!D193/('Reels'!D178+'Reels'!D181+'Reels'!D184+'Reels'!D187+'Reels'!D190+'Reels'!D193))*('Reels'!D196/('Reels'!D196+'Reels'!D199+'Reels'!D202+'Reels'!D205+'Reels'!D208+'Reels'!D211+'Reels'!D214))*('Reels'!D230/('Reels'!D218+'Reels'!D221+'Reels'!D224+'Reels'!D227+'Reels'!D230+'Reels'!D233))</f>
        <v>0.003366591173410051</v>
      </c>
      <c r="D972">
        <f>IF(OR('Reels'!D191="attack",'Reels'!D191="magic"),CHOOSE('Reels'!D192+1,'Slots'!D29,'Slots'!D30,'Slots'!D31,'Slots'!D32,'Slots'!D33),0)+IF(OR('Reels'!D194="attack",'Reels'!D194="magic"),CHOOSE('Reels'!D195+1,'Slots'!D29,'Slots'!D30,'Slots'!D31,'Slots'!D32,'Slots'!D33),0)+IF(OR('Reels'!D228="attack",'Reels'!D228="magic"),CHOOSE('Reels'!D229+1,'Slots'!D29,'Slots'!D30,'Slots'!D31,'Slots'!D32,'Slots'!D33),0)</f>
        <v>2</v>
      </c>
      <c r="E972">
        <f>IF('Reels'!D191="heal",'Reels'!D192*'Slots'!D24,0)+IF('Reels'!D194="heal",'Reels'!D195*'Slots'!D24,0)+IF('Reels'!D228="heal",'Reels'!D229*'Slots'!D24,0)</f>
        <v>0</v>
      </c>
      <c r="F972">
        <f>IF('Reels'!D191="block",'Reels'!D192*'Slots'!D25,0)+IF('Reels'!D194="block",'Reels'!D195*'Slots'!D25,0)+IF('Reels'!D228="block",'Reels'!D229*'Slots'!D25,0)</f>
        <v>1</v>
      </c>
      <c r="G972" t="b">
        <f>AND('Reels'!D191&lt;&gt;"blank",'Reels'!D191&lt;&gt;"class",'Reels'!D191='Reels'!D228,'Reels'!D192='Reels'!D229,OR('Reels'!D194="class",AND('Reels'!D194='Reels'!D191,'Reels'!D195='Reels'!D192)))</f>
        <v>0</v>
      </c>
      <c r="H972">
        <f>IF(G972,C972,0)</f>
        <v>0</v>
      </c>
    </row>
    <row r="973" spans="1:8" x14ac:dyDescent="0.25">
      <c r="A973" t="s">
        <v>269</v>
      </c>
      <c r="B973" t="s">
        <v>3826</v>
      </c>
      <c r="C973" s="4">
        <f>('Reels'!D193/('Reels'!D178+'Reels'!D181+'Reels'!D184+'Reels'!D187+'Reels'!D190+'Reels'!D193))*('Reels'!D196/('Reels'!D196+'Reels'!D199+'Reels'!D202+'Reels'!D205+'Reels'!D208+'Reels'!D211+'Reels'!D214))*('Reels'!D233/('Reels'!D218+'Reels'!D221+'Reels'!D224+'Reels'!D227+'Reels'!D230+'Reels'!D233))</f>
        <v>0.008416477933525127</v>
      </c>
      <c r="D973">
        <f>IF(OR('Reels'!D191="attack",'Reels'!D191="magic"),CHOOSE('Reels'!D192+1,'Slots'!D29,'Slots'!D30,'Slots'!D31,'Slots'!D32,'Slots'!D33),0)+IF(OR('Reels'!D194="attack",'Reels'!D194="magic"),CHOOSE('Reels'!D195+1,'Slots'!D29,'Slots'!D30,'Slots'!D31,'Slots'!D32,'Slots'!D33),0)+IF(OR('Reels'!D231="attack",'Reels'!D231="magic"),CHOOSE('Reels'!D232+1,'Slots'!D29,'Slots'!D30,'Slots'!D31,'Slots'!D32,'Slots'!D33),0)</f>
        <v>2</v>
      </c>
      <c r="E973">
        <f>IF('Reels'!D191="heal",'Reels'!D192*'Slots'!D24,0)+IF('Reels'!D194="heal",'Reels'!D195*'Slots'!D24,0)+IF('Reels'!D231="heal",'Reels'!D232*'Slots'!D24,0)</f>
        <v>0</v>
      </c>
      <c r="F973">
        <f>IF('Reels'!D191="block",'Reels'!D192*'Slots'!D25,0)+IF('Reels'!D194="block",'Reels'!D195*'Slots'!D25,0)+IF('Reels'!D231="block",'Reels'!D232*'Slots'!D25,0)</f>
        <v>0</v>
      </c>
      <c r="G973" t="b">
        <f>AND('Reels'!D191&lt;&gt;"blank",'Reels'!D191&lt;&gt;"class",'Reels'!D191='Reels'!D231,'Reels'!D192='Reels'!D232,OR('Reels'!D194="class",AND('Reels'!D194='Reels'!D191,'Reels'!D195='Reels'!D192)))</f>
        <v>0</v>
      </c>
      <c r="H973">
        <f>IF(G973,C973,0)</f>
        <v>0</v>
      </c>
    </row>
    <row r="974" spans="1:8" x14ac:dyDescent="0.25">
      <c r="A974" t="s">
        <v>269</v>
      </c>
      <c r="B974" t="s">
        <v>4176</v>
      </c>
      <c r="C974" s="4">
        <f>('Reels'!D193/('Reels'!D178+'Reels'!D181+'Reels'!D184+'Reels'!D187+'Reels'!D190+'Reels'!D193))*('Reels'!D199/('Reels'!D196+'Reels'!D199+'Reels'!D202+'Reels'!D205+'Reels'!D208+'Reels'!D211+'Reels'!D214))*('Reels'!D218/('Reels'!D218+'Reels'!D221+'Reels'!D224+'Reels'!D227+'Reels'!D230+'Reels'!D233))</f>
        <v>0.011783069106935176</v>
      </c>
      <c r="D974">
        <f>IF(OR('Reels'!D191="attack",'Reels'!D191="magic"),CHOOSE('Reels'!D192+1,'Slots'!D29,'Slots'!D30,'Slots'!D31,'Slots'!D32,'Slots'!D33),0)+IF(OR('Reels'!D197="attack",'Reels'!D197="magic"),CHOOSE('Reels'!D198+1,'Slots'!D29,'Slots'!D30,'Slots'!D31,'Slots'!D32,'Slots'!D33),0)+IF(OR('Reels'!D216="attack",'Reels'!D216="magic"),CHOOSE('Reels'!D217+1,'Slots'!D29,'Slots'!D30,'Slots'!D31,'Slots'!D32,'Slots'!D33),0)</f>
        <v>6</v>
      </c>
      <c r="E974">
        <f>IF('Reels'!D191="heal",'Reels'!D192*'Slots'!D24,0)+IF('Reels'!D197="heal",'Reels'!D198*'Slots'!D24,0)+IF('Reels'!D216="heal",'Reels'!D217*'Slots'!D24,0)</f>
        <v>0</v>
      </c>
      <c r="F974">
        <f>IF('Reels'!D191="block",'Reels'!D192*'Slots'!D25,0)+IF('Reels'!D197="block",'Reels'!D198*'Slots'!D25,0)+IF('Reels'!D216="block",'Reels'!D217*'Slots'!D25,0)</f>
        <v>0</v>
      </c>
      <c r="G974" t="b">
        <f>AND('Reels'!D191&lt;&gt;"blank",'Reels'!D191&lt;&gt;"class",'Reels'!D191='Reels'!D216,'Reels'!D192='Reels'!D217,OR('Reels'!D197="class",AND('Reels'!D197='Reels'!D191,'Reels'!D198='Reels'!D192)))</f>
        <v>0</v>
      </c>
      <c r="H974">
        <f>IF(G974,C974,0)</f>
        <v>0</v>
      </c>
    </row>
    <row r="975" spans="1:8" x14ac:dyDescent="0.25">
      <c r="A975" t="s">
        <v>269</v>
      </c>
      <c r="B975" t="s">
        <v>4177</v>
      </c>
      <c r="C975" s="4">
        <f>('Reels'!D193/('Reels'!D178+'Reels'!D181+'Reels'!D184+'Reels'!D187+'Reels'!D190+'Reels'!D193))*('Reels'!D199/('Reels'!D196+'Reels'!D199+'Reels'!D202+'Reels'!D205+'Reels'!D208+'Reels'!D211+'Reels'!D214))*('Reels'!D221/('Reels'!D218+'Reels'!D221+'Reels'!D224+'Reels'!D227+'Reels'!D230+'Reels'!D233))</f>
        <v>0.007498316704413294</v>
      </c>
      <c r="D975">
        <f>IF(OR('Reels'!D191="attack",'Reels'!D191="magic"),CHOOSE('Reels'!D192+1,'Slots'!D29,'Slots'!D30,'Slots'!D31,'Slots'!D32,'Slots'!D33),0)+IF(OR('Reels'!D197="attack",'Reels'!D197="magic"),CHOOSE('Reels'!D198+1,'Slots'!D29,'Slots'!D30,'Slots'!D31,'Slots'!D32,'Slots'!D33),0)+IF(OR('Reels'!D219="attack",'Reels'!D219="magic"),CHOOSE('Reels'!D220+1,'Slots'!D29,'Slots'!D30,'Slots'!D31,'Slots'!D32,'Slots'!D33),0)</f>
        <v>8</v>
      </c>
      <c r="E975">
        <f>IF('Reels'!D191="heal",'Reels'!D192*'Slots'!D24,0)+IF('Reels'!D197="heal",'Reels'!D198*'Slots'!D24,0)+IF('Reels'!D219="heal",'Reels'!D220*'Slots'!D24,0)</f>
        <v>0</v>
      </c>
      <c r="F975">
        <f>IF('Reels'!D191="block",'Reels'!D192*'Slots'!D25,0)+IF('Reels'!D197="block",'Reels'!D198*'Slots'!D25,0)+IF('Reels'!D219="block",'Reels'!D220*'Slots'!D25,0)</f>
        <v>0</v>
      </c>
      <c r="G975" t="b">
        <f>AND('Reels'!D191&lt;&gt;"blank",'Reels'!D191&lt;&gt;"class",'Reels'!D191='Reels'!D219,'Reels'!D192='Reels'!D220,OR('Reels'!D197="class",AND('Reels'!D197='Reels'!D191,'Reels'!D198='Reels'!D192)))</f>
        <v>0</v>
      </c>
      <c r="H975">
        <f>IF(G975,C975,0)</f>
        <v>0</v>
      </c>
    </row>
    <row r="976" spans="1:8" x14ac:dyDescent="0.25">
      <c r="A976" t="s">
        <v>269</v>
      </c>
      <c r="B976" t="s">
        <v>4178</v>
      </c>
      <c r="C976" s="4">
        <f>('Reels'!D193/('Reels'!D178+'Reels'!D181+'Reels'!D184+'Reels'!D187+'Reels'!D190+'Reels'!D193))*('Reels'!D199/('Reels'!D196+'Reels'!D199+'Reels'!D202+'Reels'!D205+'Reels'!D208+'Reels'!D211+'Reels'!D214))*('Reels'!D224/('Reels'!D218+'Reels'!D221+'Reels'!D224+'Reels'!D227+'Reels'!D230+'Reels'!D233))</f>
        <v>0.003213564301891412</v>
      </c>
      <c r="D976">
        <f>IF(OR('Reels'!D191="attack",'Reels'!D191="magic"),CHOOSE('Reels'!D192+1,'Slots'!D29,'Slots'!D30,'Slots'!D31,'Slots'!D32,'Slots'!D33),0)+IF(OR('Reels'!D197="attack",'Reels'!D197="magic"),CHOOSE('Reels'!D198+1,'Slots'!D29,'Slots'!D30,'Slots'!D31,'Slots'!D32,'Slots'!D33),0)+IF(OR('Reels'!D222="attack",'Reels'!D222="magic"),CHOOSE('Reels'!D223+1,'Slots'!D29,'Slots'!D30,'Slots'!D31,'Slots'!D32,'Slots'!D33),0)</f>
        <v>4</v>
      </c>
      <c r="E976">
        <f>IF('Reels'!D191="heal",'Reels'!D192*'Slots'!D24,0)+IF('Reels'!D197="heal",'Reels'!D198*'Slots'!D24,0)+IF('Reels'!D222="heal",'Reels'!D223*'Slots'!D24,0)</f>
        <v>0</v>
      </c>
      <c r="F976">
        <f>IF('Reels'!D191="block",'Reels'!D192*'Slots'!D25,0)+IF('Reels'!D197="block",'Reels'!D198*'Slots'!D25,0)+IF('Reels'!D222="block",'Reels'!D223*'Slots'!D25,0)</f>
        <v>0</v>
      </c>
      <c r="G976" t="b">
        <f>AND('Reels'!D191&lt;&gt;"blank",'Reels'!D191&lt;&gt;"class",'Reels'!D191='Reels'!D222,'Reels'!D192='Reels'!D223,OR('Reels'!D197="class",AND('Reels'!D197='Reels'!D191,'Reels'!D198='Reels'!D192)))</f>
        <v>0</v>
      </c>
      <c r="H976">
        <f>IF(G976,C976,0)</f>
        <v>0</v>
      </c>
    </row>
    <row r="977" spans="1:8" x14ac:dyDescent="0.25">
      <c r="A977" t="s">
        <v>269</v>
      </c>
      <c r="B977" t="s">
        <v>4179</v>
      </c>
      <c r="C977" s="4">
        <f>('Reels'!D193/('Reels'!D178+'Reels'!D181+'Reels'!D184+'Reels'!D187+'Reels'!D190+'Reels'!D193))*('Reels'!D199/('Reels'!D196+'Reels'!D199+'Reels'!D202+'Reels'!D205+'Reels'!D208+'Reels'!D211+'Reels'!D214))*('Reels'!D227/('Reels'!D218+'Reels'!D221+'Reels'!D224+'Reels'!D227+'Reels'!D230+'Reels'!D233))</f>
        <v>0.003213564301891412</v>
      </c>
      <c r="D977">
        <f>IF(OR('Reels'!D191="attack",'Reels'!D191="magic"),CHOOSE('Reels'!D192+1,'Slots'!D29,'Slots'!D30,'Slots'!D31,'Slots'!D32,'Slots'!D33),0)+IF(OR('Reels'!D197="attack",'Reels'!D197="magic"),CHOOSE('Reels'!D198+1,'Slots'!D29,'Slots'!D30,'Slots'!D31,'Slots'!D32,'Slots'!D33),0)+IF(OR('Reels'!D225="attack",'Reels'!D225="magic"),CHOOSE('Reels'!D226+1,'Slots'!D29,'Slots'!D30,'Slots'!D31,'Slots'!D32,'Slots'!D33),0)</f>
        <v>4</v>
      </c>
      <c r="E977">
        <f>IF('Reels'!D191="heal",'Reels'!D192*'Slots'!D24,0)+IF('Reels'!D197="heal",'Reels'!D198*'Slots'!D24,0)+IF('Reels'!D225="heal",'Reels'!D226*'Slots'!D24,0)</f>
        <v>0</v>
      </c>
      <c r="F977">
        <f>IF('Reels'!D191="block",'Reels'!D192*'Slots'!D25,0)+IF('Reels'!D197="block",'Reels'!D198*'Slots'!D25,0)+IF('Reels'!D225="block",'Reels'!D226*'Slots'!D25,0)</f>
        <v>0</v>
      </c>
      <c r="G977" t="b">
        <f>AND('Reels'!D191&lt;&gt;"blank",'Reels'!D191&lt;&gt;"class",'Reels'!D191='Reels'!D225,'Reels'!D192='Reels'!D226,OR('Reels'!D197="class",AND('Reels'!D197='Reels'!D191,'Reels'!D198='Reels'!D192)))</f>
        <v>0</v>
      </c>
      <c r="H977">
        <f>IF(G977,C977,0)</f>
        <v>0</v>
      </c>
    </row>
    <row r="978" spans="1:8" x14ac:dyDescent="0.25">
      <c r="A978" t="s">
        <v>269</v>
      </c>
      <c r="B978" t="s">
        <v>4180</v>
      </c>
      <c r="C978" s="4">
        <f>('Reels'!D193/('Reels'!D178+'Reels'!D181+'Reels'!D184+'Reels'!D187+'Reels'!D190+'Reels'!D193))*('Reels'!D199/('Reels'!D196+'Reels'!D199+'Reels'!D202+'Reels'!D205+'Reels'!D208+'Reels'!D211+'Reels'!D214))*('Reels'!D230/('Reels'!D218+'Reels'!D221+'Reels'!D224+'Reels'!D227+'Reels'!D230+'Reels'!D233))</f>
        <v>0.002142376201260941</v>
      </c>
      <c r="D978">
        <f>IF(OR('Reels'!D191="attack",'Reels'!D191="magic"),CHOOSE('Reels'!D192+1,'Slots'!D29,'Slots'!D30,'Slots'!D31,'Slots'!D32,'Slots'!D33),0)+IF(OR('Reels'!D197="attack",'Reels'!D197="magic"),CHOOSE('Reels'!D198+1,'Slots'!D29,'Slots'!D30,'Slots'!D31,'Slots'!D32,'Slots'!D33),0)+IF(OR('Reels'!D228="attack",'Reels'!D228="magic"),CHOOSE('Reels'!D229+1,'Slots'!D29,'Slots'!D30,'Slots'!D31,'Slots'!D32,'Slots'!D33),0)</f>
        <v>4</v>
      </c>
      <c r="E978">
        <f>IF('Reels'!D191="heal",'Reels'!D192*'Slots'!D24,0)+IF('Reels'!D197="heal",'Reels'!D198*'Slots'!D24,0)+IF('Reels'!D228="heal",'Reels'!D229*'Slots'!D24,0)</f>
        <v>0</v>
      </c>
      <c r="F978">
        <f>IF('Reels'!D191="block",'Reels'!D192*'Slots'!D25,0)+IF('Reels'!D197="block",'Reels'!D198*'Slots'!D25,0)+IF('Reels'!D228="block",'Reels'!D229*'Slots'!D25,0)</f>
        <v>1</v>
      </c>
      <c r="G978" t="b">
        <f>AND('Reels'!D191&lt;&gt;"blank",'Reels'!D191&lt;&gt;"class",'Reels'!D191='Reels'!D228,'Reels'!D192='Reels'!D229,OR('Reels'!D197="class",AND('Reels'!D197='Reels'!D191,'Reels'!D198='Reels'!D192)))</f>
        <v>0</v>
      </c>
      <c r="H978">
        <f>IF(G978,C978,0)</f>
        <v>0</v>
      </c>
    </row>
    <row r="979" spans="1:8" x14ac:dyDescent="0.25">
      <c r="A979" t="s">
        <v>269</v>
      </c>
      <c r="B979" t="s">
        <v>4181</v>
      </c>
      <c r="C979" s="4">
        <f>('Reels'!D193/('Reels'!D178+'Reels'!D181+'Reels'!D184+'Reels'!D187+'Reels'!D190+'Reels'!D193))*('Reels'!D199/('Reels'!D196+'Reels'!D199+'Reels'!D202+'Reels'!D205+'Reels'!D208+'Reels'!D211+'Reels'!D214))*('Reels'!D233/('Reels'!D218+'Reels'!D221+'Reels'!D224+'Reels'!D227+'Reels'!D230+'Reels'!D233))</f>
        <v>0.005355940503152353</v>
      </c>
      <c r="D979">
        <f>IF(OR('Reels'!D191="attack",'Reels'!D191="magic"),CHOOSE('Reels'!D192+1,'Slots'!D29,'Slots'!D30,'Slots'!D31,'Slots'!D32,'Slots'!D33),0)+IF(OR('Reels'!D197="attack",'Reels'!D197="magic"),CHOOSE('Reels'!D198+1,'Slots'!D29,'Slots'!D30,'Slots'!D31,'Slots'!D32,'Slots'!D33),0)+IF(OR('Reels'!D231="attack",'Reels'!D231="magic"),CHOOSE('Reels'!D232+1,'Slots'!D29,'Slots'!D30,'Slots'!D31,'Slots'!D32,'Slots'!D33),0)</f>
        <v>4</v>
      </c>
      <c r="E979">
        <f>IF('Reels'!D191="heal",'Reels'!D192*'Slots'!D24,0)+IF('Reels'!D197="heal",'Reels'!D198*'Slots'!D24,0)+IF('Reels'!D231="heal",'Reels'!D232*'Slots'!D24,0)</f>
        <v>0</v>
      </c>
      <c r="F979">
        <f>IF('Reels'!D191="block",'Reels'!D192*'Slots'!D25,0)+IF('Reels'!D197="block",'Reels'!D198*'Slots'!D25,0)+IF('Reels'!D231="block",'Reels'!D232*'Slots'!D25,0)</f>
        <v>0</v>
      </c>
      <c r="G979" t="b">
        <f>AND('Reels'!D191&lt;&gt;"blank",'Reels'!D191&lt;&gt;"class",'Reels'!D191='Reels'!D231,'Reels'!D192='Reels'!D232,OR('Reels'!D197="class",AND('Reels'!D197='Reels'!D191,'Reels'!D198='Reels'!D192)))</f>
        <v>0</v>
      </c>
      <c r="H979">
        <f>IF(G979,C979,0)</f>
        <v>0</v>
      </c>
    </row>
    <row r="980" spans="1:8" x14ac:dyDescent="0.25">
      <c r="A980" t="s">
        <v>269</v>
      </c>
      <c r="B980" t="s">
        <v>4182</v>
      </c>
      <c r="C980" s="4">
        <f>('Reels'!D193/('Reels'!D178+'Reels'!D181+'Reels'!D184+'Reels'!D187+'Reels'!D190+'Reels'!D193))*('Reels'!D202/('Reels'!D196+'Reels'!D199+'Reels'!D202+'Reels'!D205+'Reels'!D208+'Reels'!D211+'Reels'!D214))*('Reels'!D218/('Reels'!D218+'Reels'!D221+'Reels'!D224+'Reels'!D227+'Reels'!D230+'Reels'!D233))</f>
        <v>0.005049886760115077</v>
      </c>
      <c r="D980">
        <f>IF(OR('Reels'!D191="attack",'Reels'!D191="magic"),CHOOSE('Reels'!D192+1,'Slots'!D29,'Slots'!D30,'Slots'!D31,'Slots'!D32,'Slots'!D33),0)+IF(OR('Reels'!D200="attack",'Reels'!D200="magic"),CHOOSE('Reels'!D201+1,'Slots'!D29,'Slots'!D30,'Slots'!D31,'Slots'!D32,'Slots'!D33),0)+IF(OR('Reels'!D216="attack",'Reels'!D216="magic"),CHOOSE('Reels'!D217+1,'Slots'!D29,'Slots'!D30,'Slots'!D31,'Slots'!D32,'Slots'!D33),0)</f>
        <v>2</v>
      </c>
      <c r="E980">
        <f>IF('Reels'!D191="heal",'Reels'!D192*'Slots'!D24,0)+IF('Reels'!D200="heal",'Reels'!D201*'Slots'!D24,0)+IF('Reels'!D216="heal",'Reels'!D217*'Slots'!D24,0)</f>
        <v>0</v>
      </c>
      <c r="F980">
        <f>IF('Reels'!D191="block",'Reels'!D192*'Slots'!D25,0)+IF('Reels'!D200="block",'Reels'!D201*'Slots'!D25,0)+IF('Reels'!D216="block",'Reels'!D217*'Slots'!D25,0)</f>
        <v>0</v>
      </c>
      <c r="G980" t="b">
        <f>AND('Reels'!D191&lt;&gt;"blank",'Reels'!D191&lt;&gt;"class",'Reels'!D191='Reels'!D216,'Reels'!D192='Reels'!D217,OR('Reels'!D200="class",AND('Reels'!D200='Reels'!D191,'Reels'!D201='Reels'!D192)))</f>
        <v>0</v>
      </c>
      <c r="H980">
        <f>IF(G980,C980,0)</f>
        <v>0</v>
      </c>
    </row>
    <row r="981" spans="1:8" x14ac:dyDescent="0.25">
      <c r="A981" t="s">
        <v>269</v>
      </c>
      <c r="B981" t="s">
        <v>4183</v>
      </c>
      <c r="C981" s="4">
        <f>('Reels'!D193/('Reels'!D178+'Reels'!D181+'Reels'!D184+'Reels'!D187+'Reels'!D190+'Reels'!D193))*('Reels'!D202/('Reels'!D196+'Reels'!D199+'Reels'!D202+'Reels'!D205+'Reels'!D208+'Reels'!D211+'Reels'!D214))*('Reels'!D221/('Reels'!D218+'Reels'!D221+'Reels'!D224+'Reels'!D227+'Reels'!D230+'Reels'!D233))</f>
        <v>0.0032135643018914124</v>
      </c>
      <c r="D981">
        <f>IF(OR('Reels'!D191="attack",'Reels'!D191="magic"),CHOOSE('Reels'!D192+1,'Slots'!D29,'Slots'!D30,'Slots'!D31,'Slots'!D32,'Slots'!D33),0)+IF(OR('Reels'!D200="attack",'Reels'!D200="magic"),CHOOSE('Reels'!D201+1,'Slots'!D29,'Slots'!D30,'Slots'!D31,'Slots'!D32,'Slots'!D33),0)+IF(OR('Reels'!D219="attack",'Reels'!D219="magic"),CHOOSE('Reels'!D220+1,'Slots'!D29,'Slots'!D30,'Slots'!D31,'Slots'!D32,'Slots'!D33),0)</f>
        <v>4</v>
      </c>
      <c r="E981">
        <f>IF('Reels'!D191="heal",'Reels'!D192*'Slots'!D24,0)+IF('Reels'!D200="heal",'Reels'!D201*'Slots'!D24,0)+IF('Reels'!D219="heal",'Reels'!D220*'Slots'!D24,0)</f>
        <v>0</v>
      </c>
      <c r="F981">
        <f>IF('Reels'!D191="block",'Reels'!D192*'Slots'!D25,0)+IF('Reels'!D200="block",'Reels'!D201*'Slots'!D25,0)+IF('Reels'!D219="block",'Reels'!D220*'Slots'!D25,0)</f>
        <v>0</v>
      </c>
      <c r="G981" t="b">
        <f>AND('Reels'!D191&lt;&gt;"blank",'Reels'!D191&lt;&gt;"class",'Reels'!D191='Reels'!D219,'Reels'!D192='Reels'!D220,OR('Reels'!D200="class",AND('Reels'!D200='Reels'!D191,'Reels'!D201='Reels'!D192)))</f>
        <v>0</v>
      </c>
      <c r="H981">
        <f>IF(G981,C981,0)</f>
        <v>0</v>
      </c>
    </row>
    <row r="982" spans="1:8" x14ac:dyDescent="0.25">
      <c r="A982" t="s">
        <v>269</v>
      </c>
      <c r="B982" t="s">
        <v>3996</v>
      </c>
      <c r="C982" s="4">
        <f>('Reels'!D193/('Reels'!D178+'Reels'!D181+'Reels'!D184+'Reels'!D187+'Reels'!D190+'Reels'!D193))*('Reels'!D202/('Reels'!D196+'Reels'!D199+'Reels'!D202+'Reels'!D205+'Reels'!D208+'Reels'!D211+'Reels'!D214))*('Reels'!D224/('Reels'!D218+'Reels'!D221+'Reels'!D224+'Reels'!D227+'Reels'!D230+'Reels'!D233))</f>
        <v>0.001377241843667748</v>
      </c>
      <c r="D982">
        <f>IF(OR('Reels'!D191="attack",'Reels'!D191="magic"),CHOOSE('Reels'!D192+1,'Slots'!D29,'Slots'!D30,'Slots'!D31,'Slots'!D32,'Slots'!D33),0)+IF(OR('Reels'!D200="attack",'Reels'!D200="magic"),CHOOSE('Reels'!D201+1,'Slots'!D29,'Slots'!D30,'Slots'!D31,'Slots'!D32,'Slots'!D33),0)+IF(OR('Reels'!D222="attack",'Reels'!D222="magic"),CHOOSE('Reels'!D223+1,'Slots'!D29,'Slots'!D30,'Slots'!D31,'Slots'!D32,'Slots'!D33),0)</f>
        <v>0</v>
      </c>
      <c r="E982">
        <f>IF('Reels'!D191="heal",'Reels'!D192*'Slots'!D24,0)+IF('Reels'!D200="heal",'Reels'!D201*'Slots'!D24,0)+IF('Reels'!D222="heal",'Reels'!D223*'Slots'!D24,0)</f>
        <v>0</v>
      </c>
      <c r="F982">
        <f>IF('Reels'!D191="block",'Reels'!D192*'Slots'!D25,0)+IF('Reels'!D200="block",'Reels'!D201*'Slots'!D25,0)+IF('Reels'!D222="block",'Reels'!D223*'Slots'!D25,0)</f>
        <v>0</v>
      </c>
      <c r="G982" t="b">
        <f>AND('Reels'!D191&lt;&gt;"blank",'Reels'!D191&lt;&gt;"class",'Reels'!D191='Reels'!D222,'Reels'!D192='Reels'!D223,OR('Reels'!D200="class",AND('Reels'!D200='Reels'!D191,'Reels'!D201='Reels'!D192)))</f>
        <v>0</v>
      </c>
      <c r="H982">
        <f>IF(G982,C982,0)</f>
        <v>0</v>
      </c>
    </row>
    <row r="983" spans="1:8" x14ac:dyDescent="0.25">
      <c r="A983" t="s">
        <v>269</v>
      </c>
      <c r="B983" t="s">
        <v>4184</v>
      </c>
      <c r="C983" s="4">
        <f>('Reels'!D193/('Reels'!D178+'Reels'!D181+'Reels'!D184+'Reels'!D187+'Reels'!D190+'Reels'!D193))*('Reels'!D202/('Reels'!D196+'Reels'!D199+'Reels'!D202+'Reels'!D205+'Reels'!D208+'Reels'!D211+'Reels'!D214))*('Reels'!D227/('Reels'!D218+'Reels'!D221+'Reels'!D224+'Reels'!D227+'Reels'!D230+'Reels'!D233))</f>
        <v>0.001377241843667748</v>
      </c>
      <c r="D983">
        <f>IF(OR('Reels'!D191="attack",'Reels'!D191="magic"),CHOOSE('Reels'!D192+1,'Slots'!D29,'Slots'!D30,'Slots'!D31,'Slots'!D32,'Slots'!D33),0)+IF(OR('Reels'!D200="attack",'Reels'!D200="magic"),CHOOSE('Reels'!D201+1,'Slots'!D29,'Slots'!D30,'Slots'!D31,'Slots'!D32,'Slots'!D33),0)+IF(OR('Reels'!D225="attack",'Reels'!D225="magic"),CHOOSE('Reels'!D226+1,'Slots'!D29,'Slots'!D30,'Slots'!D31,'Slots'!D32,'Slots'!D33),0)</f>
        <v>0</v>
      </c>
      <c r="E983">
        <f>IF('Reels'!D191="heal",'Reels'!D192*'Slots'!D24,0)+IF('Reels'!D200="heal",'Reels'!D201*'Slots'!D24,0)+IF('Reels'!D225="heal",'Reels'!D226*'Slots'!D24,0)</f>
        <v>0</v>
      </c>
      <c r="F983">
        <f>IF('Reels'!D191="block",'Reels'!D192*'Slots'!D25,0)+IF('Reels'!D200="block",'Reels'!D201*'Slots'!D25,0)+IF('Reels'!D225="block",'Reels'!D226*'Slots'!D25,0)</f>
        <v>0</v>
      </c>
      <c r="G983" t="b">
        <f>AND('Reels'!D191&lt;&gt;"blank",'Reels'!D191&lt;&gt;"class",'Reels'!D191='Reels'!D225,'Reels'!D192='Reels'!D226,OR('Reels'!D200="class",AND('Reels'!D200='Reels'!D191,'Reels'!D201='Reels'!D192)))</f>
        <v>0</v>
      </c>
      <c r="H983">
        <f>IF(G983,C983,0)</f>
        <v>0</v>
      </c>
    </row>
    <row r="984" spans="1:8" x14ac:dyDescent="0.25">
      <c r="A984" t="s">
        <v>269</v>
      </c>
      <c r="B984" t="s">
        <v>3997</v>
      </c>
      <c r="C984" s="4">
        <f>('Reels'!D193/('Reels'!D178+'Reels'!D181+'Reels'!D184+'Reels'!D187+'Reels'!D190+'Reels'!D193))*('Reels'!D202/('Reels'!D196+'Reels'!D199+'Reels'!D202+'Reels'!D205+'Reels'!D208+'Reels'!D211+'Reels'!D214))*('Reels'!D230/('Reels'!D218+'Reels'!D221+'Reels'!D224+'Reels'!D227+'Reels'!D230+'Reels'!D233))</f>
        <v>0.0009181612291118321</v>
      </c>
      <c r="D984">
        <f>IF(OR('Reels'!D191="attack",'Reels'!D191="magic"),CHOOSE('Reels'!D192+1,'Slots'!D29,'Slots'!D30,'Slots'!D31,'Slots'!D32,'Slots'!D33),0)+IF(OR('Reels'!D200="attack",'Reels'!D200="magic"),CHOOSE('Reels'!D201+1,'Slots'!D29,'Slots'!D30,'Slots'!D31,'Slots'!D32,'Slots'!D33),0)+IF(OR('Reels'!D228="attack",'Reels'!D228="magic"),CHOOSE('Reels'!D229+1,'Slots'!D29,'Slots'!D30,'Slots'!D31,'Slots'!D32,'Slots'!D33),0)</f>
        <v>0</v>
      </c>
      <c r="E984">
        <f>IF('Reels'!D191="heal",'Reels'!D192*'Slots'!D24,0)+IF('Reels'!D200="heal",'Reels'!D201*'Slots'!D24,0)+IF('Reels'!D228="heal",'Reels'!D229*'Slots'!D24,0)</f>
        <v>0</v>
      </c>
      <c r="F984">
        <f>IF('Reels'!D191="block",'Reels'!D192*'Slots'!D25,0)+IF('Reels'!D200="block",'Reels'!D201*'Slots'!D25,0)+IF('Reels'!D228="block",'Reels'!D229*'Slots'!D25,0)</f>
        <v>1</v>
      </c>
      <c r="G984" t="b">
        <f>AND('Reels'!D191&lt;&gt;"blank",'Reels'!D191&lt;&gt;"class",'Reels'!D191='Reels'!D228,'Reels'!D192='Reels'!D229,OR('Reels'!D200="class",AND('Reels'!D200='Reels'!D191,'Reels'!D201='Reels'!D192)))</f>
        <v>0</v>
      </c>
      <c r="H984">
        <f>IF(G984,C984,0)</f>
        <v>0</v>
      </c>
    </row>
    <row r="985" spans="1:8" x14ac:dyDescent="0.25">
      <c r="A985" t="s">
        <v>269</v>
      </c>
      <c r="B985" t="s">
        <v>3998</v>
      </c>
      <c r="C985" s="4">
        <f>('Reels'!D193/('Reels'!D178+'Reels'!D181+'Reels'!D184+'Reels'!D187+'Reels'!D190+'Reels'!D193))*('Reels'!D202/('Reels'!D196+'Reels'!D199+'Reels'!D202+'Reels'!D205+'Reels'!D208+'Reels'!D211+'Reels'!D214))*('Reels'!D233/('Reels'!D218+'Reels'!D221+'Reels'!D224+'Reels'!D227+'Reels'!D230+'Reels'!D233))</f>
        <v>0.0022954030727795802</v>
      </c>
      <c r="D985">
        <f>IF(OR('Reels'!D191="attack",'Reels'!D191="magic"),CHOOSE('Reels'!D192+1,'Slots'!D29,'Slots'!D30,'Slots'!D31,'Slots'!D32,'Slots'!D33),0)+IF(OR('Reels'!D200="attack",'Reels'!D200="magic"),CHOOSE('Reels'!D201+1,'Slots'!D29,'Slots'!D30,'Slots'!D31,'Slots'!D32,'Slots'!D33),0)+IF(OR('Reels'!D231="attack",'Reels'!D231="magic"),CHOOSE('Reels'!D232+1,'Slots'!D29,'Slots'!D30,'Slots'!D31,'Slots'!D32,'Slots'!D33),0)</f>
        <v>0</v>
      </c>
      <c r="E985">
        <f>IF('Reels'!D191="heal",'Reels'!D192*'Slots'!D24,0)+IF('Reels'!D200="heal",'Reels'!D201*'Slots'!D24,0)+IF('Reels'!D231="heal",'Reels'!D232*'Slots'!D24,0)</f>
        <v>0</v>
      </c>
      <c r="F985">
        <f>IF('Reels'!D191="block",'Reels'!D192*'Slots'!D25,0)+IF('Reels'!D200="block",'Reels'!D201*'Slots'!D25,0)+IF('Reels'!D231="block",'Reels'!D232*'Slots'!D25,0)</f>
        <v>0</v>
      </c>
      <c r="G985" t="b">
        <f>AND('Reels'!D191&lt;&gt;"blank",'Reels'!D191&lt;&gt;"class",'Reels'!D191='Reels'!D231,'Reels'!D192='Reels'!D232,OR('Reels'!D200="class",AND('Reels'!D200='Reels'!D191,'Reels'!D201='Reels'!D192)))</f>
        <v>0</v>
      </c>
      <c r="H985">
        <f>IF(G985,C985,0)</f>
        <v>0</v>
      </c>
    </row>
    <row r="986" spans="1:8" x14ac:dyDescent="0.25">
      <c r="A986" t="s">
        <v>269</v>
      </c>
      <c r="B986" t="s">
        <v>4185</v>
      </c>
      <c r="C986" s="4">
        <f>('Reels'!D193/('Reels'!D178+'Reels'!D181+'Reels'!D184+'Reels'!D187+'Reels'!D190+'Reels'!D193))*('Reels'!D205/('Reels'!D196+'Reels'!D199+'Reels'!D202+'Reels'!D205+'Reels'!D208+'Reels'!D211+'Reels'!D214))*('Reels'!D218/('Reels'!D218+'Reels'!D221+'Reels'!D224+'Reels'!D227+'Reels'!D230+'Reels'!D233))</f>
        <v>0.005049886760115077</v>
      </c>
      <c r="D986">
        <f>IF(OR('Reels'!D191="attack",'Reels'!D191="magic"),CHOOSE('Reels'!D192+1,'Slots'!D29,'Slots'!D30,'Slots'!D31,'Slots'!D32,'Slots'!D33),0)+IF(OR('Reels'!D203="attack",'Reels'!D203="magic"),CHOOSE('Reels'!D204+1,'Slots'!D29,'Slots'!D30,'Slots'!D31,'Slots'!D32,'Slots'!D33),0)+IF(OR('Reels'!D216="attack",'Reels'!D216="magic"),CHOOSE('Reels'!D217+1,'Slots'!D29,'Slots'!D30,'Slots'!D31,'Slots'!D32,'Slots'!D33),0)</f>
        <v>2</v>
      </c>
      <c r="E986">
        <f>IF('Reels'!D191="heal",'Reels'!D192*'Slots'!D24,0)+IF('Reels'!D203="heal",'Reels'!D204*'Slots'!D24,0)+IF('Reels'!D216="heal",'Reels'!D217*'Slots'!D24,0)</f>
        <v>0</v>
      </c>
      <c r="F986">
        <f>IF('Reels'!D191="block",'Reels'!D192*'Slots'!D25,0)+IF('Reels'!D203="block",'Reels'!D204*'Slots'!D25,0)+IF('Reels'!D216="block",'Reels'!D217*'Slots'!D25,0)</f>
        <v>0</v>
      </c>
      <c r="G986" t="b">
        <f>AND('Reels'!D191&lt;&gt;"blank",'Reels'!D191&lt;&gt;"class",'Reels'!D191='Reels'!D216,'Reels'!D192='Reels'!D217,OR('Reels'!D203="class",AND('Reels'!D203='Reels'!D191,'Reels'!D204='Reels'!D192)))</f>
        <v>0</v>
      </c>
      <c r="H986">
        <f>IF(G986,C986,0)</f>
        <v>0</v>
      </c>
    </row>
    <row r="987" spans="1:8" x14ac:dyDescent="0.25">
      <c r="A987" t="s">
        <v>269</v>
      </c>
      <c r="B987" t="s">
        <v>4186</v>
      </c>
      <c r="C987" s="4">
        <f>('Reels'!D193/('Reels'!D178+'Reels'!D181+'Reels'!D184+'Reels'!D187+'Reels'!D190+'Reels'!D193))*('Reels'!D205/('Reels'!D196+'Reels'!D199+'Reels'!D202+'Reels'!D205+'Reels'!D208+'Reels'!D211+'Reels'!D214))*('Reels'!D221/('Reels'!D218+'Reels'!D221+'Reels'!D224+'Reels'!D227+'Reels'!D230+'Reels'!D233))</f>
        <v>0.0032135643018914124</v>
      </c>
      <c r="D987">
        <f>IF(OR('Reels'!D191="attack",'Reels'!D191="magic"),CHOOSE('Reels'!D192+1,'Slots'!D29,'Slots'!D30,'Slots'!D31,'Slots'!D32,'Slots'!D33),0)+IF(OR('Reels'!D203="attack",'Reels'!D203="magic"),CHOOSE('Reels'!D204+1,'Slots'!D29,'Slots'!D30,'Slots'!D31,'Slots'!D32,'Slots'!D33),0)+IF(OR('Reels'!D219="attack",'Reels'!D219="magic"),CHOOSE('Reels'!D220+1,'Slots'!D29,'Slots'!D30,'Slots'!D31,'Slots'!D32,'Slots'!D33),0)</f>
        <v>4</v>
      </c>
      <c r="E987">
        <f>IF('Reels'!D191="heal",'Reels'!D192*'Slots'!D24,0)+IF('Reels'!D203="heal",'Reels'!D204*'Slots'!D24,0)+IF('Reels'!D219="heal",'Reels'!D220*'Slots'!D24,0)</f>
        <v>0</v>
      </c>
      <c r="F987">
        <f>IF('Reels'!D191="block",'Reels'!D192*'Slots'!D25,0)+IF('Reels'!D203="block",'Reels'!D204*'Slots'!D25,0)+IF('Reels'!D219="block",'Reels'!D220*'Slots'!D25,0)</f>
        <v>0</v>
      </c>
      <c r="G987" t="b">
        <f>AND('Reels'!D191&lt;&gt;"blank",'Reels'!D191&lt;&gt;"class",'Reels'!D191='Reels'!D219,'Reels'!D192='Reels'!D220,OR('Reels'!D203="class",AND('Reels'!D203='Reels'!D191,'Reels'!D204='Reels'!D192)))</f>
        <v>0</v>
      </c>
      <c r="H987">
        <f>IF(G987,C987,0)</f>
        <v>0</v>
      </c>
    </row>
    <row r="988" spans="1:8" x14ac:dyDescent="0.25">
      <c r="A988" t="s">
        <v>269</v>
      </c>
      <c r="B988" t="s">
        <v>4187</v>
      </c>
      <c r="C988" s="4">
        <f>('Reels'!D193/('Reels'!D178+'Reels'!D181+'Reels'!D184+'Reels'!D187+'Reels'!D190+'Reels'!D193))*('Reels'!D205/('Reels'!D196+'Reels'!D199+'Reels'!D202+'Reels'!D205+'Reels'!D208+'Reels'!D211+'Reels'!D214))*('Reels'!D224/('Reels'!D218+'Reels'!D221+'Reels'!D224+'Reels'!D227+'Reels'!D230+'Reels'!D233))</f>
        <v>0.001377241843667748</v>
      </c>
      <c r="D988">
        <f>IF(OR('Reels'!D191="attack",'Reels'!D191="magic"),CHOOSE('Reels'!D192+1,'Slots'!D29,'Slots'!D30,'Slots'!D31,'Slots'!D32,'Slots'!D33),0)+IF(OR('Reels'!D203="attack",'Reels'!D203="magic"),CHOOSE('Reels'!D204+1,'Slots'!D29,'Slots'!D30,'Slots'!D31,'Slots'!D32,'Slots'!D33),0)+IF(OR('Reels'!D222="attack",'Reels'!D222="magic"),CHOOSE('Reels'!D223+1,'Slots'!D29,'Slots'!D30,'Slots'!D31,'Slots'!D32,'Slots'!D33),0)</f>
        <v>0</v>
      </c>
      <c r="E988">
        <f>IF('Reels'!D191="heal",'Reels'!D192*'Slots'!D24,0)+IF('Reels'!D203="heal",'Reels'!D204*'Slots'!D24,0)+IF('Reels'!D222="heal",'Reels'!D223*'Slots'!D24,0)</f>
        <v>0</v>
      </c>
      <c r="F988">
        <f>IF('Reels'!D191="block",'Reels'!D192*'Slots'!D25,0)+IF('Reels'!D203="block",'Reels'!D204*'Slots'!D25,0)+IF('Reels'!D222="block",'Reels'!D223*'Slots'!D25,0)</f>
        <v>0</v>
      </c>
      <c r="G988" t="b">
        <f>AND('Reels'!D191&lt;&gt;"blank",'Reels'!D191&lt;&gt;"class",'Reels'!D191='Reels'!D222,'Reels'!D192='Reels'!D223,OR('Reels'!D203="class",AND('Reels'!D203='Reels'!D191,'Reels'!D204='Reels'!D192)))</f>
        <v>0</v>
      </c>
      <c r="H988">
        <f>IF(G988,C988,0)</f>
        <v>0</v>
      </c>
    </row>
    <row r="989" spans="1:8" x14ac:dyDescent="0.25">
      <c r="A989" t="s">
        <v>269</v>
      </c>
      <c r="B989" t="s">
        <v>4188</v>
      </c>
      <c r="C989" s="4">
        <f>('Reels'!D193/('Reels'!D178+'Reels'!D181+'Reels'!D184+'Reels'!D187+'Reels'!D190+'Reels'!D193))*('Reels'!D205/('Reels'!D196+'Reels'!D199+'Reels'!D202+'Reels'!D205+'Reels'!D208+'Reels'!D211+'Reels'!D214))*('Reels'!D227/('Reels'!D218+'Reels'!D221+'Reels'!D224+'Reels'!D227+'Reels'!D230+'Reels'!D233))</f>
        <v>0.001377241843667748</v>
      </c>
      <c r="D989">
        <f>IF(OR('Reels'!D191="attack",'Reels'!D191="magic"),CHOOSE('Reels'!D192+1,'Slots'!D29,'Slots'!D30,'Slots'!D31,'Slots'!D32,'Slots'!D33),0)+IF(OR('Reels'!D203="attack",'Reels'!D203="magic"),CHOOSE('Reels'!D204+1,'Slots'!D29,'Slots'!D30,'Slots'!D31,'Slots'!D32,'Slots'!D33),0)+IF(OR('Reels'!D225="attack",'Reels'!D225="magic"),CHOOSE('Reels'!D226+1,'Slots'!D29,'Slots'!D30,'Slots'!D31,'Slots'!D32,'Slots'!D33),0)</f>
        <v>0</v>
      </c>
      <c r="E989">
        <f>IF('Reels'!D191="heal",'Reels'!D192*'Slots'!D24,0)+IF('Reels'!D203="heal",'Reels'!D204*'Slots'!D24,0)+IF('Reels'!D225="heal",'Reels'!D226*'Slots'!D24,0)</f>
        <v>0</v>
      </c>
      <c r="F989">
        <f>IF('Reels'!D191="block",'Reels'!D192*'Slots'!D25,0)+IF('Reels'!D203="block",'Reels'!D204*'Slots'!D25,0)+IF('Reels'!D225="block",'Reels'!D226*'Slots'!D25,0)</f>
        <v>0</v>
      </c>
      <c r="G989" t="b">
        <f>AND('Reels'!D191&lt;&gt;"blank",'Reels'!D191&lt;&gt;"class",'Reels'!D191='Reels'!D225,'Reels'!D192='Reels'!D226,OR('Reels'!D203="class",AND('Reels'!D203='Reels'!D191,'Reels'!D204='Reels'!D192)))</f>
        <v>0</v>
      </c>
      <c r="H989">
        <f>IF(G989,C989,0)</f>
        <v>0</v>
      </c>
    </row>
    <row r="990" spans="1:8" x14ac:dyDescent="0.25">
      <c r="A990" t="s">
        <v>269</v>
      </c>
      <c r="B990" t="s">
        <v>4189</v>
      </c>
      <c r="C990" s="4">
        <f>('Reels'!D193/('Reels'!D178+'Reels'!D181+'Reels'!D184+'Reels'!D187+'Reels'!D190+'Reels'!D193))*('Reels'!D205/('Reels'!D196+'Reels'!D199+'Reels'!D202+'Reels'!D205+'Reels'!D208+'Reels'!D211+'Reels'!D214))*('Reels'!D230/('Reels'!D218+'Reels'!D221+'Reels'!D224+'Reels'!D227+'Reels'!D230+'Reels'!D233))</f>
        <v>0.0009181612291118321</v>
      </c>
      <c r="D990">
        <f>IF(OR('Reels'!D191="attack",'Reels'!D191="magic"),CHOOSE('Reels'!D192+1,'Slots'!D29,'Slots'!D30,'Slots'!D31,'Slots'!D32,'Slots'!D33),0)+IF(OR('Reels'!D203="attack",'Reels'!D203="magic"),CHOOSE('Reels'!D204+1,'Slots'!D29,'Slots'!D30,'Slots'!D31,'Slots'!D32,'Slots'!D33),0)+IF(OR('Reels'!D228="attack",'Reels'!D228="magic"),CHOOSE('Reels'!D229+1,'Slots'!D29,'Slots'!D30,'Slots'!D31,'Slots'!D32,'Slots'!D33),0)</f>
        <v>0</v>
      </c>
      <c r="E990">
        <f>IF('Reels'!D191="heal",'Reels'!D192*'Slots'!D24,0)+IF('Reels'!D203="heal",'Reels'!D204*'Slots'!D24,0)+IF('Reels'!D228="heal",'Reels'!D229*'Slots'!D24,0)</f>
        <v>0</v>
      </c>
      <c r="F990">
        <f>IF('Reels'!D191="block",'Reels'!D192*'Slots'!D25,0)+IF('Reels'!D203="block",'Reels'!D204*'Slots'!D25,0)+IF('Reels'!D228="block",'Reels'!D229*'Slots'!D25,0)</f>
        <v>1</v>
      </c>
      <c r="G990" t="b">
        <f>AND('Reels'!D191&lt;&gt;"blank",'Reels'!D191&lt;&gt;"class",'Reels'!D191='Reels'!D228,'Reels'!D192='Reels'!D229,OR('Reels'!D203="class",AND('Reels'!D203='Reels'!D191,'Reels'!D204='Reels'!D192)))</f>
        <v>0</v>
      </c>
      <c r="H990">
        <f>IF(G990,C990,0)</f>
        <v>0</v>
      </c>
    </row>
    <row r="991" spans="1:8" x14ac:dyDescent="0.25">
      <c r="A991" t="s">
        <v>269</v>
      </c>
      <c r="B991" t="s">
        <v>4190</v>
      </c>
      <c r="C991" s="4">
        <f>('Reels'!D193/('Reels'!D178+'Reels'!D181+'Reels'!D184+'Reels'!D187+'Reels'!D190+'Reels'!D193))*('Reels'!D205/('Reels'!D196+'Reels'!D199+'Reels'!D202+'Reels'!D205+'Reels'!D208+'Reels'!D211+'Reels'!D214))*('Reels'!D233/('Reels'!D218+'Reels'!D221+'Reels'!D224+'Reels'!D227+'Reels'!D230+'Reels'!D233))</f>
        <v>0.0022954030727795802</v>
      </c>
      <c r="D991">
        <f>IF(OR('Reels'!D191="attack",'Reels'!D191="magic"),CHOOSE('Reels'!D192+1,'Slots'!D29,'Slots'!D30,'Slots'!D31,'Slots'!D32,'Slots'!D33),0)+IF(OR('Reels'!D203="attack",'Reels'!D203="magic"),CHOOSE('Reels'!D204+1,'Slots'!D29,'Slots'!D30,'Slots'!D31,'Slots'!D32,'Slots'!D33),0)+IF(OR('Reels'!D231="attack",'Reels'!D231="magic"),CHOOSE('Reels'!D232+1,'Slots'!D29,'Slots'!D30,'Slots'!D31,'Slots'!D32,'Slots'!D33),0)</f>
        <v>0</v>
      </c>
      <c r="E991">
        <f>IF('Reels'!D191="heal",'Reels'!D192*'Slots'!D24,0)+IF('Reels'!D203="heal",'Reels'!D204*'Slots'!D24,0)+IF('Reels'!D231="heal",'Reels'!D232*'Slots'!D24,0)</f>
        <v>0</v>
      </c>
      <c r="F991">
        <f>IF('Reels'!D191="block",'Reels'!D192*'Slots'!D25,0)+IF('Reels'!D203="block",'Reels'!D204*'Slots'!D25,0)+IF('Reels'!D231="block",'Reels'!D232*'Slots'!D25,0)</f>
        <v>0</v>
      </c>
      <c r="G991" t="b">
        <f>AND('Reels'!D191&lt;&gt;"blank",'Reels'!D191&lt;&gt;"class",'Reels'!D191='Reels'!D231,'Reels'!D192='Reels'!D232,OR('Reels'!D203="class",AND('Reels'!D203='Reels'!D191,'Reels'!D204='Reels'!D192)))</f>
        <v>0</v>
      </c>
      <c r="H991">
        <f>IF(G991,C991,0)</f>
        <v>0</v>
      </c>
    </row>
    <row r="992" spans="1:8" x14ac:dyDescent="0.25">
      <c r="A992" t="s">
        <v>269</v>
      </c>
      <c r="B992" t="s">
        <v>3814</v>
      </c>
      <c r="C992" s="4">
        <f>('Reels'!D193/('Reels'!D178+'Reels'!D181+'Reels'!D184+'Reels'!D187+'Reels'!D190+'Reels'!D193))*('Reels'!D208/('Reels'!D196+'Reels'!D199+'Reels'!D202+'Reels'!D205+'Reels'!D208+'Reels'!D211+'Reels'!D214))*('Reels'!D218/('Reels'!D218+'Reels'!D221+'Reels'!D224+'Reels'!D227+'Reels'!D230+'Reels'!D233))</f>
        <v>0.0033665911734100506</v>
      </c>
      <c r="D992">
        <f>IF(OR('Reels'!D191="attack",'Reels'!D191="magic"),CHOOSE('Reels'!D192+1,'Slots'!D29,'Slots'!D30,'Slots'!D31,'Slots'!D32,'Slots'!D33),0)+IF(OR('Reels'!D206="attack",'Reels'!D206="magic"),CHOOSE('Reels'!D207+1,'Slots'!D29,'Slots'!D30,'Slots'!D31,'Slots'!D32,'Slots'!D33),0)+IF(OR('Reels'!D216="attack",'Reels'!D216="magic"),CHOOSE('Reels'!D217+1,'Slots'!D29,'Slots'!D30,'Slots'!D31,'Slots'!D32,'Slots'!D33),0)</f>
        <v>2</v>
      </c>
      <c r="E992">
        <f>IF('Reels'!D191="heal",'Reels'!D192*'Slots'!D24,0)+IF('Reels'!D206="heal",'Reels'!D207*'Slots'!D24,0)+IF('Reels'!D216="heal",'Reels'!D217*'Slots'!D24,0)</f>
        <v>0</v>
      </c>
      <c r="F992">
        <f>IF('Reels'!D191="block",'Reels'!D192*'Slots'!D25,0)+IF('Reels'!D206="block",'Reels'!D207*'Slots'!D25,0)+IF('Reels'!D216="block",'Reels'!D217*'Slots'!D25,0)</f>
        <v>1</v>
      </c>
      <c r="G992" t="b">
        <f>AND('Reels'!D191&lt;&gt;"blank",'Reels'!D191&lt;&gt;"class",'Reels'!D191='Reels'!D216,'Reels'!D192='Reels'!D217,OR('Reels'!D206="class",AND('Reels'!D206='Reels'!D191,'Reels'!D207='Reels'!D192)))</f>
        <v>0</v>
      </c>
      <c r="H992">
        <f>IF(G992,C992,0)</f>
        <v>0</v>
      </c>
    </row>
    <row r="993" spans="1:8" x14ac:dyDescent="0.25">
      <c r="A993" t="s">
        <v>269</v>
      </c>
      <c r="B993" t="s">
        <v>4191</v>
      </c>
      <c r="C993" s="4">
        <f>('Reels'!D193/('Reels'!D178+'Reels'!D181+'Reels'!D184+'Reels'!D187+'Reels'!D190+'Reels'!D193))*('Reels'!D208/('Reels'!D196+'Reels'!D199+'Reels'!D202+'Reels'!D205+'Reels'!D208+'Reels'!D211+'Reels'!D214))*('Reels'!D221/('Reels'!D218+'Reels'!D221+'Reels'!D224+'Reels'!D227+'Reels'!D230+'Reels'!D233))</f>
        <v>0.002142376201260941</v>
      </c>
      <c r="D993">
        <f>IF(OR('Reels'!D191="attack",'Reels'!D191="magic"),CHOOSE('Reels'!D192+1,'Slots'!D29,'Slots'!D30,'Slots'!D31,'Slots'!D32,'Slots'!D33),0)+IF(OR('Reels'!D206="attack",'Reels'!D206="magic"),CHOOSE('Reels'!D207+1,'Slots'!D29,'Slots'!D30,'Slots'!D31,'Slots'!D32,'Slots'!D33),0)+IF(OR('Reels'!D219="attack",'Reels'!D219="magic"),CHOOSE('Reels'!D220+1,'Slots'!D29,'Slots'!D30,'Slots'!D31,'Slots'!D32,'Slots'!D33),0)</f>
        <v>4</v>
      </c>
      <c r="E993">
        <f>IF('Reels'!D191="heal",'Reels'!D192*'Slots'!D24,0)+IF('Reels'!D206="heal",'Reels'!D207*'Slots'!D24,0)+IF('Reels'!D219="heal",'Reels'!D220*'Slots'!D24,0)</f>
        <v>0</v>
      </c>
      <c r="F993">
        <f>IF('Reels'!D191="block",'Reels'!D192*'Slots'!D25,0)+IF('Reels'!D206="block",'Reels'!D207*'Slots'!D25,0)+IF('Reels'!D219="block",'Reels'!D220*'Slots'!D25,0)</f>
        <v>1</v>
      </c>
      <c r="G993" t="b">
        <f>AND('Reels'!D191&lt;&gt;"blank",'Reels'!D191&lt;&gt;"class",'Reels'!D191='Reels'!D219,'Reels'!D192='Reels'!D220,OR('Reels'!D206="class",AND('Reels'!D206='Reels'!D191,'Reels'!D207='Reels'!D192)))</f>
        <v>0</v>
      </c>
      <c r="H993">
        <f>IF(G993,C993,0)</f>
        <v>0</v>
      </c>
    </row>
    <row r="994" spans="1:8" x14ac:dyDescent="0.25">
      <c r="A994" t="s">
        <v>269</v>
      </c>
      <c r="B994" t="s">
        <v>4000</v>
      </c>
      <c r="C994" s="4">
        <f>('Reels'!D193/('Reels'!D178+'Reels'!D181+'Reels'!D184+'Reels'!D187+'Reels'!D190+'Reels'!D193))*('Reels'!D208/('Reels'!D196+'Reels'!D199+'Reels'!D202+'Reels'!D205+'Reels'!D208+'Reels'!D211+'Reels'!D214))*('Reels'!D224/('Reels'!D218+'Reels'!D221+'Reels'!D224+'Reels'!D227+'Reels'!D230+'Reels'!D233))</f>
        <v>0.000918161229111832</v>
      </c>
      <c r="D994">
        <f>IF(OR('Reels'!D191="attack",'Reels'!D191="magic"),CHOOSE('Reels'!D192+1,'Slots'!D29,'Slots'!D30,'Slots'!D31,'Slots'!D32,'Slots'!D33),0)+IF(OR('Reels'!D206="attack",'Reels'!D206="magic"),CHOOSE('Reels'!D207+1,'Slots'!D29,'Slots'!D30,'Slots'!D31,'Slots'!D32,'Slots'!D33),0)+IF(OR('Reels'!D222="attack",'Reels'!D222="magic"),CHOOSE('Reels'!D223+1,'Slots'!D29,'Slots'!D30,'Slots'!D31,'Slots'!D32,'Slots'!D33),0)</f>
        <v>0</v>
      </c>
      <c r="E994">
        <f>IF('Reels'!D191="heal",'Reels'!D192*'Slots'!D24,0)+IF('Reels'!D206="heal",'Reels'!D207*'Slots'!D24,0)+IF('Reels'!D222="heal",'Reels'!D223*'Slots'!D24,0)</f>
        <v>0</v>
      </c>
      <c r="F994">
        <f>IF('Reels'!D191="block",'Reels'!D192*'Slots'!D25,0)+IF('Reels'!D206="block",'Reels'!D207*'Slots'!D25,0)+IF('Reels'!D222="block",'Reels'!D223*'Slots'!D25,0)</f>
        <v>1</v>
      </c>
      <c r="G994" t="b">
        <f>AND('Reels'!D191&lt;&gt;"blank",'Reels'!D191&lt;&gt;"class",'Reels'!D191='Reels'!D222,'Reels'!D192='Reels'!D223,OR('Reels'!D206="class",AND('Reels'!D206='Reels'!D191,'Reels'!D207='Reels'!D192)))</f>
        <v>0</v>
      </c>
      <c r="H994">
        <f>IF(G994,C994,0)</f>
        <v>0</v>
      </c>
    </row>
    <row r="995" spans="1:8" x14ac:dyDescent="0.25">
      <c r="A995" t="s">
        <v>269</v>
      </c>
      <c r="B995" t="s">
        <v>4192</v>
      </c>
      <c r="C995" s="4">
        <f>('Reels'!D193/('Reels'!D178+'Reels'!D181+'Reels'!D184+'Reels'!D187+'Reels'!D190+'Reels'!D193))*('Reels'!D208/('Reels'!D196+'Reels'!D199+'Reels'!D202+'Reels'!D205+'Reels'!D208+'Reels'!D211+'Reels'!D214))*('Reels'!D227/('Reels'!D218+'Reels'!D221+'Reels'!D224+'Reels'!D227+'Reels'!D230+'Reels'!D233))</f>
        <v>0.000918161229111832</v>
      </c>
      <c r="D995">
        <f>IF(OR('Reels'!D191="attack",'Reels'!D191="magic"),CHOOSE('Reels'!D192+1,'Slots'!D29,'Slots'!D30,'Slots'!D31,'Slots'!D32,'Slots'!D33),0)+IF(OR('Reels'!D206="attack",'Reels'!D206="magic"),CHOOSE('Reels'!D207+1,'Slots'!D29,'Slots'!D30,'Slots'!D31,'Slots'!D32,'Slots'!D33),0)+IF(OR('Reels'!D225="attack",'Reels'!D225="magic"),CHOOSE('Reels'!D226+1,'Slots'!D29,'Slots'!D30,'Slots'!D31,'Slots'!D32,'Slots'!D33),0)</f>
        <v>0</v>
      </c>
      <c r="E995">
        <f>IF('Reels'!D191="heal",'Reels'!D192*'Slots'!D24,0)+IF('Reels'!D206="heal",'Reels'!D207*'Slots'!D24,0)+IF('Reels'!D225="heal",'Reels'!D226*'Slots'!D24,0)</f>
        <v>0</v>
      </c>
      <c r="F995">
        <f>IF('Reels'!D191="block",'Reels'!D192*'Slots'!D25,0)+IF('Reels'!D206="block",'Reels'!D207*'Slots'!D25,0)+IF('Reels'!D225="block",'Reels'!D226*'Slots'!D25,0)</f>
        <v>1</v>
      </c>
      <c r="G995" t="b">
        <f>AND('Reels'!D191&lt;&gt;"blank",'Reels'!D191&lt;&gt;"class",'Reels'!D191='Reels'!D225,'Reels'!D192='Reels'!D226,OR('Reels'!D206="class",AND('Reels'!D206='Reels'!D191,'Reels'!D207='Reels'!D192)))</f>
        <v>0</v>
      </c>
      <c r="H995">
        <f>IF(G995,C995,0)</f>
        <v>0</v>
      </c>
    </row>
    <row r="996" spans="1:8" x14ac:dyDescent="0.25">
      <c r="A996" t="s">
        <v>269</v>
      </c>
      <c r="B996" t="s">
        <v>3589</v>
      </c>
      <c r="C996" s="4">
        <f>('Reels'!D193/('Reels'!D178+'Reels'!D181+'Reels'!D184+'Reels'!D187+'Reels'!D190+'Reels'!D193))*('Reels'!D208/('Reels'!D196+'Reels'!D199+'Reels'!D202+'Reels'!D205+'Reels'!D208+'Reels'!D211+'Reels'!D214))*('Reels'!D230/('Reels'!D218+'Reels'!D221+'Reels'!D224+'Reels'!D227+'Reels'!D230+'Reels'!D233))</f>
        <v>0.0006121074860745547</v>
      </c>
      <c r="D996">
        <f>IF(OR('Reels'!D191="attack",'Reels'!D191="magic"),CHOOSE('Reels'!D192+1,'Slots'!D29,'Slots'!D30,'Slots'!D31,'Slots'!D32,'Slots'!D33),0)+IF(OR('Reels'!D206="attack",'Reels'!D206="magic"),CHOOSE('Reels'!D207+1,'Slots'!D29,'Slots'!D30,'Slots'!D31,'Slots'!D32,'Slots'!D33),0)+IF(OR('Reels'!D228="attack",'Reels'!D228="magic"),CHOOSE('Reels'!D229+1,'Slots'!D29,'Slots'!D30,'Slots'!D31,'Slots'!D32,'Slots'!D33),0)</f>
        <v>0</v>
      </c>
      <c r="E996">
        <f>IF('Reels'!D191="heal",'Reels'!D192*'Slots'!D24,0)+IF('Reels'!D206="heal",'Reels'!D207*'Slots'!D24,0)+IF('Reels'!D228="heal",'Reels'!D229*'Slots'!D24,0)</f>
        <v>0</v>
      </c>
      <c r="F996">
        <f>IF('Reels'!D191="block",'Reels'!D192*'Slots'!D25,0)+IF('Reels'!D206="block",'Reels'!D207*'Slots'!D25,0)+IF('Reels'!D228="block",'Reels'!D229*'Slots'!D25,0)</f>
        <v>2</v>
      </c>
      <c r="G996" t="b">
        <f>AND('Reels'!D191&lt;&gt;"blank",'Reels'!D191&lt;&gt;"class",'Reels'!D191='Reels'!D228,'Reels'!D192='Reels'!D229,OR('Reels'!D206="class",AND('Reels'!D206='Reels'!D191,'Reels'!D207='Reels'!D192)))</f>
        <v>0</v>
      </c>
      <c r="H996">
        <f>IF(G996,C996,0)</f>
        <v>0</v>
      </c>
    </row>
    <row r="997" spans="1:8" x14ac:dyDescent="0.25">
      <c r="A997" t="s">
        <v>269</v>
      </c>
      <c r="B997" t="s">
        <v>3592</v>
      </c>
      <c r="C997" s="4">
        <f>('Reels'!D193/('Reels'!D178+'Reels'!D181+'Reels'!D184+'Reels'!D187+'Reels'!D190+'Reels'!D193))*('Reels'!D208/('Reels'!D196+'Reels'!D199+'Reels'!D202+'Reels'!D205+'Reels'!D208+'Reels'!D211+'Reels'!D214))*('Reels'!D233/('Reels'!D218+'Reels'!D221+'Reels'!D224+'Reels'!D227+'Reels'!D230+'Reels'!D233))</f>
        <v>0.0015302687151863867</v>
      </c>
      <c r="D997">
        <f>IF(OR('Reels'!D191="attack",'Reels'!D191="magic"),CHOOSE('Reels'!D192+1,'Slots'!D29,'Slots'!D30,'Slots'!D31,'Slots'!D32,'Slots'!D33),0)+IF(OR('Reels'!D206="attack",'Reels'!D206="magic"),CHOOSE('Reels'!D207+1,'Slots'!D29,'Slots'!D30,'Slots'!D31,'Slots'!D32,'Slots'!D33),0)+IF(OR('Reels'!D231="attack",'Reels'!D231="magic"),CHOOSE('Reels'!D232+1,'Slots'!D29,'Slots'!D30,'Slots'!D31,'Slots'!D32,'Slots'!D33),0)</f>
        <v>0</v>
      </c>
      <c r="E997">
        <f>IF('Reels'!D191="heal",'Reels'!D192*'Slots'!D24,0)+IF('Reels'!D206="heal",'Reels'!D207*'Slots'!D24,0)+IF('Reels'!D231="heal",'Reels'!D232*'Slots'!D24,0)</f>
        <v>0</v>
      </c>
      <c r="F997">
        <f>IF('Reels'!D191="block",'Reels'!D192*'Slots'!D25,0)+IF('Reels'!D206="block",'Reels'!D207*'Slots'!D25,0)+IF('Reels'!D231="block",'Reels'!D232*'Slots'!D25,0)</f>
        <v>1</v>
      </c>
      <c r="G997" t="b">
        <f>AND('Reels'!D191&lt;&gt;"blank",'Reels'!D191&lt;&gt;"class",'Reels'!D191='Reels'!D231,'Reels'!D192='Reels'!D232,OR('Reels'!D206="class",AND('Reels'!D206='Reels'!D191,'Reels'!D207='Reels'!D192)))</f>
        <v>0</v>
      </c>
      <c r="H997">
        <f>IF(G997,C997,0)</f>
        <v>0</v>
      </c>
    </row>
    <row r="998" spans="1:8" x14ac:dyDescent="0.25">
      <c r="A998" t="s">
        <v>269</v>
      </c>
      <c r="B998" t="s">
        <v>3829</v>
      </c>
      <c r="C998" s="4">
        <f>('Reels'!D193/('Reels'!D178+'Reels'!D181+'Reels'!D184+'Reels'!D187+'Reels'!D190+'Reels'!D193))*('Reels'!D211/('Reels'!D196+'Reels'!D199+'Reels'!D202+'Reels'!D205+'Reels'!D208+'Reels'!D211+'Reels'!D214))*('Reels'!D218/('Reels'!D218+'Reels'!D221+'Reels'!D224+'Reels'!D227+'Reels'!D230+'Reels'!D233))</f>
        <v>0.008416477933525126</v>
      </c>
      <c r="D998">
        <f>IF(OR('Reels'!D191="attack",'Reels'!D191="magic"),CHOOSE('Reels'!D192+1,'Slots'!D29,'Slots'!D30,'Slots'!D31,'Slots'!D32,'Slots'!D33),0)+IF(OR('Reels'!D209="attack",'Reels'!D209="magic"),CHOOSE('Reels'!D210+1,'Slots'!D29,'Slots'!D30,'Slots'!D31,'Slots'!D32,'Slots'!D33),0)+IF(OR('Reels'!D216="attack",'Reels'!D216="magic"),CHOOSE('Reels'!D217+1,'Slots'!D29,'Slots'!D30,'Slots'!D31,'Slots'!D32,'Slots'!D33),0)</f>
        <v>2</v>
      </c>
      <c r="E998">
        <f>IF('Reels'!D191="heal",'Reels'!D192*'Slots'!D24,0)+IF('Reels'!D209="heal",'Reels'!D210*'Slots'!D24,0)+IF('Reels'!D216="heal",'Reels'!D217*'Slots'!D24,0)</f>
        <v>0</v>
      </c>
      <c r="F998">
        <f>IF('Reels'!D191="block",'Reels'!D192*'Slots'!D25,0)+IF('Reels'!D209="block",'Reels'!D210*'Slots'!D25,0)+IF('Reels'!D216="block",'Reels'!D217*'Slots'!D25,0)</f>
        <v>0</v>
      </c>
      <c r="G998" t="b">
        <f>AND('Reels'!D191&lt;&gt;"blank",'Reels'!D191&lt;&gt;"class",'Reels'!D191='Reels'!D216,'Reels'!D192='Reels'!D217,OR('Reels'!D209="class",AND('Reels'!D209='Reels'!D191,'Reels'!D210='Reels'!D192)))</f>
        <v>0</v>
      </c>
      <c r="H998">
        <f>IF(G998,C998,0)</f>
        <v>0</v>
      </c>
    </row>
    <row r="999" spans="1:8" x14ac:dyDescent="0.25">
      <c r="A999" t="s">
        <v>269</v>
      </c>
      <c r="B999" t="s">
        <v>4193</v>
      </c>
      <c r="C999" s="4">
        <f>('Reels'!D193/('Reels'!D178+'Reels'!D181+'Reels'!D184+'Reels'!D187+'Reels'!D190+'Reels'!D193))*('Reels'!D211/('Reels'!D196+'Reels'!D199+'Reels'!D202+'Reels'!D205+'Reels'!D208+'Reels'!D211+'Reels'!D214))*('Reels'!D221/('Reels'!D218+'Reels'!D221+'Reels'!D224+'Reels'!D227+'Reels'!D230+'Reels'!D233))</f>
        <v>0.005355940503152353</v>
      </c>
      <c r="D999">
        <f>IF(OR('Reels'!D191="attack",'Reels'!D191="magic"),CHOOSE('Reels'!D192+1,'Slots'!D29,'Slots'!D30,'Slots'!D31,'Slots'!D32,'Slots'!D33),0)+IF(OR('Reels'!D209="attack",'Reels'!D209="magic"),CHOOSE('Reels'!D210+1,'Slots'!D29,'Slots'!D30,'Slots'!D31,'Slots'!D32,'Slots'!D33),0)+IF(OR('Reels'!D219="attack",'Reels'!D219="magic"),CHOOSE('Reels'!D220+1,'Slots'!D29,'Slots'!D30,'Slots'!D31,'Slots'!D32,'Slots'!D33),0)</f>
        <v>4</v>
      </c>
      <c r="E999">
        <f>IF('Reels'!D191="heal",'Reels'!D192*'Slots'!D24,0)+IF('Reels'!D209="heal",'Reels'!D210*'Slots'!D24,0)+IF('Reels'!D219="heal",'Reels'!D220*'Slots'!D24,0)</f>
        <v>0</v>
      </c>
      <c r="F999">
        <f>IF('Reels'!D191="block",'Reels'!D192*'Slots'!D25,0)+IF('Reels'!D209="block",'Reels'!D210*'Slots'!D25,0)+IF('Reels'!D219="block",'Reels'!D220*'Slots'!D25,0)</f>
        <v>0</v>
      </c>
      <c r="G999" t="b">
        <f>AND('Reels'!D191&lt;&gt;"blank",'Reels'!D191&lt;&gt;"class",'Reels'!D191='Reels'!D219,'Reels'!D192='Reels'!D220,OR('Reels'!D209="class",AND('Reels'!D209='Reels'!D191,'Reels'!D210='Reels'!D192)))</f>
        <v>0</v>
      </c>
      <c r="H999">
        <f>IF(G999,C999,0)</f>
        <v>0</v>
      </c>
    </row>
    <row r="1000" spans="1:8" x14ac:dyDescent="0.25">
      <c r="A1000" t="s">
        <v>269</v>
      </c>
      <c r="B1000" t="s">
        <v>4002</v>
      </c>
      <c r="C1000" s="4">
        <f>('Reels'!D193/('Reels'!D178+'Reels'!D181+'Reels'!D184+'Reels'!D187+'Reels'!D190+'Reels'!D193))*('Reels'!D211/('Reels'!D196+'Reels'!D199+'Reels'!D202+'Reels'!D205+'Reels'!D208+'Reels'!D211+'Reels'!D214))*('Reels'!D224/('Reels'!D218+'Reels'!D221+'Reels'!D224+'Reels'!D227+'Reels'!D230+'Reels'!D233))</f>
        <v>0.00229540307277958</v>
      </c>
      <c r="D1000">
        <f>IF(OR('Reels'!D191="attack",'Reels'!D191="magic"),CHOOSE('Reels'!D192+1,'Slots'!D29,'Slots'!D30,'Slots'!D31,'Slots'!D32,'Slots'!D33),0)+IF(OR('Reels'!D209="attack",'Reels'!D209="magic"),CHOOSE('Reels'!D210+1,'Slots'!D29,'Slots'!D30,'Slots'!D31,'Slots'!D32,'Slots'!D33),0)+IF(OR('Reels'!D222="attack",'Reels'!D222="magic"),CHOOSE('Reels'!D223+1,'Slots'!D29,'Slots'!D30,'Slots'!D31,'Slots'!D32,'Slots'!D33),0)</f>
        <v>0</v>
      </c>
      <c r="E1000">
        <f>IF('Reels'!D191="heal",'Reels'!D192*'Slots'!D24,0)+IF('Reels'!D209="heal",'Reels'!D210*'Slots'!D24,0)+IF('Reels'!D222="heal",'Reels'!D223*'Slots'!D24,0)</f>
        <v>0</v>
      </c>
      <c r="F1000">
        <f>IF('Reels'!D191="block",'Reels'!D192*'Slots'!D25,0)+IF('Reels'!D209="block",'Reels'!D210*'Slots'!D25,0)+IF('Reels'!D222="block",'Reels'!D223*'Slots'!D25,0)</f>
        <v>0</v>
      </c>
      <c r="G1000" t="b">
        <f>AND('Reels'!D191&lt;&gt;"blank",'Reels'!D191&lt;&gt;"class",'Reels'!D191='Reels'!D222,'Reels'!D192='Reels'!D223,OR('Reels'!D209="class",AND('Reels'!D209='Reels'!D191,'Reels'!D210='Reels'!D192)))</f>
        <v>0</v>
      </c>
      <c r="H1000">
        <f>IF(G1000,C1000,0)</f>
        <v>0</v>
      </c>
    </row>
    <row r="1001" spans="1:8" x14ac:dyDescent="0.25">
      <c r="A1001" t="s">
        <v>269</v>
      </c>
      <c r="B1001" t="s">
        <v>4194</v>
      </c>
      <c r="C1001" s="4">
        <f>('Reels'!D193/('Reels'!D178+'Reels'!D181+'Reels'!D184+'Reels'!D187+'Reels'!D190+'Reels'!D193))*('Reels'!D211/('Reels'!D196+'Reels'!D199+'Reels'!D202+'Reels'!D205+'Reels'!D208+'Reels'!D211+'Reels'!D214))*('Reels'!D227/('Reels'!D218+'Reels'!D221+'Reels'!D224+'Reels'!D227+'Reels'!D230+'Reels'!D233))</f>
        <v>0.00229540307277958</v>
      </c>
      <c r="D1001">
        <f>IF(OR('Reels'!D191="attack",'Reels'!D191="magic"),CHOOSE('Reels'!D192+1,'Slots'!D29,'Slots'!D30,'Slots'!D31,'Slots'!D32,'Slots'!D33),0)+IF(OR('Reels'!D209="attack",'Reels'!D209="magic"),CHOOSE('Reels'!D210+1,'Slots'!D29,'Slots'!D30,'Slots'!D31,'Slots'!D32,'Slots'!D33),0)+IF(OR('Reels'!D225="attack",'Reels'!D225="magic"),CHOOSE('Reels'!D226+1,'Slots'!D29,'Slots'!D30,'Slots'!D31,'Slots'!D32,'Slots'!D33),0)</f>
        <v>0</v>
      </c>
      <c r="E1001">
        <f>IF('Reels'!D191="heal",'Reels'!D192*'Slots'!D24,0)+IF('Reels'!D209="heal",'Reels'!D210*'Slots'!D24,0)+IF('Reels'!D225="heal",'Reels'!D226*'Slots'!D24,0)</f>
        <v>0</v>
      </c>
      <c r="F1001">
        <f>IF('Reels'!D191="block",'Reels'!D192*'Slots'!D25,0)+IF('Reels'!D209="block",'Reels'!D210*'Slots'!D25,0)+IF('Reels'!D225="block",'Reels'!D226*'Slots'!D25,0)</f>
        <v>0</v>
      </c>
      <c r="G1001" t="b">
        <f>AND('Reels'!D191&lt;&gt;"blank",'Reels'!D191&lt;&gt;"class",'Reels'!D191='Reels'!D225,'Reels'!D192='Reels'!D226,OR('Reels'!D209="class",AND('Reels'!D209='Reels'!D191,'Reels'!D210='Reels'!D192)))</f>
        <v>0</v>
      </c>
      <c r="H1001">
        <f>IF(G1001,C1001,0)</f>
        <v>0</v>
      </c>
    </row>
    <row r="1002" spans="1:8" x14ac:dyDescent="0.25">
      <c r="A1002" t="s">
        <v>269</v>
      </c>
      <c r="B1002" t="s">
        <v>3607</v>
      </c>
      <c r="C1002" s="4">
        <f>('Reels'!D193/('Reels'!D178+'Reels'!D181+'Reels'!D184+'Reels'!D187+'Reels'!D190+'Reels'!D193))*('Reels'!D211/('Reels'!D196+'Reels'!D199+'Reels'!D202+'Reels'!D205+'Reels'!D208+'Reels'!D211+'Reels'!D214))*('Reels'!D230/('Reels'!D218+'Reels'!D221+'Reels'!D224+'Reels'!D227+'Reels'!D230+'Reels'!D233))</f>
        <v>0.0015302687151863865</v>
      </c>
      <c r="D1002">
        <f>IF(OR('Reels'!D191="attack",'Reels'!D191="magic"),CHOOSE('Reels'!D192+1,'Slots'!D29,'Slots'!D30,'Slots'!D31,'Slots'!D32,'Slots'!D33),0)+IF(OR('Reels'!D209="attack",'Reels'!D209="magic"),CHOOSE('Reels'!D210+1,'Slots'!D29,'Slots'!D30,'Slots'!D31,'Slots'!D32,'Slots'!D33),0)+IF(OR('Reels'!D228="attack",'Reels'!D228="magic"),CHOOSE('Reels'!D229+1,'Slots'!D29,'Slots'!D30,'Slots'!D31,'Slots'!D32,'Slots'!D33),0)</f>
        <v>0</v>
      </c>
      <c r="E1002">
        <f>IF('Reels'!D191="heal",'Reels'!D192*'Slots'!D24,0)+IF('Reels'!D209="heal",'Reels'!D210*'Slots'!D24,0)+IF('Reels'!D228="heal",'Reels'!D229*'Slots'!D24,0)</f>
        <v>0</v>
      </c>
      <c r="F1002">
        <f>IF('Reels'!D191="block",'Reels'!D192*'Slots'!D25,0)+IF('Reels'!D209="block",'Reels'!D210*'Slots'!D25,0)+IF('Reels'!D228="block",'Reels'!D229*'Slots'!D25,0)</f>
        <v>1</v>
      </c>
      <c r="G1002" t="b">
        <f>AND('Reels'!D191&lt;&gt;"blank",'Reels'!D191&lt;&gt;"class",'Reels'!D191='Reels'!D228,'Reels'!D192='Reels'!D229,OR('Reels'!D209="class",AND('Reels'!D209='Reels'!D191,'Reels'!D210='Reels'!D192)))</f>
        <v>0</v>
      </c>
      <c r="H1002">
        <f>IF(G1002,C1002,0)</f>
        <v>0</v>
      </c>
    </row>
    <row r="1003" spans="1:8" x14ac:dyDescent="0.25">
      <c r="A1003" t="s">
        <v>269</v>
      </c>
      <c r="B1003" t="s">
        <v>3610</v>
      </c>
      <c r="C1003" s="4">
        <f>('Reels'!D193/('Reels'!D178+'Reels'!D181+'Reels'!D184+'Reels'!D187+'Reels'!D190+'Reels'!D193))*('Reels'!D211/('Reels'!D196+'Reels'!D199+'Reels'!D202+'Reels'!D205+'Reels'!D208+'Reels'!D211+'Reels'!D214))*('Reels'!D233/('Reels'!D218+'Reels'!D221+'Reels'!D224+'Reels'!D227+'Reels'!D230+'Reels'!D233))</f>
        <v>0.0038256717879659665</v>
      </c>
      <c r="D1003">
        <f>IF(OR('Reels'!D191="attack",'Reels'!D191="magic"),CHOOSE('Reels'!D192+1,'Slots'!D29,'Slots'!D30,'Slots'!D31,'Slots'!D32,'Slots'!D33),0)+IF(OR('Reels'!D209="attack",'Reels'!D209="magic"),CHOOSE('Reels'!D210+1,'Slots'!D29,'Slots'!D30,'Slots'!D31,'Slots'!D32,'Slots'!D33),0)+IF(OR('Reels'!D231="attack",'Reels'!D231="magic"),CHOOSE('Reels'!D232+1,'Slots'!D29,'Slots'!D30,'Slots'!D31,'Slots'!D32,'Slots'!D33),0)</f>
        <v>0</v>
      </c>
      <c r="E1003">
        <f>IF('Reels'!D191="heal",'Reels'!D192*'Slots'!D24,0)+IF('Reels'!D209="heal",'Reels'!D210*'Slots'!D24,0)+IF('Reels'!D231="heal",'Reels'!D232*'Slots'!D24,0)</f>
        <v>0</v>
      </c>
      <c r="F1003">
        <f>IF('Reels'!D191="block",'Reels'!D192*'Slots'!D25,0)+IF('Reels'!D209="block",'Reels'!D210*'Slots'!D25,0)+IF('Reels'!D231="block",'Reels'!D232*'Slots'!D25,0)</f>
        <v>0</v>
      </c>
      <c r="G1003" t="b">
        <f>AND('Reels'!D191&lt;&gt;"blank",'Reels'!D191&lt;&gt;"class",'Reels'!D191='Reels'!D231,'Reels'!D192='Reels'!D232,OR('Reels'!D209="class",AND('Reels'!D209='Reels'!D191,'Reels'!D210='Reels'!D192)))</f>
        <v>0</v>
      </c>
      <c r="H1003">
        <f>IF(G1003,C1003,0)</f>
        <v>0</v>
      </c>
    </row>
    <row r="1004" spans="1:8" x14ac:dyDescent="0.25">
      <c r="A1004" t="s">
        <v>269</v>
      </c>
      <c r="B1004" t="s">
        <v>3832</v>
      </c>
      <c r="C1004" s="4">
        <f>('Reels'!D193/('Reels'!D178+'Reels'!D181+'Reels'!D184+'Reels'!D187+'Reels'!D190+'Reels'!D193))*('Reels'!D214/('Reels'!D196+'Reels'!D199+'Reels'!D202+'Reels'!D205+'Reels'!D208+'Reels'!D211+'Reels'!D214))*('Reels'!D218/('Reels'!D218+'Reels'!D221+'Reels'!D224+'Reels'!D227+'Reels'!D230+'Reels'!D233))</f>
        <v>0.005049886760115077</v>
      </c>
      <c r="D1004">
        <f>IF(OR('Reels'!D191="attack",'Reels'!D191="magic"),CHOOSE('Reels'!D192+1,'Slots'!D29,'Slots'!D30,'Slots'!D31,'Slots'!D32,'Slots'!D33),0)+IF(OR('Reels'!D212="attack",'Reels'!D212="magic"),CHOOSE('Reels'!D213+1,'Slots'!D29,'Slots'!D30,'Slots'!D31,'Slots'!D32,'Slots'!D33),0)+IF(OR('Reels'!D216="attack",'Reels'!D216="magic"),CHOOSE('Reels'!D217+1,'Slots'!D29,'Slots'!D30,'Slots'!D31,'Slots'!D32,'Slots'!D33),0)</f>
        <v>2</v>
      </c>
      <c r="E1004">
        <f>IF('Reels'!D191="heal",'Reels'!D192*'Slots'!D24,0)+IF('Reels'!D212="heal",'Reels'!D213*'Slots'!D24,0)+IF('Reels'!D216="heal",'Reels'!D217*'Slots'!D24,0)</f>
        <v>0</v>
      </c>
      <c r="F1004">
        <f>IF('Reels'!D191="block",'Reels'!D192*'Slots'!D25,0)+IF('Reels'!D212="block",'Reels'!D213*'Slots'!D25,0)+IF('Reels'!D216="block",'Reels'!D217*'Slots'!D25,0)</f>
        <v>0</v>
      </c>
      <c r="G1004" t="b">
        <f>AND('Reels'!D191&lt;&gt;"blank",'Reels'!D191&lt;&gt;"class",'Reels'!D191='Reels'!D216,'Reels'!D192='Reels'!D217,OR('Reels'!D212="class",AND('Reels'!D212='Reels'!D191,'Reels'!D213='Reels'!D192)))</f>
        <v>0</v>
      </c>
      <c r="H1004">
        <f>IF(G1004,C1004,0)</f>
        <v>0</v>
      </c>
    </row>
    <row r="1005" spans="1:8" x14ac:dyDescent="0.25">
      <c r="A1005" t="s">
        <v>269</v>
      </c>
      <c r="B1005" t="s">
        <v>4195</v>
      </c>
      <c r="C1005" s="4">
        <f>('Reels'!D193/('Reels'!D178+'Reels'!D181+'Reels'!D184+'Reels'!D187+'Reels'!D190+'Reels'!D193))*('Reels'!D214/('Reels'!D196+'Reels'!D199+'Reels'!D202+'Reels'!D205+'Reels'!D208+'Reels'!D211+'Reels'!D214))*('Reels'!D221/('Reels'!D218+'Reels'!D221+'Reels'!D224+'Reels'!D227+'Reels'!D230+'Reels'!D233))</f>
        <v>0.0032135643018914124</v>
      </c>
      <c r="D1005">
        <f>IF(OR('Reels'!D191="attack",'Reels'!D191="magic"),CHOOSE('Reels'!D192+1,'Slots'!D29,'Slots'!D30,'Slots'!D31,'Slots'!D32,'Slots'!D33),0)+IF(OR('Reels'!D212="attack",'Reels'!D212="magic"),CHOOSE('Reels'!D213+1,'Slots'!D29,'Slots'!D30,'Slots'!D31,'Slots'!D32,'Slots'!D33),0)+IF(OR('Reels'!D219="attack",'Reels'!D219="magic"),CHOOSE('Reels'!D220+1,'Slots'!D29,'Slots'!D30,'Slots'!D31,'Slots'!D32,'Slots'!D33),0)</f>
        <v>4</v>
      </c>
      <c r="E1005">
        <f>IF('Reels'!D191="heal",'Reels'!D192*'Slots'!D24,0)+IF('Reels'!D212="heal",'Reels'!D213*'Slots'!D24,0)+IF('Reels'!D219="heal",'Reels'!D220*'Slots'!D24,0)</f>
        <v>0</v>
      </c>
      <c r="F1005">
        <f>IF('Reels'!D191="block",'Reels'!D192*'Slots'!D25,0)+IF('Reels'!D212="block",'Reels'!D213*'Slots'!D25,0)+IF('Reels'!D219="block",'Reels'!D220*'Slots'!D25,0)</f>
        <v>0</v>
      </c>
      <c r="G1005" t="b">
        <f>AND('Reels'!D191&lt;&gt;"blank",'Reels'!D191&lt;&gt;"class",'Reels'!D191='Reels'!D219,'Reels'!D192='Reels'!D220,OR('Reels'!D212="class",AND('Reels'!D212='Reels'!D191,'Reels'!D213='Reels'!D192)))</f>
        <v>0</v>
      </c>
      <c r="H1005">
        <f>IF(G1005,C1005,0)</f>
        <v>0</v>
      </c>
    </row>
    <row r="1006" spans="1:8" x14ac:dyDescent="0.25">
      <c r="A1006" t="s">
        <v>269</v>
      </c>
      <c r="B1006" t="s">
        <v>4004</v>
      </c>
      <c r="C1006" s="4">
        <f>('Reels'!D193/('Reels'!D178+'Reels'!D181+'Reels'!D184+'Reels'!D187+'Reels'!D190+'Reels'!D193))*('Reels'!D214/('Reels'!D196+'Reels'!D199+'Reels'!D202+'Reels'!D205+'Reels'!D208+'Reels'!D211+'Reels'!D214))*('Reels'!D224/('Reels'!D218+'Reels'!D221+'Reels'!D224+'Reels'!D227+'Reels'!D230+'Reels'!D233))</f>
        <v>0.001377241843667748</v>
      </c>
      <c r="D1006">
        <f>IF(OR('Reels'!D191="attack",'Reels'!D191="magic"),CHOOSE('Reels'!D192+1,'Slots'!D29,'Slots'!D30,'Slots'!D31,'Slots'!D32,'Slots'!D33),0)+IF(OR('Reels'!D212="attack",'Reels'!D212="magic"),CHOOSE('Reels'!D213+1,'Slots'!D29,'Slots'!D30,'Slots'!D31,'Slots'!D32,'Slots'!D33),0)+IF(OR('Reels'!D222="attack",'Reels'!D222="magic"),CHOOSE('Reels'!D223+1,'Slots'!D29,'Slots'!D30,'Slots'!D31,'Slots'!D32,'Slots'!D33),0)</f>
        <v>0</v>
      </c>
      <c r="E1006">
        <f>IF('Reels'!D191="heal",'Reels'!D192*'Slots'!D24,0)+IF('Reels'!D212="heal",'Reels'!D213*'Slots'!D24,0)+IF('Reels'!D222="heal",'Reels'!D223*'Slots'!D24,0)</f>
        <v>0</v>
      </c>
      <c r="F1006">
        <f>IF('Reels'!D191="block",'Reels'!D192*'Slots'!D25,0)+IF('Reels'!D212="block",'Reels'!D213*'Slots'!D25,0)+IF('Reels'!D222="block",'Reels'!D223*'Slots'!D25,0)</f>
        <v>0</v>
      </c>
      <c r="G1006" t="b">
        <f>AND('Reels'!D191&lt;&gt;"blank",'Reels'!D191&lt;&gt;"class",'Reels'!D191='Reels'!D222,'Reels'!D192='Reels'!D223,OR('Reels'!D212="class",AND('Reels'!D212='Reels'!D191,'Reels'!D213='Reels'!D192)))</f>
        <v>0</v>
      </c>
      <c r="H1006">
        <f>IF(G1006,C1006,0)</f>
        <v>0</v>
      </c>
    </row>
    <row r="1007" spans="1:8" x14ac:dyDescent="0.25">
      <c r="A1007" t="s">
        <v>269</v>
      </c>
      <c r="B1007" t="s">
        <v>4196</v>
      </c>
      <c r="C1007" s="4">
        <f>('Reels'!D193/('Reels'!D178+'Reels'!D181+'Reels'!D184+'Reels'!D187+'Reels'!D190+'Reels'!D193))*('Reels'!D214/('Reels'!D196+'Reels'!D199+'Reels'!D202+'Reels'!D205+'Reels'!D208+'Reels'!D211+'Reels'!D214))*('Reels'!D227/('Reels'!D218+'Reels'!D221+'Reels'!D224+'Reels'!D227+'Reels'!D230+'Reels'!D233))</f>
        <v>0.001377241843667748</v>
      </c>
      <c r="D1007">
        <f>IF(OR('Reels'!D191="attack",'Reels'!D191="magic"),CHOOSE('Reels'!D192+1,'Slots'!D29,'Slots'!D30,'Slots'!D31,'Slots'!D32,'Slots'!D33),0)+IF(OR('Reels'!D212="attack",'Reels'!D212="magic"),CHOOSE('Reels'!D213+1,'Slots'!D29,'Slots'!D30,'Slots'!D31,'Slots'!D32,'Slots'!D33),0)+IF(OR('Reels'!D225="attack",'Reels'!D225="magic"),CHOOSE('Reels'!D226+1,'Slots'!D29,'Slots'!D30,'Slots'!D31,'Slots'!D32,'Slots'!D33),0)</f>
        <v>0</v>
      </c>
      <c r="E1007">
        <f>IF('Reels'!D191="heal",'Reels'!D192*'Slots'!D24,0)+IF('Reels'!D212="heal",'Reels'!D213*'Slots'!D24,0)+IF('Reels'!D225="heal",'Reels'!D226*'Slots'!D24,0)</f>
        <v>0</v>
      </c>
      <c r="F1007">
        <f>IF('Reels'!D191="block",'Reels'!D192*'Slots'!D25,0)+IF('Reels'!D212="block",'Reels'!D213*'Slots'!D25,0)+IF('Reels'!D225="block",'Reels'!D226*'Slots'!D25,0)</f>
        <v>0</v>
      </c>
      <c r="G1007" t="b">
        <f>AND('Reels'!D191&lt;&gt;"blank",'Reels'!D191&lt;&gt;"class",'Reels'!D191='Reels'!D225,'Reels'!D192='Reels'!D226,OR('Reels'!D212="class",AND('Reels'!D212='Reels'!D191,'Reels'!D213='Reels'!D192)))</f>
        <v>0</v>
      </c>
      <c r="H1007">
        <f>IF(G1007,C1007,0)</f>
        <v>0</v>
      </c>
    </row>
    <row r="1008" spans="1:8" x14ac:dyDescent="0.25">
      <c r="A1008" t="s">
        <v>269</v>
      </c>
      <c r="B1008" t="s">
        <v>3613</v>
      </c>
      <c r="C1008" s="4">
        <f>('Reels'!D193/('Reels'!D178+'Reels'!D181+'Reels'!D184+'Reels'!D187+'Reels'!D190+'Reels'!D193))*('Reels'!D214/('Reels'!D196+'Reels'!D199+'Reels'!D202+'Reels'!D205+'Reels'!D208+'Reels'!D211+'Reels'!D214))*('Reels'!D230/('Reels'!D218+'Reels'!D221+'Reels'!D224+'Reels'!D227+'Reels'!D230+'Reels'!D233))</f>
        <v>0.0009181612291118321</v>
      </c>
      <c r="D1008">
        <f>IF(OR('Reels'!D191="attack",'Reels'!D191="magic"),CHOOSE('Reels'!D192+1,'Slots'!D29,'Slots'!D30,'Slots'!D31,'Slots'!D32,'Slots'!D33),0)+IF(OR('Reels'!D212="attack",'Reels'!D212="magic"),CHOOSE('Reels'!D213+1,'Slots'!D29,'Slots'!D30,'Slots'!D31,'Slots'!D32,'Slots'!D33),0)+IF(OR('Reels'!D228="attack",'Reels'!D228="magic"),CHOOSE('Reels'!D229+1,'Slots'!D29,'Slots'!D30,'Slots'!D31,'Slots'!D32,'Slots'!D33),0)</f>
        <v>0</v>
      </c>
      <c r="E1008">
        <f>IF('Reels'!D191="heal",'Reels'!D192*'Slots'!D24,0)+IF('Reels'!D212="heal",'Reels'!D213*'Slots'!D24,0)+IF('Reels'!D228="heal",'Reels'!D229*'Slots'!D24,0)</f>
        <v>0</v>
      </c>
      <c r="F1008">
        <f>IF('Reels'!D191="block",'Reels'!D192*'Slots'!D25,0)+IF('Reels'!D212="block",'Reels'!D213*'Slots'!D25,0)+IF('Reels'!D228="block",'Reels'!D229*'Slots'!D25,0)</f>
        <v>1</v>
      </c>
      <c r="G1008" t="b">
        <f>AND('Reels'!D191&lt;&gt;"blank",'Reels'!D191&lt;&gt;"class",'Reels'!D191='Reels'!D228,'Reels'!D192='Reels'!D229,OR('Reels'!D212="class",AND('Reels'!D212='Reels'!D191,'Reels'!D213='Reels'!D192)))</f>
        <v>0</v>
      </c>
      <c r="H1008">
        <f>IF(G1008,C1008,0)</f>
        <v>0</v>
      </c>
    </row>
    <row r="1009" spans="1:8" x14ac:dyDescent="0.25">
      <c r="A1009" t="s">
        <v>269</v>
      </c>
      <c r="B1009" t="s">
        <v>3616</v>
      </c>
      <c r="C1009" s="4">
        <f>('Reels'!D193/('Reels'!D178+'Reels'!D181+'Reels'!D184+'Reels'!D187+'Reels'!D190+'Reels'!D193))*('Reels'!D214/('Reels'!D196+'Reels'!D199+'Reels'!D202+'Reels'!D205+'Reels'!D208+'Reels'!D211+'Reels'!D214))*('Reels'!D233/('Reels'!D218+'Reels'!D221+'Reels'!D224+'Reels'!D227+'Reels'!D230+'Reels'!D233))</f>
        <v>0.0022954030727795802</v>
      </c>
      <c r="D1009">
        <f>IF(OR('Reels'!D191="attack",'Reels'!D191="magic"),CHOOSE('Reels'!D192+1,'Slots'!D29,'Slots'!D30,'Slots'!D31,'Slots'!D32,'Slots'!D33),0)+IF(OR('Reels'!D212="attack",'Reels'!D212="magic"),CHOOSE('Reels'!D213+1,'Slots'!D29,'Slots'!D30,'Slots'!D31,'Slots'!D32,'Slots'!D33),0)+IF(OR('Reels'!D231="attack",'Reels'!D231="magic"),CHOOSE('Reels'!D232+1,'Slots'!D29,'Slots'!D30,'Slots'!D31,'Slots'!D32,'Slots'!D33),0)</f>
        <v>0</v>
      </c>
      <c r="E1009">
        <f>IF('Reels'!D191="heal",'Reels'!D192*'Slots'!D24,0)+IF('Reels'!D212="heal",'Reels'!D213*'Slots'!D24,0)+IF('Reels'!D231="heal",'Reels'!D232*'Slots'!D24,0)</f>
        <v>0</v>
      </c>
      <c r="F1009">
        <f>IF('Reels'!D191="block",'Reels'!D192*'Slots'!D25,0)+IF('Reels'!D212="block",'Reels'!D213*'Slots'!D25,0)+IF('Reels'!D231="block",'Reels'!D232*'Slots'!D25,0)</f>
        <v>0</v>
      </c>
      <c r="G1009" t="b">
        <f>AND('Reels'!D191&lt;&gt;"blank",'Reels'!D191&lt;&gt;"class",'Reels'!D191='Reels'!D231,'Reels'!D192='Reels'!D232,OR('Reels'!D212="class",AND('Reels'!D212='Reels'!D191,'Reels'!D213='Reels'!D192)))</f>
        <v>0</v>
      </c>
      <c r="H1009">
        <f>IF(G1009,C1009,0)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30" customWidth="1"/>
    <col min="3" max="3" width="38" customWidth="1"/>
    <col min="4" max="4" width="24" customWidth="1"/>
    <col min="5" max="5" width="98" customWidth="1"/>
  </cols>
  <sheetData>
    <row r="1" spans="1:5" x14ac:dyDescent="0.25">
      <c r="A1" t="s">
        <v>19</v>
      </c>
      <c r="B1" t="s">
        <v>4197</v>
      </c>
      <c r="C1" t="s">
        <v>4198</v>
      </c>
      <c r="D1" t="s">
        <v>4199</v>
      </c>
      <c r="E1" t="s">
        <v>4200</v>
      </c>
    </row>
    <row r="2" spans="1:5" x14ac:dyDescent="0.25">
      <c r="A2" t="s">
        <v>225</v>
      </c>
      <c r="B2" t="s">
        <v>229</v>
      </c>
      <c r="C2" t="s">
        <v>4201</v>
      </c>
      <c r="D2">
        <f>SUMPRODUCT('Roll Analysis'!C2:C253,'Roll Analysis'!D2:D253)</f>
        <v>3.6848484848484793</v>
      </c>
      <c r="E2" t="s">
        <v>4202</v>
      </c>
    </row>
    <row r="3" spans="1:5" x14ac:dyDescent="0.25">
      <c r="A3" t="s">
        <v>225</v>
      </c>
      <c r="B3" t="s">
        <v>229</v>
      </c>
      <c r="C3" t="s">
        <v>4203</v>
      </c>
      <c r="D3">
        <f>SUMPRODUCT('Roll Analysis'!C2:C253,'Roll Analysis'!E2:E253)</f>
        <v>0.19393939393939413</v>
      </c>
      <c r="E3" t="s">
        <v>4202</v>
      </c>
    </row>
    <row r="4" spans="1:5" x14ac:dyDescent="0.25">
      <c r="A4" t="s">
        <v>225</v>
      </c>
      <c r="B4" t="s">
        <v>229</v>
      </c>
      <c r="C4" t="s">
        <v>4204</v>
      </c>
      <c r="D4">
        <f>SUMPRODUCT('Roll Analysis'!C2:C253,'Roll Analysis'!F2:F253)</f>
        <v>1.2606060606060565</v>
      </c>
      <c r="E4" t="s">
        <v>4202</v>
      </c>
    </row>
    <row r="5" spans="1:5" x14ac:dyDescent="0.25">
      <c r="A5" t="s">
        <v>225</v>
      </c>
      <c r="B5" t="s">
        <v>229</v>
      </c>
      <c r="C5" t="s">
        <v>4205</v>
      </c>
      <c r="D5" s="5">
        <f>SUM('Roll Analysis'!H2:H253)</f>
        <v>0.05791245791245791</v>
      </c>
      <c r="E5" t="s">
        <v>4206</v>
      </c>
    </row>
    <row r="6" spans="1:5" x14ac:dyDescent="0.25">
      <c r="A6" t="s">
        <v>247</v>
      </c>
      <c r="B6" t="s">
        <v>249</v>
      </c>
      <c r="C6" t="s">
        <v>4201</v>
      </c>
      <c r="D6">
        <f>SUMPRODUCT('Roll Analysis'!C254:C505,'Roll Analysis'!D254:D505)</f>
        <v>0.17170111287758333</v>
      </c>
      <c r="E6" t="s">
        <v>4202</v>
      </c>
    </row>
    <row r="7" spans="1:5" x14ac:dyDescent="0.25">
      <c r="A7" t="s">
        <v>247</v>
      </c>
      <c r="B7" t="s">
        <v>249</v>
      </c>
      <c r="C7" t="s">
        <v>4203</v>
      </c>
      <c r="D7">
        <f>SUMPRODUCT('Roll Analysis'!C254:C505,'Roll Analysis'!E254:E505)</f>
        <v>6.524642289348177</v>
      </c>
      <c r="E7" t="s">
        <v>4202</v>
      </c>
    </row>
    <row r="8" spans="1:5" x14ac:dyDescent="0.25">
      <c r="A8" t="s">
        <v>247</v>
      </c>
      <c r="B8" t="s">
        <v>249</v>
      </c>
      <c r="C8" t="s">
        <v>4204</v>
      </c>
      <c r="D8">
        <f>SUMPRODUCT('Roll Analysis'!C254:C505,'Roll Analysis'!F254:F505)</f>
        <v>0.1717011128775835</v>
      </c>
      <c r="E8" t="s">
        <v>4202</v>
      </c>
    </row>
    <row r="9" spans="1:5" x14ac:dyDescent="0.25">
      <c r="A9" t="s">
        <v>247</v>
      </c>
      <c r="B9" t="s">
        <v>249</v>
      </c>
      <c r="C9" t="s">
        <v>4205</v>
      </c>
      <c r="D9" s="5">
        <f>SUM('Roll Analysis'!H254:H505)</f>
        <v>0.12905639203217062</v>
      </c>
      <c r="E9" t="s">
        <v>4206</v>
      </c>
    </row>
    <row r="10" spans="1:5" x14ac:dyDescent="0.25">
      <c r="A10" t="s">
        <v>258</v>
      </c>
      <c r="B10" t="s">
        <v>260</v>
      </c>
      <c r="C10" t="s">
        <v>4201</v>
      </c>
      <c r="D10">
        <f>SUMPRODUCT('Roll Analysis'!C506:C757,'Roll Analysis'!D506:D757)</f>
        <v>7.796015180265654</v>
      </c>
      <c r="E10" t="s">
        <v>4202</v>
      </c>
    </row>
    <row r="11" spans="1:5" x14ac:dyDescent="0.25">
      <c r="A11" t="s">
        <v>258</v>
      </c>
      <c r="B11" t="s">
        <v>260</v>
      </c>
      <c r="C11" t="s">
        <v>4203</v>
      </c>
      <c r="D11">
        <f>SUMPRODUCT('Roll Analysis'!C506:C757,'Roll Analysis'!E506:E757)</f>
        <v>0</v>
      </c>
      <c r="E11" t="s">
        <v>4202</v>
      </c>
    </row>
    <row r="12" spans="1:5" x14ac:dyDescent="0.25">
      <c r="A12" t="s">
        <v>258</v>
      </c>
      <c r="B12" t="s">
        <v>260</v>
      </c>
      <c r="C12" t="s">
        <v>4204</v>
      </c>
      <c r="D12">
        <f>SUMPRODUCT('Roll Analysis'!C506:C757,'Roll Analysis'!F506:F757)</f>
        <v>0.09392789373814048</v>
      </c>
      <c r="E12" t="s">
        <v>4202</v>
      </c>
    </row>
    <row r="13" spans="1:5" x14ac:dyDescent="0.25">
      <c r="A13" t="s">
        <v>258</v>
      </c>
      <c r="B13" t="s">
        <v>260</v>
      </c>
      <c r="C13" t="s">
        <v>4205</v>
      </c>
      <c r="D13" s="5">
        <f>SUM('Roll Analysis'!H506:H757)</f>
        <v>0.09401970986105161</v>
      </c>
      <c r="E13" t="s">
        <v>4206</v>
      </c>
    </row>
    <row r="14" spans="1:5" x14ac:dyDescent="0.25">
      <c r="A14" t="s">
        <v>269</v>
      </c>
      <c r="B14" t="s">
        <v>271</v>
      </c>
      <c r="C14" t="s">
        <v>4201</v>
      </c>
      <c r="D14">
        <f>SUMPRODUCT('Roll Analysis'!C758:C1009,'Roll Analysis'!D758:D1009)</f>
        <v>4.696394686907013</v>
      </c>
      <c r="E14" t="s">
        <v>4202</v>
      </c>
    </row>
    <row r="15" spans="1:5" x14ac:dyDescent="0.25">
      <c r="A15" t="s">
        <v>269</v>
      </c>
      <c r="B15" t="s">
        <v>271</v>
      </c>
      <c r="C15" t="s">
        <v>4203</v>
      </c>
      <c r="D15">
        <f>SUMPRODUCT('Roll Analysis'!C758:C1009,'Roll Analysis'!E758:E1009)</f>
        <v>0</v>
      </c>
      <c r="E15" t="s">
        <v>4202</v>
      </c>
    </row>
    <row r="16" spans="1:5" x14ac:dyDescent="0.25">
      <c r="A16" t="s">
        <v>269</v>
      </c>
      <c r="B16" t="s">
        <v>271</v>
      </c>
      <c r="C16" t="s">
        <v>4204</v>
      </c>
      <c r="D16">
        <f>SUMPRODUCT('Roll Analysis'!C758:C1009,'Roll Analysis'!F758:F1009)</f>
        <v>0.18785578747628096</v>
      </c>
      <c r="E16" t="s">
        <v>4202</v>
      </c>
    </row>
    <row r="17" spans="1:5" x14ac:dyDescent="0.25">
      <c r="A17" t="s">
        <v>269</v>
      </c>
      <c r="B17" t="s">
        <v>271</v>
      </c>
      <c r="C17" t="s">
        <v>4205</v>
      </c>
      <c r="D17" s="5">
        <f>SUM('Roll Analysis'!H758:H1009)</f>
        <v>0.07075962539021854</v>
      </c>
      <c r="E17" t="s">
        <v>4206</v>
      </c>
    </row>
    <row r="18" spans="1:5" x14ac:dyDescent="0.25">
      <c r="A18" t="s">
        <v>1368</v>
      </c>
      <c r="B18" t="s">
        <v>1370</v>
      </c>
      <c r="C18" t="s">
        <v>4207</v>
      </c>
      <c r="D18">
        <f>ROUNDUP(ROUNDUP(('Enemies'!D592+1*'Enemies'!D600+MAX(0,1-'Enemies'!D560)^2*'Enemies'!D608),0)*'Enemies'!D7,0)</f>
        <v>21</v>
      </c>
      <c r="E18" t="s">
        <v>4208</v>
      </c>
    </row>
    <row r="19" spans="1:5" x14ac:dyDescent="0.25">
      <c r="A19" t="s">
        <v>1368</v>
      </c>
      <c r="B19" t="s">
        <v>1370</v>
      </c>
      <c r="C19" t="s">
        <v>4209</v>
      </c>
      <c r="D19">
        <f>MAX(1,ROUNDDOWN((MAX(1,ROUNDDOWN('Enemies'!D344+ROUNDDOWN((1-1)/'Enemies'!D352,0)+0+0,0)))*'Enemies'!D8,0))</f>
        <v>2</v>
      </c>
      <c r="E19" t="s">
        <v>4210</v>
      </c>
    </row>
    <row r="20" spans="1:5" x14ac:dyDescent="0.25">
      <c r="A20" t="s">
        <v>1368</v>
      </c>
      <c r="B20" t="s">
        <v>1370</v>
      </c>
      <c r="C20" t="s">
        <v>4211</v>
      </c>
      <c r="D20">
        <f>IF('Enemies'!D9&gt;0,'Enemies'!D9,IF(1&lt;'Enemies'!D392,'Enemies'!D400,IF(1&lt;'Enemies'!D408,'Enemies'!D416,1)))</f>
        <v>3</v>
      </c>
      <c r="E20" t="s">
        <v>4212</v>
      </c>
    </row>
    <row r="21" spans="1:5" x14ac:dyDescent="0.25">
      <c r="A21" t="s">
        <v>1368</v>
      </c>
      <c r="B21" t="s">
        <v>1370</v>
      </c>
      <c r="C21" t="s">
        <v>4213</v>
      </c>
      <c r="D21">
        <f>IF('Enemies'!D10&gt;0,'Enemies'!D10,IF(OR(AND(FALSE,1&gt;='Enemies'!D424),AND(FALSE,1&gt;='Enemies'!D432)),'Enemies'!D440,1))</f>
        <v>1</v>
      </c>
      <c r="E21" t="s">
        <v>4214</v>
      </c>
    </row>
    <row r="22" spans="1:5" x14ac:dyDescent="0.25">
      <c r="A22" t="s">
        <v>1368</v>
      </c>
      <c r="B22" t="s">
        <v>1370</v>
      </c>
      <c r="C22" t="s">
        <v>4215</v>
      </c>
      <c r="D22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19/'Enemies'!D544,0)*MAX('Slots'!D38,'Slots'!D39,'Slots'!D40,'Slots'!D41),0)</f>
        <v>12</v>
      </c>
      <c r="E22" t="s">
        <v>4216</v>
      </c>
    </row>
    <row r="23" spans="1:5" x14ac:dyDescent="0.25">
      <c r="A23" t="s">
        <v>1368</v>
      </c>
      <c r="B23" t="s">
        <v>1370</v>
      </c>
      <c r="C23" t="s">
        <v>4217</v>
      </c>
      <c r="D23">
        <f>ROUNDUP(ROUNDUP(('Enemies'!D592+2*'Enemies'!D600+MAX(0,2-'Enemies'!D560)^2*'Enemies'!D608),0)*'Enemies'!D7,0)</f>
        <v>26</v>
      </c>
      <c r="E23" t="s">
        <v>4208</v>
      </c>
    </row>
    <row r="24" spans="1:5" x14ac:dyDescent="0.25">
      <c r="A24" t="s">
        <v>1368</v>
      </c>
      <c r="B24" t="s">
        <v>1370</v>
      </c>
      <c r="C24" t="s">
        <v>4218</v>
      </c>
      <c r="D24">
        <f>MAX(1,ROUNDDOWN((MAX(1,ROUNDDOWN('Enemies'!D344+ROUNDDOWN((2-1)/'Enemies'!D352,0)+0+0,0)))*'Enemies'!D8,0))</f>
        <v>2</v>
      </c>
      <c r="E24" t="s">
        <v>4210</v>
      </c>
    </row>
    <row r="25" spans="1:5" x14ac:dyDescent="0.25">
      <c r="A25" t="s">
        <v>1368</v>
      </c>
      <c r="B25" t="s">
        <v>1370</v>
      </c>
      <c r="C25" t="s">
        <v>4219</v>
      </c>
      <c r="D25">
        <f>IF('Enemies'!D9&gt;0,'Enemies'!D9,IF(2&lt;'Enemies'!D392,'Enemies'!D400,IF(2&lt;'Enemies'!D408,'Enemies'!D416,1)))</f>
        <v>3</v>
      </c>
      <c r="E25" t="s">
        <v>4212</v>
      </c>
    </row>
    <row r="26" spans="1:5" x14ac:dyDescent="0.25">
      <c r="A26" t="s">
        <v>1368</v>
      </c>
      <c r="B26" t="s">
        <v>1370</v>
      </c>
      <c r="C26" t="s">
        <v>4220</v>
      </c>
      <c r="D26">
        <f>IF('Enemies'!D10&gt;0,'Enemies'!D10,IF(OR(AND(FALSE,2&gt;='Enemies'!D424),AND(FALSE,2&gt;='Enemies'!D432)),'Enemies'!D440,1))</f>
        <v>1</v>
      </c>
      <c r="E26" t="s">
        <v>4214</v>
      </c>
    </row>
    <row r="27" spans="1:5" x14ac:dyDescent="0.25">
      <c r="A27" t="s">
        <v>1368</v>
      </c>
      <c r="B27" t="s">
        <v>1370</v>
      </c>
      <c r="C27" t="s">
        <v>4221</v>
      </c>
      <c r="D27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24/'Enemies'!D544,0)*MAX('Slots'!D38,'Slots'!D39,'Slots'!D40,'Slots'!D41),0)</f>
        <v>12</v>
      </c>
      <c r="E27" t="s">
        <v>4216</v>
      </c>
    </row>
    <row r="28" spans="1:5" x14ac:dyDescent="0.25">
      <c r="A28" t="s">
        <v>1368</v>
      </c>
      <c r="B28" t="s">
        <v>1370</v>
      </c>
      <c r="C28" t="s">
        <v>4222</v>
      </c>
      <c r="D28">
        <f>ROUNDUP(ROUNDUP(('Enemies'!D592+3*'Enemies'!D600+MAX(0,3-'Enemies'!D560)^2*'Enemies'!D608),0)*'Enemies'!D7,0)</f>
        <v>31</v>
      </c>
      <c r="E28" t="s">
        <v>4208</v>
      </c>
    </row>
    <row r="29" spans="1:5" x14ac:dyDescent="0.25">
      <c r="A29" t="s">
        <v>1368</v>
      </c>
      <c r="B29" t="s">
        <v>1370</v>
      </c>
      <c r="C29" t="s">
        <v>4223</v>
      </c>
      <c r="D29">
        <f>MAX(1,ROUNDDOWN((MAX(1,ROUNDDOWN('Enemies'!D344+ROUNDDOWN((3-1)/'Enemies'!D352,0)+0+0,0)))*'Enemies'!D8,0))</f>
        <v>2</v>
      </c>
      <c r="E29" t="s">
        <v>4210</v>
      </c>
    </row>
    <row r="30" spans="1:5" x14ac:dyDescent="0.25">
      <c r="A30" t="s">
        <v>1368</v>
      </c>
      <c r="B30" t="s">
        <v>1370</v>
      </c>
      <c r="C30" t="s">
        <v>4224</v>
      </c>
      <c r="D30">
        <f>IF('Enemies'!D9&gt;0,'Enemies'!D9,IF(3&lt;'Enemies'!D392,'Enemies'!D400,IF(3&lt;'Enemies'!D408,'Enemies'!D416,1)))</f>
        <v>2</v>
      </c>
      <c r="E30" t="s">
        <v>4212</v>
      </c>
    </row>
    <row r="31" spans="1:5" x14ac:dyDescent="0.25">
      <c r="A31" t="s">
        <v>1368</v>
      </c>
      <c r="B31" t="s">
        <v>1370</v>
      </c>
      <c r="C31" t="s">
        <v>4225</v>
      </c>
      <c r="D31">
        <f>IF('Enemies'!D10&gt;0,'Enemies'!D10,IF(OR(AND(FALSE,3&gt;='Enemies'!D424),AND(FALSE,3&gt;='Enemies'!D432)),'Enemies'!D440,1))</f>
        <v>1</v>
      </c>
      <c r="E31" t="s">
        <v>4214</v>
      </c>
    </row>
    <row r="32" spans="1:5" x14ac:dyDescent="0.25">
      <c r="A32" t="s">
        <v>1368</v>
      </c>
      <c r="B32" t="s">
        <v>1370</v>
      </c>
      <c r="C32" t="s">
        <v>4226</v>
      </c>
      <c r="D32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29/'Enemies'!D544,0)*MAX('Slots'!D38,'Slots'!D39,'Slots'!D40,'Slots'!D41),0)</f>
        <v>12</v>
      </c>
      <c r="E32" t="s">
        <v>4216</v>
      </c>
    </row>
    <row r="33" spans="1:5" x14ac:dyDescent="0.25">
      <c r="A33" t="s">
        <v>1389</v>
      </c>
      <c r="B33" t="s">
        <v>1391</v>
      </c>
      <c r="C33" t="s">
        <v>4207</v>
      </c>
      <c r="D33">
        <f>ROUNDUP(ROUNDUP(('Enemies'!D592+1*'Enemies'!D600+MAX(0,1-'Enemies'!D560)^2*'Enemies'!D608),0)*'Enemies'!D17,0)</f>
        <v>21</v>
      </c>
      <c r="E33" t="s">
        <v>4208</v>
      </c>
    </row>
    <row r="34" spans="1:5" x14ac:dyDescent="0.25">
      <c r="A34" t="s">
        <v>1389</v>
      </c>
      <c r="B34" t="s">
        <v>1391</v>
      </c>
      <c r="C34" t="s">
        <v>4209</v>
      </c>
      <c r="D34">
        <f>MAX(1,ROUNDDOWN((MAX(1,ROUNDDOWN('Enemies'!D344+ROUNDDOWN((1-1)/'Enemies'!D352,0)+0+0,0)))*'Enemies'!D18,0))</f>
        <v>2</v>
      </c>
      <c r="E34" t="s">
        <v>4210</v>
      </c>
    </row>
    <row r="35" spans="1:5" x14ac:dyDescent="0.25">
      <c r="A35" t="s">
        <v>1389</v>
      </c>
      <c r="B35" t="s">
        <v>1391</v>
      </c>
      <c r="C35" t="s">
        <v>4211</v>
      </c>
      <c r="D35">
        <f>IF('Enemies'!D19&gt;0,'Enemies'!D19,IF(1&lt;'Enemies'!D392,'Enemies'!D400,IF(1&lt;'Enemies'!D408,'Enemies'!D416,1)))</f>
        <v>3</v>
      </c>
      <c r="E35" t="s">
        <v>4212</v>
      </c>
    </row>
    <row r="36" spans="1:5" x14ac:dyDescent="0.25">
      <c r="A36" t="s">
        <v>1389</v>
      </c>
      <c r="B36" t="s">
        <v>1391</v>
      </c>
      <c r="C36" t="s">
        <v>4213</v>
      </c>
      <c r="D36">
        <f>IF('Enemies'!D20&gt;0,'Enemies'!D20,IF(OR(AND(FALSE,1&gt;='Enemies'!D424),AND(FALSE,1&gt;='Enemies'!D432)),'Enemies'!D440,1))</f>
        <v>1</v>
      </c>
      <c r="E36" t="s">
        <v>4214</v>
      </c>
    </row>
    <row r="37" spans="1:5" x14ac:dyDescent="0.25">
      <c r="A37" t="s">
        <v>1389</v>
      </c>
      <c r="B37" t="s">
        <v>1391</v>
      </c>
      <c r="C37" t="s">
        <v>4215</v>
      </c>
      <c r="D37">
        <f>ROUNDUP(ROUNDUP((MAX(IF(OR('Reels'!D431="attack",'Reels'!D431="magic"),CHOOSE('Reels'!D432+1,'Slots'!D29,'Slots'!D30,'Slots'!D31,'Slots'!D32,'Slots'!D33),0),IF(OR('Reels'!D434="attack",'Reels'!D434="magic"),CHOOSE('Reels'!D435+1,'Slots'!D29,'Slots'!D30,'Slots'!D31,'Slots'!D32,'Slots'!D33),0),IF(OR('Reels'!D437="attack",'Reels'!D437="magic"),CHOOSE('Reels'!D438+1,'Slots'!D29,'Slots'!D30,'Slots'!D31,'Slots'!D32,'Slots'!D33),0),IF(OR('Reels'!D440="attack",'Reels'!D440="magic"),CHOOSE('Reels'!D441+1,'Slots'!D29,'Slots'!D30,'Slots'!D31,'Slots'!D32,'Slots'!D33),0),IF(OR('Reels'!D443="attack",'Reels'!D443="magic"),CHOOSE('Reels'!D444+1,'Slots'!D29,'Slots'!D30,'Slots'!D31,'Slots'!D32,'Slots'!D33),0),IF(OR('Reels'!D446="attack",'Reels'!D446="magic"),CHOOSE('Reels'!D447+1,'Slots'!D29,'Slots'!D30,'Slots'!D31,'Slots'!D32,'Slots'!D33),0))+MAX(IF(OR('Reels'!D449="attack",'Reels'!D449="magic"),CHOOSE('Reels'!D450+1,'Slots'!D29,'Slots'!D30,'Slots'!D31,'Slots'!D32,'Slots'!D33),0),IF(OR('Reels'!D452="attack",'Reels'!D452="magic"),CHOOSE('Reels'!D453+1,'Slots'!D29,'Slots'!D30,'Slots'!D31,'Slots'!D32,'Slots'!D33),0),IF(OR('Reels'!D455="attack",'Reels'!D455="magic"),CHOOSE('Reels'!D456+1,'Slots'!D29,'Slots'!D30,'Slots'!D31,'Slots'!D32,'Slots'!D33),0),IF(OR('Reels'!D458="attack",'Reels'!D458="magic"),CHOOSE('Reels'!D459+1,'Slots'!D29,'Slots'!D30,'Slots'!D31,'Slots'!D32,'Slots'!D33),0),IF(OR('Reels'!D461="attack",'Reels'!D461="magic"),CHOOSE('Reels'!D462+1,'Slots'!D29,'Slots'!D30,'Slots'!D31,'Slots'!D32,'Slots'!D33),0),IF(OR('Reels'!D464="attack",'Reels'!D464="magic"),CHOOSE('Reels'!D465+1,'Slots'!D29,'Slots'!D30,'Slots'!D31,'Slots'!D32,'Slots'!D33),0))+MAX(IF(OR('Reels'!D467="attack",'Reels'!D467="magic"),CHOOSE('Reels'!D468+1,'Slots'!D29,'Slots'!D30,'Slots'!D31,'Slots'!D32,'Slots'!D33),0),IF(OR('Reels'!D470="attack",'Reels'!D470="magic"),CHOOSE('Reels'!D471+1,'Slots'!D29,'Slots'!D30,'Slots'!D31,'Slots'!D32,'Slots'!D33),0),IF(OR('Reels'!D473="attack",'Reels'!D473="magic"),CHOOSE('Reels'!D474+1,'Slots'!D29,'Slots'!D30,'Slots'!D31,'Slots'!D32,'Slots'!D33),0),IF(OR('Reels'!D476="attack",'Reels'!D476="magic"),CHOOSE('Reels'!D477+1,'Slots'!D29,'Slots'!D30,'Slots'!D31,'Slots'!D32,'Slots'!D33),0),IF(OR('Reels'!D479="attack",'Reels'!D479="magic"),CHOOSE('Reels'!D480+1,'Slots'!D29,'Slots'!D30,'Slots'!D31,'Slots'!D32,'Slots'!D33),0),IF(OR('Reels'!D482="attack",'Reels'!D482="magic"),CHOOSE('Reels'!D483+1,'Slots'!D29,'Slots'!D30,'Slots'!D31,'Slots'!D32,'Slots'!D33),0)))*D34/'Enemies'!D544,0)*MAX('Slots'!D38,'Slots'!D39,'Slots'!D40,'Slots'!D41),0)</f>
        <v>12</v>
      </c>
      <c r="E37" t="s">
        <v>4216</v>
      </c>
    </row>
    <row r="38" spans="1:5" x14ac:dyDescent="0.25">
      <c r="A38" t="s">
        <v>1389</v>
      </c>
      <c r="B38" t="s">
        <v>1391</v>
      </c>
      <c r="C38" t="s">
        <v>4217</v>
      </c>
      <c r="D38">
        <f>ROUNDUP(ROUNDUP(('Enemies'!D592+2*'Enemies'!D600+MAX(0,2-'Enemies'!D560)^2*'Enemies'!D608),0)*'Enemies'!D17,0)</f>
        <v>26</v>
      </c>
      <c r="E38" t="s">
        <v>4208</v>
      </c>
    </row>
    <row r="39" spans="1:5" x14ac:dyDescent="0.25">
      <c r="A39" t="s">
        <v>1389</v>
      </c>
      <c r="B39" t="s">
        <v>1391</v>
      </c>
      <c r="C39" t="s">
        <v>4218</v>
      </c>
      <c r="D39">
        <f>MAX(1,ROUNDDOWN((MAX(1,ROUNDDOWN('Enemies'!D344+ROUNDDOWN((2-1)/'Enemies'!D352,0)+0+0,0)))*'Enemies'!D18,0))</f>
        <v>2</v>
      </c>
      <c r="E39" t="s">
        <v>4210</v>
      </c>
    </row>
    <row r="40" spans="1:5" x14ac:dyDescent="0.25">
      <c r="A40" t="s">
        <v>1389</v>
      </c>
      <c r="B40" t="s">
        <v>1391</v>
      </c>
      <c r="C40" t="s">
        <v>4219</v>
      </c>
      <c r="D40">
        <f>IF('Enemies'!D19&gt;0,'Enemies'!D19,IF(2&lt;'Enemies'!D392,'Enemies'!D400,IF(2&lt;'Enemies'!D408,'Enemies'!D416,1)))</f>
        <v>3</v>
      </c>
      <c r="E40" t="s">
        <v>4212</v>
      </c>
    </row>
    <row r="41" spans="1:5" x14ac:dyDescent="0.25">
      <c r="A41" t="s">
        <v>1389</v>
      </c>
      <c r="B41" t="s">
        <v>1391</v>
      </c>
      <c r="C41" t="s">
        <v>4220</v>
      </c>
      <c r="D41">
        <f>IF('Enemies'!D20&gt;0,'Enemies'!D20,IF(OR(AND(FALSE,2&gt;='Enemies'!D424),AND(FALSE,2&gt;='Enemies'!D432)),'Enemies'!D440,1))</f>
        <v>1</v>
      </c>
      <c r="E41" t="s">
        <v>4214</v>
      </c>
    </row>
    <row r="42" spans="1:5" x14ac:dyDescent="0.25">
      <c r="A42" t="s">
        <v>1389</v>
      </c>
      <c r="B42" t="s">
        <v>1391</v>
      </c>
      <c r="C42" t="s">
        <v>4221</v>
      </c>
      <c r="D42">
        <f>ROUNDUP(ROUNDUP((MAX(IF(OR('Reels'!D431="attack",'Reels'!D431="magic"),CHOOSE('Reels'!D432+1,'Slots'!D29,'Slots'!D30,'Slots'!D31,'Slots'!D32,'Slots'!D33),0),IF(OR('Reels'!D434="attack",'Reels'!D434="magic"),CHOOSE('Reels'!D435+1,'Slots'!D29,'Slots'!D30,'Slots'!D31,'Slots'!D32,'Slots'!D33),0),IF(OR('Reels'!D437="attack",'Reels'!D437="magic"),CHOOSE('Reels'!D438+1,'Slots'!D29,'Slots'!D30,'Slots'!D31,'Slots'!D32,'Slots'!D33),0),IF(OR('Reels'!D440="attack",'Reels'!D440="magic"),CHOOSE('Reels'!D441+1,'Slots'!D29,'Slots'!D30,'Slots'!D31,'Slots'!D32,'Slots'!D33),0),IF(OR('Reels'!D443="attack",'Reels'!D443="magic"),CHOOSE('Reels'!D444+1,'Slots'!D29,'Slots'!D30,'Slots'!D31,'Slots'!D32,'Slots'!D33),0),IF(OR('Reels'!D446="attack",'Reels'!D446="magic"),CHOOSE('Reels'!D447+1,'Slots'!D29,'Slots'!D30,'Slots'!D31,'Slots'!D32,'Slots'!D33),0))+MAX(IF(OR('Reels'!D449="attack",'Reels'!D449="magic"),CHOOSE('Reels'!D450+1,'Slots'!D29,'Slots'!D30,'Slots'!D31,'Slots'!D32,'Slots'!D33),0),IF(OR('Reels'!D452="attack",'Reels'!D452="magic"),CHOOSE('Reels'!D453+1,'Slots'!D29,'Slots'!D30,'Slots'!D31,'Slots'!D32,'Slots'!D33),0),IF(OR('Reels'!D455="attack",'Reels'!D455="magic"),CHOOSE('Reels'!D456+1,'Slots'!D29,'Slots'!D30,'Slots'!D31,'Slots'!D32,'Slots'!D33),0),IF(OR('Reels'!D458="attack",'Reels'!D458="magic"),CHOOSE('Reels'!D459+1,'Slots'!D29,'Slots'!D30,'Slots'!D31,'Slots'!D32,'Slots'!D33),0),IF(OR('Reels'!D461="attack",'Reels'!D461="magic"),CHOOSE('Reels'!D462+1,'Slots'!D29,'Slots'!D30,'Slots'!D31,'Slots'!D32,'Slots'!D33),0),IF(OR('Reels'!D464="attack",'Reels'!D464="magic"),CHOOSE('Reels'!D465+1,'Slots'!D29,'Slots'!D30,'Slots'!D31,'Slots'!D32,'Slots'!D33),0))+MAX(IF(OR('Reels'!D467="attack",'Reels'!D467="magic"),CHOOSE('Reels'!D468+1,'Slots'!D29,'Slots'!D30,'Slots'!D31,'Slots'!D32,'Slots'!D33),0),IF(OR('Reels'!D470="attack",'Reels'!D470="magic"),CHOOSE('Reels'!D471+1,'Slots'!D29,'Slots'!D30,'Slots'!D31,'Slots'!D32,'Slots'!D33),0),IF(OR('Reels'!D473="attack",'Reels'!D473="magic"),CHOOSE('Reels'!D474+1,'Slots'!D29,'Slots'!D30,'Slots'!D31,'Slots'!D32,'Slots'!D33),0),IF(OR('Reels'!D476="attack",'Reels'!D476="magic"),CHOOSE('Reels'!D477+1,'Slots'!D29,'Slots'!D30,'Slots'!D31,'Slots'!D32,'Slots'!D33),0),IF(OR('Reels'!D479="attack",'Reels'!D479="magic"),CHOOSE('Reels'!D480+1,'Slots'!D29,'Slots'!D30,'Slots'!D31,'Slots'!D32,'Slots'!D33),0),IF(OR('Reels'!D482="attack",'Reels'!D482="magic"),CHOOSE('Reels'!D483+1,'Slots'!D29,'Slots'!D30,'Slots'!D31,'Slots'!D32,'Slots'!D33),0)))*D39/'Enemies'!D544,0)*MAX('Slots'!D38,'Slots'!D39,'Slots'!D40,'Slots'!D41),0)</f>
        <v>12</v>
      </c>
      <c r="E42" t="s">
        <v>4216</v>
      </c>
    </row>
    <row r="43" spans="1:5" x14ac:dyDescent="0.25">
      <c r="A43" t="s">
        <v>1389</v>
      </c>
      <c r="B43" t="s">
        <v>1391</v>
      </c>
      <c r="C43" t="s">
        <v>4222</v>
      </c>
      <c r="D43">
        <f>ROUNDUP(ROUNDUP(('Enemies'!D592+3*'Enemies'!D600+MAX(0,3-'Enemies'!D560)^2*'Enemies'!D608),0)*'Enemies'!D17,0)</f>
        <v>31</v>
      </c>
      <c r="E43" t="s">
        <v>4208</v>
      </c>
    </row>
    <row r="44" spans="1:5" x14ac:dyDescent="0.25">
      <c r="A44" t="s">
        <v>1389</v>
      </c>
      <c r="B44" t="s">
        <v>1391</v>
      </c>
      <c r="C44" t="s">
        <v>4223</v>
      </c>
      <c r="D44">
        <f>MAX(1,ROUNDDOWN((MAX(1,ROUNDDOWN('Enemies'!D344+ROUNDDOWN((3-1)/'Enemies'!D352,0)+0+0,0)))*'Enemies'!D18,0))</f>
        <v>2</v>
      </c>
      <c r="E44" t="s">
        <v>4210</v>
      </c>
    </row>
    <row r="45" spans="1:5" x14ac:dyDescent="0.25">
      <c r="A45" t="s">
        <v>1389</v>
      </c>
      <c r="B45" t="s">
        <v>1391</v>
      </c>
      <c r="C45" t="s">
        <v>4224</v>
      </c>
      <c r="D45">
        <f>IF('Enemies'!D19&gt;0,'Enemies'!D19,IF(3&lt;'Enemies'!D392,'Enemies'!D400,IF(3&lt;'Enemies'!D408,'Enemies'!D416,1)))</f>
        <v>2</v>
      </c>
      <c r="E45" t="s">
        <v>4212</v>
      </c>
    </row>
    <row r="46" spans="1:5" x14ac:dyDescent="0.25">
      <c r="A46" t="s">
        <v>1389</v>
      </c>
      <c r="B46" t="s">
        <v>1391</v>
      </c>
      <c r="C46" t="s">
        <v>4225</v>
      </c>
      <c r="D46">
        <f>IF('Enemies'!D20&gt;0,'Enemies'!D20,IF(OR(AND(FALSE,3&gt;='Enemies'!D424),AND(FALSE,3&gt;='Enemies'!D432)),'Enemies'!D440,1))</f>
        <v>1</v>
      </c>
      <c r="E46" t="s">
        <v>4214</v>
      </c>
    </row>
    <row r="47" spans="1:5" x14ac:dyDescent="0.25">
      <c r="A47" t="s">
        <v>1389</v>
      </c>
      <c r="B47" t="s">
        <v>1391</v>
      </c>
      <c r="C47" t="s">
        <v>4226</v>
      </c>
      <c r="D47">
        <f>ROUNDUP(ROUNDUP((MAX(IF(OR('Reels'!D431="attack",'Reels'!D431="magic"),CHOOSE('Reels'!D432+1,'Slots'!D29,'Slots'!D30,'Slots'!D31,'Slots'!D32,'Slots'!D33),0),IF(OR('Reels'!D434="attack",'Reels'!D434="magic"),CHOOSE('Reels'!D435+1,'Slots'!D29,'Slots'!D30,'Slots'!D31,'Slots'!D32,'Slots'!D33),0),IF(OR('Reels'!D437="attack",'Reels'!D437="magic"),CHOOSE('Reels'!D438+1,'Slots'!D29,'Slots'!D30,'Slots'!D31,'Slots'!D32,'Slots'!D33),0),IF(OR('Reels'!D440="attack",'Reels'!D440="magic"),CHOOSE('Reels'!D441+1,'Slots'!D29,'Slots'!D30,'Slots'!D31,'Slots'!D32,'Slots'!D33),0),IF(OR('Reels'!D443="attack",'Reels'!D443="magic"),CHOOSE('Reels'!D444+1,'Slots'!D29,'Slots'!D30,'Slots'!D31,'Slots'!D32,'Slots'!D33),0),IF(OR('Reels'!D446="attack",'Reels'!D446="magic"),CHOOSE('Reels'!D447+1,'Slots'!D29,'Slots'!D30,'Slots'!D31,'Slots'!D32,'Slots'!D33),0))+MAX(IF(OR('Reels'!D449="attack",'Reels'!D449="magic"),CHOOSE('Reels'!D450+1,'Slots'!D29,'Slots'!D30,'Slots'!D31,'Slots'!D32,'Slots'!D33),0),IF(OR('Reels'!D452="attack",'Reels'!D452="magic"),CHOOSE('Reels'!D453+1,'Slots'!D29,'Slots'!D30,'Slots'!D31,'Slots'!D32,'Slots'!D33),0),IF(OR('Reels'!D455="attack",'Reels'!D455="magic"),CHOOSE('Reels'!D456+1,'Slots'!D29,'Slots'!D30,'Slots'!D31,'Slots'!D32,'Slots'!D33),0),IF(OR('Reels'!D458="attack",'Reels'!D458="magic"),CHOOSE('Reels'!D459+1,'Slots'!D29,'Slots'!D30,'Slots'!D31,'Slots'!D32,'Slots'!D33),0),IF(OR('Reels'!D461="attack",'Reels'!D461="magic"),CHOOSE('Reels'!D462+1,'Slots'!D29,'Slots'!D30,'Slots'!D31,'Slots'!D32,'Slots'!D33),0),IF(OR('Reels'!D464="attack",'Reels'!D464="magic"),CHOOSE('Reels'!D465+1,'Slots'!D29,'Slots'!D30,'Slots'!D31,'Slots'!D32,'Slots'!D33),0))+MAX(IF(OR('Reels'!D467="attack",'Reels'!D467="magic"),CHOOSE('Reels'!D468+1,'Slots'!D29,'Slots'!D30,'Slots'!D31,'Slots'!D32,'Slots'!D33),0),IF(OR('Reels'!D470="attack",'Reels'!D470="magic"),CHOOSE('Reels'!D471+1,'Slots'!D29,'Slots'!D30,'Slots'!D31,'Slots'!D32,'Slots'!D33),0),IF(OR('Reels'!D473="attack",'Reels'!D473="magic"),CHOOSE('Reels'!D474+1,'Slots'!D29,'Slots'!D30,'Slots'!D31,'Slots'!D32,'Slots'!D33),0),IF(OR('Reels'!D476="attack",'Reels'!D476="magic"),CHOOSE('Reels'!D477+1,'Slots'!D29,'Slots'!D30,'Slots'!D31,'Slots'!D32,'Slots'!D33),0),IF(OR('Reels'!D479="attack",'Reels'!D479="magic"),CHOOSE('Reels'!D480+1,'Slots'!D29,'Slots'!D30,'Slots'!D31,'Slots'!D32,'Slots'!D33),0),IF(OR('Reels'!D482="attack",'Reels'!D482="magic"),CHOOSE('Reels'!D483+1,'Slots'!D29,'Slots'!D30,'Slots'!D31,'Slots'!D32,'Slots'!D33),0)))*D44/'Enemies'!D544,0)*MAX('Slots'!D38,'Slots'!D39,'Slots'!D40,'Slots'!D41),0)</f>
        <v>12</v>
      </c>
      <c r="E47" t="s">
        <v>4216</v>
      </c>
    </row>
    <row r="48" spans="1:5" x14ac:dyDescent="0.25">
      <c r="A48" t="s">
        <v>1402</v>
      </c>
      <c r="B48" t="s">
        <v>1404</v>
      </c>
      <c r="C48" t="s">
        <v>4207</v>
      </c>
      <c r="D48">
        <f>ROUNDUP(ROUNDUP(('Enemies'!D592+1*'Enemies'!D600+MAX(0,1-'Enemies'!D560)^2*'Enemies'!D608),0)*'Enemies'!D27,0)</f>
        <v>21</v>
      </c>
      <c r="E48" t="s">
        <v>4208</v>
      </c>
    </row>
    <row r="49" spans="1:5" x14ac:dyDescent="0.25">
      <c r="A49" t="s">
        <v>1402</v>
      </c>
      <c r="B49" t="s">
        <v>1404</v>
      </c>
      <c r="C49" t="s">
        <v>4209</v>
      </c>
      <c r="D49">
        <f>MAX(1,ROUNDDOWN((MAX(1,ROUNDDOWN('Enemies'!D344+ROUNDDOWN((1-1)/'Enemies'!D352,0)+0+0,0)))*'Enemies'!D28,0))</f>
        <v>2</v>
      </c>
      <c r="E49" t="s">
        <v>4210</v>
      </c>
    </row>
    <row r="50" spans="1:5" x14ac:dyDescent="0.25">
      <c r="A50" t="s">
        <v>1402</v>
      </c>
      <c r="B50" t="s">
        <v>1404</v>
      </c>
      <c r="C50" t="s">
        <v>4211</v>
      </c>
      <c r="D50">
        <f>IF('Enemies'!D29&gt;0,'Enemies'!D29,IF(1&lt;'Enemies'!D392,'Enemies'!D400,IF(1&lt;'Enemies'!D408,'Enemies'!D416,1)))</f>
        <v>3</v>
      </c>
      <c r="E50" t="s">
        <v>4212</v>
      </c>
    </row>
    <row r="51" spans="1:5" x14ac:dyDescent="0.25">
      <c r="A51" t="s">
        <v>1402</v>
      </c>
      <c r="B51" t="s">
        <v>1404</v>
      </c>
      <c r="C51" t="s">
        <v>4213</v>
      </c>
      <c r="D51">
        <f>IF('Enemies'!D30&gt;0,'Enemies'!D30,IF(OR(AND(FALSE,1&gt;='Enemies'!D424),AND(FALSE,1&gt;='Enemies'!D432)),'Enemies'!D440,1))</f>
        <v>1</v>
      </c>
      <c r="E51" t="s">
        <v>4214</v>
      </c>
    </row>
    <row r="52" spans="1:5" x14ac:dyDescent="0.25">
      <c r="A52" t="s">
        <v>1402</v>
      </c>
      <c r="B52" t="s">
        <v>1404</v>
      </c>
      <c r="C52" t="s">
        <v>4215</v>
      </c>
      <c r="D5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49/'Enemies'!D544,0)*MAX('Slots'!D38,'Slots'!D39,'Slots'!D40,'Slots'!D41),0)</f>
        <v>8</v>
      </c>
      <c r="E52" t="s">
        <v>4216</v>
      </c>
    </row>
    <row r="53" spans="1:5" x14ac:dyDescent="0.25">
      <c r="A53" t="s">
        <v>1402</v>
      </c>
      <c r="B53" t="s">
        <v>1404</v>
      </c>
      <c r="C53" t="s">
        <v>4217</v>
      </c>
      <c r="D53">
        <f>ROUNDUP(ROUNDUP(('Enemies'!D592+2*'Enemies'!D600+MAX(0,2-'Enemies'!D560)^2*'Enemies'!D608),0)*'Enemies'!D27,0)</f>
        <v>26</v>
      </c>
      <c r="E53" t="s">
        <v>4208</v>
      </c>
    </row>
    <row r="54" spans="1:5" x14ac:dyDescent="0.25">
      <c r="A54" t="s">
        <v>1402</v>
      </c>
      <c r="B54" t="s">
        <v>1404</v>
      </c>
      <c r="C54" t="s">
        <v>4218</v>
      </c>
      <c r="D54">
        <f>MAX(1,ROUNDDOWN((MAX(1,ROUNDDOWN('Enemies'!D344+ROUNDDOWN((2-1)/'Enemies'!D352,0)+0+0,0)))*'Enemies'!D28,0))</f>
        <v>2</v>
      </c>
      <c r="E54" t="s">
        <v>4210</v>
      </c>
    </row>
    <row r="55" spans="1:5" x14ac:dyDescent="0.25">
      <c r="A55" t="s">
        <v>1402</v>
      </c>
      <c r="B55" t="s">
        <v>1404</v>
      </c>
      <c r="C55" t="s">
        <v>4219</v>
      </c>
      <c r="D55">
        <f>IF('Enemies'!D29&gt;0,'Enemies'!D29,IF(2&lt;'Enemies'!D392,'Enemies'!D400,IF(2&lt;'Enemies'!D408,'Enemies'!D416,1)))</f>
        <v>3</v>
      </c>
      <c r="E55" t="s">
        <v>4212</v>
      </c>
    </row>
    <row r="56" spans="1:5" x14ac:dyDescent="0.25">
      <c r="A56" t="s">
        <v>1402</v>
      </c>
      <c r="B56" t="s">
        <v>1404</v>
      </c>
      <c r="C56" t="s">
        <v>4220</v>
      </c>
      <c r="D56">
        <f>IF('Enemies'!D30&gt;0,'Enemies'!D30,IF(OR(AND(FALSE,2&gt;='Enemies'!D424),AND(FALSE,2&gt;='Enemies'!D432)),'Enemies'!D440,1))</f>
        <v>1</v>
      </c>
      <c r="E56" t="s">
        <v>4214</v>
      </c>
    </row>
    <row r="57" spans="1:5" x14ac:dyDescent="0.25">
      <c r="A57" t="s">
        <v>1402</v>
      </c>
      <c r="B57" t="s">
        <v>1404</v>
      </c>
      <c r="C57" t="s">
        <v>4221</v>
      </c>
      <c r="D5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54/'Enemies'!D544,0)*MAX('Slots'!D38,'Slots'!D39,'Slots'!D40,'Slots'!D41),0)</f>
        <v>8</v>
      </c>
      <c r="E57" t="s">
        <v>4216</v>
      </c>
    </row>
    <row r="58" spans="1:5" x14ac:dyDescent="0.25">
      <c r="A58" t="s">
        <v>1402</v>
      </c>
      <c r="B58" t="s">
        <v>1404</v>
      </c>
      <c r="C58" t="s">
        <v>4222</v>
      </c>
      <c r="D58">
        <f>ROUNDUP(ROUNDUP(('Enemies'!D592+3*'Enemies'!D600+MAX(0,3-'Enemies'!D560)^2*'Enemies'!D608),0)*'Enemies'!D27,0)</f>
        <v>31</v>
      </c>
      <c r="E58" t="s">
        <v>4208</v>
      </c>
    </row>
    <row r="59" spans="1:5" x14ac:dyDescent="0.25">
      <c r="A59" t="s">
        <v>1402</v>
      </c>
      <c r="B59" t="s">
        <v>1404</v>
      </c>
      <c r="C59" t="s">
        <v>4223</v>
      </c>
      <c r="D59">
        <f>MAX(1,ROUNDDOWN((MAX(1,ROUNDDOWN('Enemies'!D344+ROUNDDOWN((3-1)/'Enemies'!D352,0)+0+0,0)))*'Enemies'!D28,0))</f>
        <v>2</v>
      </c>
      <c r="E59" t="s">
        <v>4210</v>
      </c>
    </row>
    <row r="60" spans="1:5" x14ac:dyDescent="0.25">
      <c r="A60" t="s">
        <v>1402</v>
      </c>
      <c r="B60" t="s">
        <v>1404</v>
      </c>
      <c r="C60" t="s">
        <v>4224</v>
      </c>
      <c r="D60">
        <f>IF('Enemies'!D29&gt;0,'Enemies'!D29,IF(3&lt;'Enemies'!D392,'Enemies'!D400,IF(3&lt;'Enemies'!D408,'Enemies'!D416,1)))</f>
        <v>2</v>
      </c>
      <c r="E60" t="s">
        <v>4212</v>
      </c>
    </row>
    <row r="61" spans="1:5" x14ac:dyDescent="0.25">
      <c r="A61" t="s">
        <v>1402</v>
      </c>
      <c r="B61" t="s">
        <v>1404</v>
      </c>
      <c r="C61" t="s">
        <v>4225</v>
      </c>
      <c r="D61">
        <f>IF('Enemies'!D30&gt;0,'Enemies'!D30,IF(OR(AND(FALSE,3&gt;='Enemies'!D424),AND(FALSE,3&gt;='Enemies'!D432)),'Enemies'!D440,1))</f>
        <v>1</v>
      </c>
      <c r="E61" t="s">
        <v>4214</v>
      </c>
    </row>
    <row r="62" spans="1:5" x14ac:dyDescent="0.25">
      <c r="A62" t="s">
        <v>1402</v>
      </c>
      <c r="B62" t="s">
        <v>1404</v>
      </c>
      <c r="C62" t="s">
        <v>4226</v>
      </c>
      <c r="D6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59/'Enemies'!D544,0)*MAX('Slots'!D38,'Slots'!D39,'Slots'!D40,'Slots'!D41),0)</f>
        <v>8</v>
      </c>
      <c r="E62" t="s">
        <v>4216</v>
      </c>
    </row>
    <row r="63" spans="1:5" x14ac:dyDescent="0.25">
      <c r="A63" t="s">
        <v>1415</v>
      </c>
      <c r="B63" t="s">
        <v>1417</v>
      </c>
      <c r="C63" t="s">
        <v>4207</v>
      </c>
      <c r="D63">
        <f>ROUNDUP(ROUNDUP(('Enemies'!D592+1*'Enemies'!D600+MAX(0,1-'Enemies'!D560)^2*'Enemies'!D608),0)*'Enemies'!D37,0)</f>
        <v>21</v>
      </c>
      <c r="E63" t="s">
        <v>4208</v>
      </c>
    </row>
    <row r="64" spans="1:5" x14ac:dyDescent="0.25">
      <c r="A64" t="s">
        <v>1415</v>
      </c>
      <c r="B64" t="s">
        <v>1417</v>
      </c>
      <c r="C64" t="s">
        <v>4209</v>
      </c>
      <c r="D64">
        <f>MAX(1,ROUNDDOWN((MAX(1,ROUNDDOWN('Enemies'!D344+ROUNDDOWN((1-1)/'Enemies'!D352,0)+0+0,0)))*'Enemies'!D38,0))</f>
        <v>2</v>
      </c>
      <c r="E64" t="s">
        <v>4210</v>
      </c>
    </row>
    <row r="65" spans="1:5" x14ac:dyDescent="0.25">
      <c r="A65" t="s">
        <v>1415</v>
      </c>
      <c r="B65" t="s">
        <v>1417</v>
      </c>
      <c r="C65" t="s">
        <v>4211</v>
      </c>
      <c r="D65">
        <f>IF('Enemies'!D39&gt;0,'Enemies'!D39,IF(1&lt;'Enemies'!D392,'Enemies'!D400,IF(1&lt;'Enemies'!D408,'Enemies'!D416,1)))</f>
        <v>3</v>
      </c>
      <c r="E65" t="s">
        <v>4212</v>
      </c>
    </row>
    <row r="66" spans="1:5" x14ac:dyDescent="0.25">
      <c r="A66" t="s">
        <v>1415</v>
      </c>
      <c r="B66" t="s">
        <v>1417</v>
      </c>
      <c r="C66" t="s">
        <v>4213</v>
      </c>
      <c r="D66">
        <f>IF('Enemies'!D40&gt;0,'Enemies'!D40,IF(OR(AND(FALSE,1&gt;='Enemies'!D424),AND(FALSE,1&gt;='Enemies'!D432)),'Enemies'!D440,1))</f>
        <v>1</v>
      </c>
      <c r="E66" t="s">
        <v>4214</v>
      </c>
    </row>
    <row r="67" spans="1:5" x14ac:dyDescent="0.25">
      <c r="A67" t="s">
        <v>1415</v>
      </c>
      <c r="B67" t="s">
        <v>1417</v>
      </c>
      <c r="C67" t="s">
        <v>4215</v>
      </c>
      <c r="D6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64/'Enemies'!D544,0)*MAX('Slots'!D38,'Slots'!D39,'Slots'!D40,'Slots'!D41),0)</f>
        <v>12</v>
      </c>
      <c r="E67" t="s">
        <v>4216</v>
      </c>
    </row>
    <row r="68" spans="1:5" x14ac:dyDescent="0.25">
      <c r="A68" t="s">
        <v>1415</v>
      </c>
      <c r="B68" t="s">
        <v>1417</v>
      </c>
      <c r="C68" t="s">
        <v>4217</v>
      </c>
      <c r="D68">
        <f>ROUNDUP(ROUNDUP(('Enemies'!D592+2*'Enemies'!D600+MAX(0,2-'Enemies'!D560)^2*'Enemies'!D608),0)*'Enemies'!D37,0)</f>
        <v>26</v>
      </c>
      <c r="E68" t="s">
        <v>4208</v>
      </c>
    </row>
    <row r="69" spans="1:5" x14ac:dyDescent="0.25">
      <c r="A69" t="s">
        <v>1415</v>
      </c>
      <c r="B69" t="s">
        <v>1417</v>
      </c>
      <c r="C69" t="s">
        <v>4218</v>
      </c>
      <c r="D69">
        <f>MAX(1,ROUNDDOWN((MAX(1,ROUNDDOWN('Enemies'!D344+ROUNDDOWN((2-1)/'Enemies'!D352,0)+0+0,0)))*'Enemies'!D38,0))</f>
        <v>2</v>
      </c>
      <c r="E69" t="s">
        <v>4210</v>
      </c>
    </row>
    <row r="70" spans="1:5" x14ac:dyDescent="0.25">
      <c r="A70" t="s">
        <v>1415</v>
      </c>
      <c r="B70" t="s">
        <v>1417</v>
      </c>
      <c r="C70" t="s">
        <v>4219</v>
      </c>
      <c r="D70">
        <f>IF('Enemies'!D39&gt;0,'Enemies'!D39,IF(2&lt;'Enemies'!D392,'Enemies'!D400,IF(2&lt;'Enemies'!D408,'Enemies'!D416,1)))</f>
        <v>3</v>
      </c>
      <c r="E70" t="s">
        <v>4212</v>
      </c>
    </row>
    <row r="71" spans="1:5" x14ac:dyDescent="0.25">
      <c r="A71" t="s">
        <v>1415</v>
      </c>
      <c r="B71" t="s">
        <v>1417</v>
      </c>
      <c r="C71" t="s">
        <v>4220</v>
      </c>
      <c r="D71">
        <f>IF('Enemies'!D40&gt;0,'Enemies'!D40,IF(OR(AND(FALSE,2&gt;='Enemies'!D424),AND(FALSE,2&gt;='Enemies'!D432)),'Enemies'!D440,1))</f>
        <v>1</v>
      </c>
      <c r="E71" t="s">
        <v>4214</v>
      </c>
    </row>
    <row r="72" spans="1:5" x14ac:dyDescent="0.25">
      <c r="A72" t="s">
        <v>1415</v>
      </c>
      <c r="B72" t="s">
        <v>1417</v>
      </c>
      <c r="C72" t="s">
        <v>4221</v>
      </c>
      <c r="D7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69/'Enemies'!D544,0)*MAX('Slots'!D38,'Slots'!D39,'Slots'!D40,'Slots'!D41),0)</f>
        <v>12</v>
      </c>
      <c r="E72" t="s">
        <v>4216</v>
      </c>
    </row>
    <row r="73" spans="1:5" x14ac:dyDescent="0.25">
      <c r="A73" t="s">
        <v>1415</v>
      </c>
      <c r="B73" t="s">
        <v>1417</v>
      </c>
      <c r="C73" t="s">
        <v>4222</v>
      </c>
      <c r="D73">
        <f>ROUNDUP(ROUNDUP(('Enemies'!D592+3*'Enemies'!D600+MAX(0,3-'Enemies'!D560)^2*'Enemies'!D608),0)*'Enemies'!D37,0)</f>
        <v>31</v>
      </c>
      <c r="E73" t="s">
        <v>4208</v>
      </c>
    </row>
    <row r="74" spans="1:5" x14ac:dyDescent="0.25">
      <c r="A74" t="s">
        <v>1415</v>
      </c>
      <c r="B74" t="s">
        <v>1417</v>
      </c>
      <c r="C74" t="s">
        <v>4223</v>
      </c>
      <c r="D74">
        <f>MAX(1,ROUNDDOWN((MAX(1,ROUNDDOWN('Enemies'!D344+ROUNDDOWN((3-1)/'Enemies'!D352,0)+0+0,0)))*'Enemies'!D38,0))</f>
        <v>2</v>
      </c>
      <c r="E74" t="s">
        <v>4210</v>
      </c>
    </row>
    <row r="75" spans="1:5" x14ac:dyDescent="0.25">
      <c r="A75" t="s">
        <v>1415</v>
      </c>
      <c r="B75" t="s">
        <v>1417</v>
      </c>
      <c r="C75" t="s">
        <v>4224</v>
      </c>
      <c r="D75">
        <f>IF('Enemies'!D39&gt;0,'Enemies'!D39,IF(3&lt;'Enemies'!D392,'Enemies'!D400,IF(3&lt;'Enemies'!D408,'Enemies'!D416,1)))</f>
        <v>2</v>
      </c>
      <c r="E75" t="s">
        <v>4212</v>
      </c>
    </row>
    <row r="76" spans="1:5" x14ac:dyDescent="0.25">
      <c r="A76" t="s">
        <v>1415</v>
      </c>
      <c r="B76" t="s">
        <v>1417</v>
      </c>
      <c r="C76" t="s">
        <v>4225</v>
      </c>
      <c r="D76">
        <f>IF('Enemies'!D40&gt;0,'Enemies'!D40,IF(OR(AND(FALSE,3&gt;='Enemies'!D424),AND(FALSE,3&gt;='Enemies'!D432)),'Enemies'!D440,1))</f>
        <v>1</v>
      </c>
      <c r="E76" t="s">
        <v>4214</v>
      </c>
    </row>
    <row r="77" spans="1:5" x14ac:dyDescent="0.25">
      <c r="A77" t="s">
        <v>1415</v>
      </c>
      <c r="B77" t="s">
        <v>1417</v>
      </c>
      <c r="C77" t="s">
        <v>4226</v>
      </c>
      <c r="D7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74/'Enemies'!D544,0)*MAX('Slots'!D38,'Slots'!D39,'Slots'!D40,'Slots'!D41),0)</f>
        <v>12</v>
      </c>
      <c r="E77" t="s">
        <v>4216</v>
      </c>
    </row>
    <row r="78" spans="1:5" x14ac:dyDescent="0.25">
      <c r="A78" t="s">
        <v>1428</v>
      </c>
      <c r="B78" t="s">
        <v>1430</v>
      </c>
      <c r="C78" t="s">
        <v>4227</v>
      </c>
      <c r="D78">
        <f>ROUNDUP(ROUNDUP(('Enemies'!D592+4*'Enemies'!D600+MAX(0,4-'Enemies'!D560)^2*'Enemies'!D608),0)*'Enemies'!D47,0)</f>
        <v>37</v>
      </c>
      <c r="E78" t="s">
        <v>4208</v>
      </c>
    </row>
    <row r="79" spans="1:5" x14ac:dyDescent="0.25">
      <c r="A79" t="s">
        <v>1428</v>
      </c>
      <c r="B79" t="s">
        <v>1430</v>
      </c>
      <c r="C79" t="s">
        <v>4228</v>
      </c>
      <c r="D79">
        <f>MAX(1,ROUNDDOWN((MAX(1,ROUNDDOWN('Enemies'!D344+ROUNDDOWN((4-1)/'Enemies'!D352,0)+0+0,0)))*'Enemies'!D48,0))</f>
        <v>3</v>
      </c>
      <c r="E79" t="s">
        <v>4210</v>
      </c>
    </row>
    <row r="80" spans="1:5" x14ac:dyDescent="0.25">
      <c r="A80" t="s">
        <v>1428</v>
      </c>
      <c r="B80" t="s">
        <v>1430</v>
      </c>
      <c r="C80" t="s">
        <v>4229</v>
      </c>
      <c r="D80">
        <f>IF('Enemies'!D49&gt;0,'Enemies'!D49,IF(4&lt;'Enemies'!D392,'Enemies'!D400,IF(4&lt;'Enemies'!D408,'Enemies'!D416,1)))</f>
        <v>2</v>
      </c>
      <c r="E80" t="s">
        <v>4212</v>
      </c>
    </row>
    <row r="81" spans="1:5" x14ac:dyDescent="0.25">
      <c r="A81" t="s">
        <v>1428</v>
      </c>
      <c r="B81" t="s">
        <v>1430</v>
      </c>
      <c r="C81" t="s">
        <v>4230</v>
      </c>
      <c r="D81">
        <f>IF('Enemies'!D50&gt;0,'Enemies'!D50,IF(OR(AND(FALSE,4&gt;='Enemies'!D424),AND(FALSE,4&gt;='Enemies'!D432)),'Enemies'!D440,1))</f>
        <v>1</v>
      </c>
      <c r="E81" t="s">
        <v>4214</v>
      </c>
    </row>
    <row r="82" spans="1:5" x14ac:dyDescent="0.25">
      <c r="A82" t="s">
        <v>1428</v>
      </c>
      <c r="B82" t="s">
        <v>1430</v>
      </c>
      <c r="C82" t="s">
        <v>4231</v>
      </c>
      <c r="D8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79/'Enemies'!D544,0)*MAX('Slots'!D38,'Slots'!D39,'Slots'!D40,'Slots'!D41),0)</f>
        <v>16</v>
      </c>
      <c r="E82" t="s">
        <v>4216</v>
      </c>
    </row>
    <row r="83" spans="1:5" x14ac:dyDescent="0.25">
      <c r="A83" t="s">
        <v>1428</v>
      </c>
      <c r="B83" t="s">
        <v>1430</v>
      </c>
      <c r="C83" t="s">
        <v>4232</v>
      </c>
      <c r="D83">
        <f>ROUNDUP(ROUNDUP(('Enemies'!D592+5*'Enemies'!D600+MAX(0,5-'Enemies'!D560)^2*'Enemies'!D608),0)*'Enemies'!D47,0)</f>
        <v>43</v>
      </c>
      <c r="E83" t="s">
        <v>4208</v>
      </c>
    </row>
    <row r="84" spans="1:5" x14ac:dyDescent="0.25">
      <c r="A84" t="s">
        <v>1428</v>
      </c>
      <c r="B84" t="s">
        <v>1430</v>
      </c>
      <c r="C84" t="s">
        <v>4233</v>
      </c>
      <c r="D84">
        <f>MAX(1,ROUNDDOWN((MAX(1,ROUNDDOWN('Enemies'!D344+ROUNDDOWN((5-1)/'Enemies'!D352,0)+0+0,0)))*'Enemies'!D48,0))</f>
        <v>3</v>
      </c>
      <c r="E84" t="s">
        <v>4210</v>
      </c>
    </row>
    <row r="85" spans="1:5" x14ac:dyDescent="0.25">
      <c r="A85" t="s">
        <v>1428</v>
      </c>
      <c r="B85" t="s">
        <v>1430</v>
      </c>
      <c r="C85" t="s">
        <v>4234</v>
      </c>
      <c r="D85">
        <f>IF('Enemies'!D49&gt;0,'Enemies'!D49,IF(5&lt;'Enemies'!D392,'Enemies'!D400,IF(5&lt;'Enemies'!D408,'Enemies'!D416,1)))</f>
        <v>2</v>
      </c>
      <c r="E85" t="s">
        <v>4212</v>
      </c>
    </row>
    <row r="86" spans="1:5" x14ac:dyDescent="0.25">
      <c r="A86" t="s">
        <v>1428</v>
      </c>
      <c r="B86" t="s">
        <v>1430</v>
      </c>
      <c r="C86" t="s">
        <v>4235</v>
      </c>
      <c r="D86">
        <f>IF('Enemies'!D50&gt;0,'Enemies'!D50,IF(OR(AND(FALSE,5&gt;='Enemies'!D424),AND(FALSE,5&gt;='Enemies'!D432)),'Enemies'!D440,1))</f>
        <v>1</v>
      </c>
      <c r="E86" t="s">
        <v>4214</v>
      </c>
    </row>
    <row r="87" spans="1:5" x14ac:dyDescent="0.25">
      <c r="A87" t="s">
        <v>1428</v>
      </c>
      <c r="B87" t="s">
        <v>1430</v>
      </c>
      <c r="C87" t="s">
        <v>4236</v>
      </c>
      <c r="D8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84/'Enemies'!D544,0)*MAX('Slots'!D38,'Slots'!D39,'Slots'!D40,'Slots'!D41),0)</f>
        <v>16</v>
      </c>
      <c r="E87" t="s">
        <v>4216</v>
      </c>
    </row>
    <row r="88" spans="1:5" x14ac:dyDescent="0.25">
      <c r="A88" t="s">
        <v>1428</v>
      </c>
      <c r="B88" t="s">
        <v>1430</v>
      </c>
      <c r="C88" t="s">
        <v>4237</v>
      </c>
      <c r="D88">
        <f>ROUNDUP(ROUNDUP(('Enemies'!D592+6*'Enemies'!D600+MAX(0,6-'Enemies'!D560)^2*'Enemies'!D608),0)*'Enemies'!D47,0)</f>
        <v>51</v>
      </c>
      <c r="E88" t="s">
        <v>4208</v>
      </c>
    </row>
    <row r="89" spans="1:5" x14ac:dyDescent="0.25">
      <c r="A89" t="s">
        <v>1428</v>
      </c>
      <c r="B89" t="s">
        <v>1430</v>
      </c>
      <c r="C89" t="s">
        <v>4238</v>
      </c>
      <c r="D89">
        <f>MAX(1,ROUNDDOWN((MAX(1,ROUNDDOWN('Enemies'!D344+ROUNDDOWN((6-1)/'Enemies'!D352,0)+0+0,0)))*'Enemies'!D48,0))</f>
        <v>3</v>
      </c>
      <c r="E89" t="s">
        <v>4210</v>
      </c>
    </row>
    <row r="90" spans="1:5" x14ac:dyDescent="0.25">
      <c r="A90" t="s">
        <v>1428</v>
      </c>
      <c r="B90" t="s">
        <v>1430</v>
      </c>
      <c r="C90" t="s">
        <v>4239</v>
      </c>
      <c r="D90">
        <f>IF('Enemies'!D49&gt;0,'Enemies'!D49,IF(6&lt;'Enemies'!D392,'Enemies'!D400,IF(6&lt;'Enemies'!D408,'Enemies'!D416,1)))</f>
        <v>2</v>
      </c>
      <c r="E90" t="s">
        <v>4212</v>
      </c>
    </row>
    <row r="91" spans="1:5" x14ac:dyDescent="0.25">
      <c r="A91" t="s">
        <v>1428</v>
      </c>
      <c r="B91" t="s">
        <v>1430</v>
      </c>
      <c r="C91" t="s">
        <v>4240</v>
      </c>
      <c r="D91">
        <f>IF('Enemies'!D50&gt;0,'Enemies'!D50,IF(OR(AND(FALSE,6&gt;='Enemies'!D424),AND(FALSE,6&gt;='Enemies'!D432)),'Enemies'!D440,1))</f>
        <v>1</v>
      </c>
      <c r="E91" t="s">
        <v>4214</v>
      </c>
    </row>
    <row r="92" spans="1:5" x14ac:dyDescent="0.25">
      <c r="A92" t="s">
        <v>1428</v>
      </c>
      <c r="B92" t="s">
        <v>1430</v>
      </c>
      <c r="C92" t="s">
        <v>4241</v>
      </c>
      <c r="D9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89/'Enemies'!D544,0)*MAX('Slots'!D38,'Slots'!D39,'Slots'!D40,'Slots'!D41),0)</f>
        <v>16</v>
      </c>
      <c r="E92" t="s">
        <v>4216</v>
      </c>
    </row>
    <row r="93" spans="1:5" x14ac:dyDescent="0.25">
      <c r="A93" t="s">
        <v>1428</v>
      </c>
      <c r="B93" t="s">
        <v>1430</v>
      </c>
      <c r="C93" t="s">
        <v>4242</v>
      </c>
      <c r="D93">
        <f>ROUNDUP(ROUNDUP(('Enemies'!D592+7*'Enemies'!D600+MAX(0,7-'Enemies'!D560)^2*'Enemies'!D608),0)*'Enemies'!D47,0)</f>
        <v>59</v>
      </c>
      <c r="E93" t="s">
        <v>4208</v>
      </c>
    </row>
    <row r="94" spans="1:5" x14ac:dyDescent="0.25">
      <c r="A94" t="s">
        <v>1428</v>
      </c>
      <c r="B94" t="s">
        <v>1430</v>
      </c>
      <c r="C94" t="s">
        <v>4243</v>
      </c>
      <c r="D94">
        <f>MAX(1,ROUNDDOWN((MAX(1,ROUNDDOWN('Enemies'!D344+ROUNDDOWN((7-1)/'Enemies'!D352,0)+0+0,0)))*'Enemies'!D48,0))</f>
        <v>4</v>
      </c>
      <c r="E94" t="s">
        <v>4210</v>
      </c>
    </row>
    <row r="95" spans="1:5" x14ac:dyDescent="0.25">
      <c r="A95" t="s">
        <v>1428</v>
      </c>
      <c r="B95" t="s">
        <v>1430</v>
      </c>
      <c r="C95" t="s">
        <v>4244</v>
      </c>
      <c r="D95">
        <f>IF('Enemies'!D49&gt;0,'Enemies'!D49,IF(7&lt;'Enemies'!D392,'Enemies'!D400,IF(7&lt;'Enemies'!D408,'Enemies'!D416,1)))</f>
        <v>2</v>
      </c>
      <c r="E95" t="s">
        <v>4212</v>
      </c>
    </row>
    <row r="96" spans="1:5" x14ac:dyDescent="0.25">
      <c r="A96" t="s">
        <v>1428</v>
      </c>
      <c r="B96" t="s">
        <v>1430</v>
      </c>
      <c r="C96" t="s">
        <v>4245</v>
      </c>
      <c r="D96">
        <f>IF('Enemies'!D50&gt;0,'Enemies'!D50,IF(OR(AND(FALSE,7&gt;='Enemies'!D424),AND(FALSE,7&gt;='Enemies'!D432)),'Enemies'!D440,1))</f>
        <v>1</v>
      </c>
      <c r="E96" t="s">
        <v>4214</v>
      </c>
    </row>
    <row r="97" spans="1:5" x14ac:dyDescent="0.25">
      <c r="A97" t="s">
        <v>1428</v>
      </c>
      <c r="B97" t="s">
        <v>1430</v>
      </c>
      <c r="C97" t="s">
        <v>4246</v>
      </c>
      <c r="D9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94/'Enemies'!D544,0)*MAX('Slots'!D38,'Slots'!D39,'Slots'!D40,'Slots'!D41),0)</f>
        <v>24</v>
      </c>
      <c r="E97" t="s">
        <v>4216</v>
      </c>
    </row>
    <row r="98" spans="1:5" x14ac:dyDescent="0.25">
      <c r="A98" t="s">
        <v>1441</v>
      </c>
      <c r="B98" t="s">
        <v>1443</v>
      </c>
      <c r="C98" t="s">
        <v>4227</v>
      </c>
      <c r="D98">
        <f>ROUNDUP(ROUNDUP(('Enemies'!D592+4*'Enemies'!D600+MAX(0,4-'Enemies'!D560)^2*'Enemies'!D608),0)*'Enemies'!D57,0)</f>
        <v>37</v>
      </c>
      <c r="E98" t="s">
        <v>4208</v>
      </c>
    </row>
    <row r="99" spans="1:5" x14ac:dyDescent="0.25">
      <c r="A99" t="s">
        <v>1441</v>
      </c>
      <c r="B99" t="s">
        <v>1443</v>
      </c>
      <c r="C99" t="s">
        <v>4228</v>
      </c>
      <c r="D99">
        <f>MAX(1,ROUNDDOWN((MAX(1,ROUNDDOWN('Enemies'!D344+ROUNDDOWN((4-1)/'Enemies'!D352,0)+0+0,0)))*'Enemies'!D58,0))</f>
        <v>3</v>
      </c>
      <c r="E99" t="s">
        <v>4210</v>
      </c>
    </row>
    <row r="100" spans="1:5" x14ac:dyDescent="0.25">
      <c r="A100" t="s">
        <v>1441</v>
      </c>
      <c r="B100" t="s">
        <v>1443</v>
      </c>
      <c r="C100" t="s">
        <v>4229</v>
      </c>
      <c r="D100">
        <f>IF('Enemies'!D59&gt;0,'Enemies'!D59,IF(4&lt;'Enemies'!D392,'Enemies'!D400,IF(4&lt;'Enemies'!D408,'Enemies'!D416,1)))</f>
        <v>2</v>
      </c>
      <c r="E100" t="s">
        <v>4212</v>
      </c>
    </row>
    <row r="101" spans="1:5" x14ac:dyDescent="0.25">
      <c r="A101" t="s">
        <v>1441</v>
      </c>
      <c r="B101" t="s">
        <v>1443</v>
      </c>
      <c r="C101" t="s">
        <v>4230</v>
      </c>
      <c r="D101">
        <f>IF('Enemies'!D60&gt;0,'Enemies'!D60,IF(OR(AND(FALSE,4&gt;='Enemies'!D424),AND(FALSE,4&gt;='Enemies'!D432)),'Enemies'!D440,1))</f>
        <v>1</v>
      </c>
      <c r="E101" t="s">
        <v>4214</v>
      </c>
    </row>
    <row r="102" spans="1:5" x14ac:dyDescent="0.25">
      <c r="A102" t="s">
        <v>1441</v>
      </c>
      <c r="B102" t="s">
        <v>1443</v>
      </c>
      <c r="C102" t="s">
        <v>4231</v>
      </c>
      <c r="D102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99/'Enemies'!D544,0)*MAX('Slots'!D38,'Slots'!D39,'Slots'!D40,'Slots'!D41),0)</f>
        <v>16</v>
      </c>
      <c r="E102" t="s">
        <v>4216</v>
      </c>
    </row>
    <row r="103" spans="1:5" x14ac:dyDescent="0.25">
      <c r="A103" t="s">
        <v>1441</v>
      </c>
      <c r="B103" t="s">
        <v>1443</v>
      </c>
      <c r="C103" t="s">
        <v>4232</v>
      </c>
      <c r="D103">
        <f>ROUNDUP(ROUNDUP(('Enemies'!D592+5*'Enemies'!D600+MAX(0,5-'Enemies'!D560)^2*'Enemies'!D608),0)*'Enemies'!D57,0)</f>
        <v>43</v>
      </c>
      <c r="E103" t="s">
        <v>4208</v>
      </c>
    </row>
    <row r="104" spans="1:5" x14ac:dyDescent="0.25">
      <c r="A104" t="s">
        <v>1441</v>
      </c>
      <c r="B104" t="s">
        <v>1443</v>
      </c>
      <c r="C104" t="s">
        <v>4233</v>
      </c>
      <c r="D104">
        <f>MAX(1,ROUNDDOWN((MAX(1,ROUNDDOWN('Enemies'!D344+ROUNDDOWN((5-1)/'Enemies'!D352,0)+0+0,0)))*'Enemies'!D58,0))</f>
        <v>3</v>
      </c>
      <c r="E104" t="s">
        <v>4210</v>
      </c>
    </row>
    <row r="105" spans="1:5" x14ac:dyDescent="0.25">
      <c r="A105" t="s">
        <v>1441</v>
      </c>
      <c r="B105" t="s">
        <v>1443</v>
      </c>
      <c r="C105" t="s">
        <v>4234</v>
      </c>
      <c r="D105">
        <f>IF('Enemies'!D59&gt;0,'Enemies'!D59,IF(5&lt;'Enemies'!D392,'Enemies'!D400,IF(5&lt;'Enemies'!D408,'Enemies'!D416,1)))</f>
        <v>2</v>
      </c>
      <c r="E105" t="s">
        <v>4212</v>
      </c>
    </row>
    <row r="106" spans="1:5" x14ac:dyDescent="0.25">
      <c r="A106" t="s">
        <v>1441</v>
      </c>
      <c r="B106" t="s">
        <v>1443</v>
      </c>
      <c r="C106" t="s">
        <v>4235</v>
      </c>
      <c r="D106">
        <f>IF('Enemies'!D60&gt;0,'Enemies'!D60,IF(OR(AND(FALSE,5&gt;='Enemies'!D424),AND(FALSE,5&gt;='Enemies'!D432)),'Enemies'!D440,1))</f>
        <v>1</v>
      </c>
      <c r="E106" t="s">
        <v>4214</v>
      </c>
    </row>
    <row r="107" spans="1:5" x14ac:dyDescent="0.25">
      <c r="A107" t="s">
        <v>1441</v>
      </c>
      <c r="B107" t="s">
        <v>1443</v>
      </c>
      <c r="C107" t="s">
        <v>4236</v>
      </c>
      <c r="D107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104/'Enemies'!D544,0)*MAX('Slots'!D38,'Slots'!D39,'Slots'!D40,'Slots'!D41),0)</f>
        <v>16</v>
      </c>
      <c r="E107" t="s">
        <v>4216</v>
      </c>
    </row>
    <row r="108" spans="1:5" x14ac:dyDescent="0.25">
      <c r="A108" t="s">
        <v>1441</v>
      </c>
      <c r="B108" t="s">
        <v>1443</v>
      </c>
      <c r="C108" t="s">
        <v>4237</v>
      </c>
      <c r="D108">
        <f>ROUNDUP(ROUNDUP(('Enemies'!D592+6*'Enemies'!D600+MAX(0,6-'Enemies'!D560)^2*'Enemies'!D608),0)*'Enemies'!D57,0)</f>
        <v>51</v>
      </c>
      <c r="E108" t="s">
        <v>4208</v>
      </c>
    </row>
    <row r="109" spans="1:5" x14ac:dyDescent="0.25">
      <c r="A109" t="s">
        <v>1441</v>
      </c>
      <c r="B109" t="s">
        <v>1443</v>
      </c>
      <c r="C109" t="s">
        <v>4238</v>
      </c>
      <c r="D109">
        <f>MAX(1,ROUNDDOWN((MAX(1,ROUNDDOWN('Enemies'!D344+ROUNDDOWN((6-1)/'Enemies'!D352,0)+0+0,0)))*'Enemies'!D58,0))</f>
        <v>3</v>
      </c>
      <c r="E109" t="s">
        <v>4210</v>
      </c>
    </row>
    <row r="110" spans="1:5" x14ac:dyDescent="0.25">
      <c r="A110" t="s">
        <v>1441</v>
      </c>
      <c r="B110" t="s">
        <v>1443</v>
      </c>
      <c r="C110" t="s">
        <v>4239</v>
      </c>
      <c r="D110">
        <f>IF('Enemies'!D59&gt;0,'Enemies'!D59,IF(6&lt;'Enemies'!D392,'Enemies'!D400,IF(6&lt;'Enemies'!D408,'Enemies'!D416,1)))</f>
        <v>2</v>
      </c>
      <c r="E110" t="s">
        <v>4212</v>
      </c>
    </row>
    <row r="111" spans="1:5" x14ac:dyDescent="0.25">
      <c r="A111" t="s">
        <v>1441</v>
      </c>
      <c r="B111" t="s">
        <v>1443</v>
      </c>
      <c r="C111" t="s">
        <v>4240</v>
      </c>
      <c r="D111">
        <f>IF('Enemies'!D60&gt;0,'Enemies'!D60,IF(OR(AND(FALSE,6&gt;='Enemies'!D424),AND(FALSE,6&gt;='Enemies'!D432)),'Enemies'!D440,1))</f>
        <v>1</v>
      </c>
      <c r="E111" t="s">
        <v>4214</v>
      </c>
    </row>
    <row r="112" spans="1:5" x14ac:dyDescent="0.25">
      <c r="A112" t="s">
        <v>1441</v>
      </c>
      <c r="B112" t="s">
        <v>1443</v>
      </c>
      <c r="C112" t="s">
        <v>4241</v>
      </c>
      <c r="D112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109/'Enemies'!D544,0)*MAX('Slots'!D38,'Slots'!D39,'Slots'!D40,'Slots'!D41),0)</f>
        <v>16</v>
      </c>
      <c r="E112" t="s">
        <v>4216</v>
      </c>
    </row>
    <row r="113" spans="1:5" x14ac:dyDescent="0.25">
      <c r="A113" t="s">
        <v>1441</v>
      </c>
      <c r="B113" t="s">
        <v>1443</v>
      </c>
      <c r="C113" t="s">
        <v>4242</v>
      </c>
      <c r="D113">
        <f>ROUNDUP(ROUNDUP(('Enemies'!D592+7*'Enemies'!D600+MAX(0,7-'Enemies'!D560)^2*'Enemies'!D608),0)*'Enemies'!D57,0)</f>
        <v>59</v>
      </c>
      <c r="E113" t="s">
        <v>4208</v>
      </c>
    </row>
    <row r="114" spans="1:5" x14ac:dyDescent="0.25">
      <c r="A114" t="s">
        <v>1441</v>
      </c>
      <c r="B114" t="s">
        <v>1443</v>
      </c>
      <c r="C114" t="s">
        <v>4243</v>
      </c>
      <c r="D114">
        <f>MAX(1,ROUNDDOWN((MAX(1,ROUNDDOWN('Enemies'!D344+ROUNDDOWN((7-1)/'Enemies'!D352,0)+0+0,0)))*'Enemies'!D58,0))</f>
        <v>4</v>
      </c>
      <c r="E114" t="s">
        <v>4210</v>
      </c>
    </row>
    <row r="115" spans="1:5" x14ac:dyDescent="0.25">
      <c r="A115" t="s">
        <v>1441</v>
      </c>
      <c r="B115" t="s">
        <v>1443</v>
      </c>
      <c r="C115" t="s">
        <v>4244</v>
      </c>
      <c r="D115">
        <f>IF('Enemies'!D59&gt;0,'Enemies'!D59,IF(7&lt;'Enemies'!D392,'Enemies'!D400,IF(7&lt;'Enemies'!D408,'Enemies'!D416,1)))</f>
        <v>2</v>
      </c>
      <c r="E115" t="s">
        <v>4212</v>
      </c>
    </row>
    <row r="116" spans="1:5" x14ac:dyDescent="0.25">
      <c r="A116" t="s">
        <v>1441</v>
      </c>
      <c r="B116" t="s">
        <v>1443</v>
      </c>
      <c r="C116" t="s">
        <v>4245</v>
      </c>
      <c r="D116">
        <f>IF('Enemies'!D60&gt;0,'Enemies'!D60,IF(OR(AND(FALSE,7&gt;='Enemies'!D424),AND(FALSE,7&gt;='Enemies'!D432)),'Enemies'!D440,1))</f>
        <v>1</v>
      </c>
      <c r="E116" t="s">
        <v>4214</v>
      </c>
    </row>
    <row r="117" spans="1:5" x14ac:dyDescent="0.25">
      <c r="A117" t="s">
        <v>1441</v>
      </c>
      <c r="B117" t="s">
        <v>1443</v>
      </c>
      <c r="C117" t="s">
        <v>4246</v>
      </c>
      <c r="D117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114/'Enemies'!D544,0)*MAX('Slots'!D38,'Slots'!D39,'Slots'!D40,'Slots'!D41),0)</f>
        <v>24</v>
      </c>
      <c r="E117" t="s">
        <v>4216</v>
      </c>
    </row>
    <row r="118" spans="1:5" x14ac:dyDescent="0.25">
      <c r="A118" t="s">
        <v>1454</v>
      </c>
      <c r="B118" t="s">
        <v>1456</v>
      </c>
      <c r="C118" t="s">
        <v>4227</v>
      </c>
      <c r="D118">
        <f>ROUNDUP(ROUNDUP(('Enemies'!D592+4*'Enemies'!D600+MAX(0,4-'Enemies'!D560)^2*'Enemies'!D608),0)*'Enemies'!D67,0)</f>
        <v>37</v>
      </c>
      <c r="E118" t="s">
        <v>4208</v>
      </c>
    </row>
    <row r="119" spans="1:5" x14ac:dyDescent="0.25">
      <c r="A119" t="s">
        <v>1454</v>
      </c>
      <c r="B119" t="s">
        <v>1456</v>
      </c>
      <c r="C119" t="s">
        <v>4228</v>
      </c>
      <c r="D119">
        <f>MAX(1,ROUNDDOWN((MAX(1,ROUNDDOWN('Enemies'!D344+ROUNDDOWN((4-1)/'Enemies'!D352,0)+0+0,0)))*'Enemies'!D68,0))</f>
        <v>3</v>
      </c>
      <c r="E119" t="s">
        <v>4210</v>
      </c>
    </row>
    <row r="120" spans="1:5" x14ac:dyDescent="0.25">
      <c r="A120" t="s">
        <v>1454</v>
      </c>
      <c r="B120" t="s">
        <v>1456</v>
      </c>
      <c r="C120" t="s">
        <v>4229</v>
      </c>
      <c r="D120">
        <f>IF('Enemies'!D69&gt;0,'Enemies'!D69,IF(4&lt;'Enemies'!D392,'Enemies'!D400,IF(4&lt;'Enemies'!D408,'Enemies'!D416,1)))</f>
        <v>2</v>
      </c>
      <c r="E120" t="s">
        <v>4212</v>
      </c>
    </row>
    <row r="121" spans="1:5" x14ac:dyDescent="0.25">
      <c r="A121" t="s">
        <v>1454</v>
      </c>
      <c r="B121" t="s">
        <v>1456</v>
      </c>
      <c r="C121" t="s">
        <v>4230</v>
      </c>
      <c r="D121">
        <f>IF('Enemies'!D70&gt;0,'Enemies'!D70,IF(OR(AND(FALSE,4&gt;='Enemies'!D424),AND(FALSE,4&gt;='Enemies'!D432)),'Enemies'!D440,1))</f>
        <v>1</v>
      </c>
      <c r="E121" t="s">
        <v>4214</v>
      </c>
    </row>
    <row r="122" spans="1:5" x14ac:dyDescent="0.25">
      <c r="A122" t="s">
        <v>1454</v>
      </c>
      <c r="B122" t="s">
        <v>1456</v>
      </c>
      <c r="C122" t="s">
        <v>4231</v>
      </c>
      <c r="D122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119/'Enemies'!D544,0)*MAX('Slots'!D38,'Slots'!D39,'Slots'!D40,'Slots'!D41),0)</f>
        <v>16</v>
      </c>
      <c r="E122" t="s">
        <v>4216</v>
      </c>
    </row>
    <row r="123" spans="1:5" x14ac:dyDescent="0.25">
      <c r="A123" t="s">
        <v>1454</v>
      </c>
      <c r="B123" t="s">
        <v>1456</v>
      </c>
      <c r="C123" t="s">
        <v>4232</v>
      </c>
      <c r="D123">
        <f>ROUNDUP(ROUNDUP(('Enemies'!D592+5*'Enemies'!D600+MAX(0,5-'Enemies'!D560)^2*'Enemies'!D608),0)*'Enemies'!D67,0)</f>
        <v>43</v>
      </c>
      <c r="E123" t="s">
        <v>4208</v>
      </c>
    </row>
    <row r="124" spans="1:5" x14ac:dyDescent="0.25">
      <c r="A124" t="s">
        <v>1454</v>
      </c>
      <c r="B124" t="s">
        <v>1456</v>
      </c>
      <c r="C124" t="s">
        <v>4233</v>
      </c>
      <c r="D124">
        <f>MAX(1,ROUNDDOWN((MAX(1,ROUNDDOWN('Enemies'!D344+ROUNDDOWN((5-1)/'Enemies'!D352,0)+0+0,0)))*'Enemies'!D68,0))</f>
        <v>3</v>
      </c>
      <c r="E124" t="s">
        <v>4210</v>
      </c>
    </row>
    <row r="125" spans="1:5" x14ac:dyDescent="0.25">
      <c r="A125" t="s">
        <v>1454</v>
      </c>
      <c r="B125" t="s">
        <v>1456</v>
      </c>
      <c r="C125" t="s">
        <v>4234</v>
      </c>
      <c r="D125">
        <f>IF('Enemies'!D69&gt;0,'Enemies'!D69,IF(5&lt;'Enemies'!D392,'Enemies'!D400,IF(5&lt;'Enemies'!D408,'Enemies'!D416,1)))</f>
        <v>2</v>
      </c>
      <c r="E125" t="s">
        <v>4212</v>
      </c>
    </row>
    <row r="126" spans="1:5" x14ac:dyDescent="0.25">
      <c r="A126" t="s">
        <v>1454</v>
      </c>
      <c r="B126" t="s">
        <v>1456</v>
      </c>
      <c r="C126" t="s">
        <v>4235</v>
      </c>
      <c r="D126">
        <f>IF('Enemies'!D70&gt;0,'Enemies'!D70,IF(OR(AND(FALSE,5&gt;='Enemies'!D424),AND(FALSE,5&gt;='Enemies'!D432)),'Enemies'!D440,1))</f>
        <v>1</v>
      </c>
      <c r="E126" t="s">
        <v>4214</v>
      </c>
    </row>
    <row r="127" spans="1:5" x14ac:dyDescent="0.25">
      <c r="A127" t="s">
        <v>1454</v>
      </c>
      <c r="B127" t="s">
        <v>1456</v>
      </c>
      <c r="C127" t="s">
        <v>4236</v>
      </c>
      <c r="D127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124/'Enemies'!D544,0)*MAX('Slots'!D38,'Slots'!D39,'Slots'!D40,'Slots'!D41),0)</f>
        <v>16</v>
      </c>
      <c r="E127" t="s">
        <v>4216</v>
      </c>
    </row>
    <row r="128" spans="1:5" x14ac:dyDescent="0.25">
      <c r="A128" t="s">
        <v>1454</v>
      </c>
      <c r="B128" t="s">
        <v>1456</v>
      </c>
      <c r="C128" t="s">
        <v>4237</v>
      </c>
      <c r="D128">
        <f>ROUNDUP(ROUNDUP(('Enemies'!D592+6*'Enemies'!D600+MAX(0,6-'Enemies'!D560)^2*'Enemies'!D608),0)*'Enemies'!D67,0)</f>
        <v>51</v>
      </c>
      <c r="E128" t="s">
        <v>4208</v>
      </c>
    </row>
    <row r="129" spans="1:5" x14ac:dyDescent="0.25">
      <c r="A129" t="s">
        <v>1454</v>
      </c>
      <c r="B129" t="s">
        <v>1456</v>
      </c>
      <c r="C129" t="s">
        <v>4238</v>
      </c>
      <c r="D129">
        <f>MAX(1,ROUNDDOWN((MAX(1,ROUNDDOWN('Enemies'!D344+ROUNDDOWN((6-1)/'Enemies'!D352,0)+0+0,0)))*'Enemies'!D68,0))</f>
        <v>3</v>
      </c>
      <c r="E129" t="s">
        <v>4210</v>
      </c>
    </row>
    <row r="130" spans="1:5" x14ac:dyDescent="0.25">
      <c r="A130" t="s">
        <v>1454</v>
      </c>
      <c r="B130" t="s">
        <v>1456</v>
      </c>
      <c r="C130" t="s">
        <v>4239</v>
      </c>
      <c r="D130">
        <f>IF('Enemies'!D69&gt;0,'Enemies'!D69,IF(6&lt;'Enemies'!D392,'Enemies'!D400,IF(6&lt;'Enemies'!D408,'Enemies'!D416,1)))</f>
        <v>2</v>
      </c>
      <c r="E130" t="s">
        <v>4212</v>
      </c>
    </row>
    <row r="131" spans="1:5" x14ac:dyDescent="0.25">
      <c r="A131" t="s">
        <v>1454</v>
      </c>
      <c r="B131" t="s">
        <v>1456</v>
      </c>
      <c r="C131" t="s">
        <v>4240</v>
      </c>
      <c r="D131">
        <f>IF('Enemies'!D70&gt;0,'Enemies'!D70,IF(OR(AND(FALSE,6&gt;='Enemies'!D424),AND(FALSE,6&gt;='Enemies'!D432)),'Enemies'!D440,1))</f>
        <v>1</v>
      </c>
      <c r="E131" t="s">
        <v>4214</v>
      </c>
    </row>
    <row r="132" spans="1:5" x14ac:dyDescent="0.25">
      <c r="A132" t="s">
        <v>1454</v>
      </c>
      <c r="B132" t="s">
        <v>1456</v>
      </c>
      <c r="C132" t="s">
        <v>4241</v>
      </c>
      <c r="D132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129/'Enemies'!D544,0)*MAX('Slots'!D38,'Slots'!D39,'Slots'!D40,'Slots'!D41),0)</f>
        <v>16</v>
      </c>
      <c r="E132" t="s">
        <v>4216</v>
      </c>
    </row>
    <row r="133" spans="1:5" x14ac:dyDescent="0.25">
      <c r="A133" t="s">
        <v>1454</v>
      </c>
      <c r="B133" t="s">
        <v>1456</v>
      </c>
      <c r="C133" t="s">
        <v>4242</v>
      </c>
      <c r="D133">
        <f>ROUNDUP(ROUNDUP(('Enemies'!D592+7*'Enemies'!D600+MAX(0,7-'Enemies'!D560)^2*'Enemies'!D608),0)*'Enemies'!D67,0)</f>
        <v>59</v>
      </c>
      <c r="E133" t="s">
        <v>4208</v>
      </c>
    </row>
    <row r="134" spans="1:5" x14ac:dyDescent="0.25">
      <c r="A134" t="s">
        <v>1454</v>
      </c>
      <c r="B134" t="s">
        <v>1456</v>
      </c>
      <c r="C134" t="s">
        <v>4243</v>
      </c>
      <c r="D134">
        <f>MAX(1,ROUNDDOWN((MAX(1,ROUNDDOWN('Enemies'!D344+ROUNDDOWN((7-1)/'Enemies'!D352,0)+0+0,0)))*'Enemies'!D68,0))</f>
        <v>4</v>
      </c>
      <c r="E134" t="s">
        <v>4210</v>
      </c>
    </row>
    <row r="135" spans="1:5" x14ac:dyDescent="0.25">
      <c r="A135" t="s">
        <v>1454</v>
      </c>
      <c r="B135" t="s">
        <v>1456</v>
      </c>
      <c r="C135" t="s">
        <v>4244</v>
      </c>
      <c r="D135">
        <f>IF('Enemies'!D69&gt;0,'Enemies'!D69,IF(7&lt;'Enemies'!D392,'Enemies'!D400,IF(7&lt;'Enemies'!D408,'Enemies'!D416,1)))</f>
        <v>2</v>
      </c>
      <c r="E135" t="s">
        <v>4212</v>
      </c>
    </row>
    <row r="136" spans="1:5" x14ac:dyDescent="0.25">
      <c r="A136" t="s">
        <v>1454</v>
      </c>
      <c r="B136" t="s">
        <v>1456</v>
      </c>
      <c r="C136" t="s">
        <v>4245</v>
      </c>
      <c r="D136">
        <f>IF('Enemies'!D70&gt;0,'Enemies'!D70,IF(OR(AND(FALSE,7&gt;='Enemies'!D424),AND(FALSE,7&gt;='Enemies'!D432)),'Enemies'!D440,1))</f>
        <v>1</v>
      </c>
      <c r="E136" t="s">
        <v>4214</v>
      </c>
    </row>
    <row r="137" spans="1:5" x14ac:dyDescent="0.25">
      <c r="A137" t="s">
        <v>1454</v>
      </c>
      <c r="B137" t="s">
        <v>1456</v>
      </c>
      <c r="C137" t="s">
        <v>4246</v>
      </c>
      <c r="D137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134/'Enemies'!D544,0)*MAX('Slots'!D38,'Slots'!D39,'Slots'!D40,'Slots'!D41),0)</f>
        <v>24</v>
      </c>
      <c r="E137" t="s">
        <v>4216</v>
      </c>
    </row>
    <row r="138" spans="1:5" x14ac:dyDescent="0.25">
      <c r="A138" t="s">
        <v>1467</v>
      </c>
      <c r="B138" t="s">
        <v>1469</v>
      </c>
      <c r="C138" t="s">
        <v>4247</v>
      </c>
      <c r="D138">
        <f>ROUNDUP(ROUNDUP(('Enemies'!D592+8*'Enemies'!D600+MAX(0,8-'Enemies'!D560)^2*'Enemies'!D608),0)*'Enemies'!D77,0)</f>
        <v>68</v>
      </c>
      <c r="E138" t="s">
        <v>4208</v>
      </c>
    </row>
    <row r="139" spans="1:5" x14ac:dyDescent="0.25">
      <c r="A139" t="s">
        <v>1467</v>
      </c>
      <c r="B139" t="s">
        <v>1469</v>
      </c>
      <c r="C139" t="s">
        <v>4248</v>
      </c>
      <c r="D139">
        <f>MAX(1,ROUNDDOWN((MAX(1,ROUNDDOWN('Enemies'!D344+ROUNDDOWN((8-1)/'Enemies'!D352,0)+0+0,0)))*'Enemies'!D78,0))</f>
        <v>4</v>
      </c>
      <c r="E139" t="s">
        <v>4210</v>
      </c>
    </row>
    <row r="140" spans="1:5" x14ac:dyDescent="0.25">
      <c r="A140" t="s">
        <v>1467</v>
      </c>
      <c r="B140" t="s">
        <v>1469</v>
      </c>
      <c r="C140" t="s">
        <v>4249</v>
      </c>
      <c r="D140">
        <f>IF('Enemies'!D79&gt;0,'Enemies'!D79,IF(8&lt;'Enemies'!D392,'Enemies'!D400,IF(8&lt;'Enemies'!D408,'Enemies'!D416,1)))</f>
        <v>2</v>
      </c>
      <c r="E140" t="s">
        <v>4212</v>
      </c>
    </row>
    <row r="141" spans="1:5" x14ac:dyDescent="0.25">
      <c r="A141" t="s">
        <v>1467</v>
      </c>
      <c r="B141" t="s">
        <v>1469</v>
      </c>
      <c r="C141" t="s">
        <v>4250</v>
      </c>
      <c r="D141">
        <f>IF('Enemies'!D80&gt;0,'Enemies'!D80,IF(OR(AND(FALSE,8&gt;='Enemies'!D424),AND(FALSE,8&gt;='Enemies'!D432)),'Enemies'!D440,1))</f>
        <v>1</v>
      </c>
      <c r="E141" t="s">
        <v>4214</v>
      </c>
    </row>
    <row r="142" spans="1:5" x14ac:dyDescent="0.25">
      <c r="A142" t="s">
        <v>1467</v>
      </c>
      <c r="B142" t="s">
        <v>1469</v>
      </c>
      <c r="C142" t="s">
        <v>4251</v>
      </c>
      <c r="D142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139/'Enemies'!D544,0)*MAX('Slots'!D38,'Slots'!D39,'Slots'!D40,'Slots'!D41),0)</f>
        <v>24</v>
      </c>
      <c r="E142" t="s">
        <v>4216</v>
      </c>
    </row>
    <row r="143" spans="1:5" x14ac:dyDescent="0.25">
      <c r="A143" t="s">
        <v>1467</v>
      </c>
      <c r="B143" t="s">
        <v>1469</v>
      </c>
      <c r="C143" t="s">
        <v>4252</v>
      </c>
      <c r="D143">
        <f>ROUNDUP(ROUNDUP(('Enemies'!D592+9*'Enemies'!D600+MAX(0,9-'Enemies'!D560)^2*'Enemies'!D608),0)*'Enemies'!D77,0)</f>
        <v>78</v>
      </c>
      <c r="E143" t="s">
        <v>4208</v>
      </c>
    </row>
    <row r="144" spans="1:5" x14ac:dyDescent="0.25">
      <c r="A144" t="s">
        <v>1467</v>
      </c>
      <c r="B144" t="s">
        <v>1469</v>
      </c>
      <c r="C144" t="s">
        <v>4253</v>
      </c>
      <c r="D144">
        <f>MAX(1,ROUNDDOWN((MAX(1,ROUNDDOWN('Enemies'!D344+ROUNDDOWN((9-1)/'Enemies'!D352,0)+0+0,0)))*'Enemies'!D78,0))</f>
        <v>4</v>
      </c>
      <c r="E144" t="s">
        <v>4210</v>
      </c>
    </row>
    <row r="145" spans="1:5" x14ac:dyDescent="0.25">
      <c r="A145" t="s">
        <v>1467</v>
      </c>
      <c r="B145" t="s">
        <v>1469</v>
      </c>
      <c r="C145" t="s">
        <v>4254</v>
      </c>
      <c r="D145">
        <f>IF('Enemies'!D79&gt;0,'Enemies'!D79,IF(9&lt;'Enemies'!D392,'Enemies'!D400,IF(9&lt;'Enemies'!D408,'Enemies'!D416,1)))</f>
        <v>1</v>
      </c>
      <c r="E145" t="s">
        <v>4212</v>
      </c>
    </row>
    <row r="146" spans="1:5" x14ac:dyDescent="0.25">
      <c r="A146" t="s">
        <v>1467</v>
      </c>
      <c r="B146" t="s">
        <v>1469</v>
      </c>
      <c r="C146" t="s">
        <v>4255</v>
      </c>
      <c r="D146">
        <f>IF('Enemies'!D80&gt;0,'Enemies'!D80,IF(OR(AND(FALSE,9&gt;='Enemies'!D424),AND(FALSE,9&gt;='Enemies'!D432)),'Enemies'!D440,1))</f>
        <v>1</v>
      </c>
      <c r="E146" t="s">
        <v>4214</v>
      </c>
    </row>
    <row r="147" spans="1:5" x14ac:dyDescent="0.25">
      <c r="A147" t="s">
        <v>1467</v>
      </c>
      <c r="B147" t="s">
        <v>1469</v>
      </c>
      <c r="C147" t="s">
        <v>4256</v>
      </c>
      <c r="D147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144/'Enemies'!D544,0)*MAX('Slots'!D38,'Slots'!D39,'Slots'!D40,'Slots'!D41),0)</f>
        <v>24</v>
      </c>
      <c r="E147" t="s">
        <v>4216</v>
      </c>
    </row>
    <row r="148" spans="1:5" x14ac:dyDescent="0.25">
      <c r="A148" t="s">
        <v>1467</v>
      </c>
      <c r="B148" t="s">
        <v>1469</v>
      </c>
      <c r="C148" t="s">
        <v>4257</v>
      </c>
      <c r="D148">
        <f>ROUNDUP(ROUNDUP(('Enemies'!D592+10*'Enemies'!D600+MAX(0,10-'Enemies'!D560)^2*'Enemies'!D608),0)*'Enemies'!D77,0)</f>
        <v>89</v>
      </c>
      <c r="E148" t="s">
        <v>4208</v>
      </c>
    </row>
    <row r="149" spans="1:5" x14ac:dyDescent="0.25">
      <c r="A149" t="s">
        <v>1467</v>
      </c>
      <c r="B149" t="s">
        <v>1469</v>
      </c>
      <c r="C149" t="s">
        <v>4258</v>
      </c>
      <c r="D149">
        <f>MAX(1,ROUNDDOWN((MAX(1,ROUNDDOWN('Enemies'!D344+ROUNDDOWN((10-1)/'Enemies'!D352,0)+0+0,0)))*'Enemies'!D78,0))</f>
        <v>5</v>
      </c>
      <c r="E149" t="s">
        <v>4210</v>
      </c>
    </row>
    <row r="150" spans="1:5" x14ac:dyDescent="0.25">
      <c r="A150" t="s">
        <v>1467</v>
      </c>
      <c r="B150" t="s">
        <v>1469</v>
      </c>
      <c r="C150" t="s">
        <v>4259</v>
      </c>
      <c r="D150">
        <f>IF('Enemies'!D79&gt;0,'Enemies'!D79,IF(10&lt;'Enemies'!D392,'Enemies'!D400,IF(10&lt;'Enemies'!D408,'Enemies'!D416,1)))</f>
        <v>1</v>
      </c>
      <c r="E150" t="s">
        <v>4212</v>
      </c>
    </row>
    <row r="151" spans="1:5" x14ac:dyDescent="0.25">
      <c r="A151" t="s">
        <v>1467</v>
      </c>
      <c r="B151" t="s">
        <v>1469</v>
      </c>
      <c r="C151" t="s">
        <v>4260</v>
      </c>
      <c r="D151">
        <f>IF('Enemies'!D80&gt;0,'Enemies'!D80,IF(OR(AND(FALSE,10&gt;='Enemies'!D424),AND(FALSE,10&gt;='Enemies'!D432)),'Enemies'!D440,1))</f>
        <v>1</v>
      </c>
      <c r="E151" t="s">
        <v>4214</v>
      </c>
    </row>
    <row r="152" spans="1:5" x14ac:dyDescent="0.25">
      <c r="A152" t="s">
        <v>1467</v>
      </c>
      <c r="B152" t="s">
        <v>1469</v>
      </c>
      <c r="C152" t="s">
        <v>4261</v>
      </c>
      <c r="D152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149/'Enemies'!D544,0)*MAX('Slots'!D38,'Slots'!D39,'Slots'!D40,'Slots'!D41),0)</f>
        <v>28</v>
      </c>
      <c r="E152" t="s">
        <v>4216</v>
      </c>
    </row>
    <row r="153" spans="1:5" x14ac:dyDescent="0.25">
      <c r="A153" t="s">
        <v>1479</v>
      </c>
      <c r="B153" t="s">
        <v>1481</v>
      </c>
      <c r="C153" t="s">
        <v>4247</v>
      </c>
      <c r="D153">
        <f>ROUNDUP(ROUNDUP(('Enemies'!D592+8*'Enemies'!D600+MAX(0,8-'Enemies'!D560)^2*'Enemies'!D608),0)*'Enemies'!D87,0)</f>
        <v>68</v>
      </c>
      <c r="E153" t="s">
        <v>4208</v>
      </c>
    </row>
    <row r="154" spans="1:5" x14ac:dyDescent="0.25">
      <c r="A154" t="s">
        <v>1479</v>
      </c>
      <c r="B154" t="s">
        <v>1481</v>
      </c>
      <c r="C154" t="s">
        <v>4248</v>
      </c>
      <c r="D154">
        <f>MAX(1,ROUNDDOWN((MAX(1,ROUNDDOWN('Enemies'!D344+ROUNDDOWN((8-1)/'Enemies'!D352,0)+0+0,0)))*'Enemies'!D88,0))</f>
        <v>4</v>
      </c>
      <c r="E154" t="s">
        <v>4210</v>
      </c>
    </row>
    <row r="155" spans="1:5" x14ac:dyDescent="0.25">
      <c r="A155" t="s">
        <v>1479</v>
      </c>
      <c r="B155" t="s">
        <v>1481</v>
      </c>
      <c r="C155" t="s">
        <v>4249</v>
      </c>
      <c r="D155">
        <f>IF('Enemies'!D89&gt;0,'Enemies'!D89,IF(8&lt;'Enemies'!D392,'Enemies'!D400,IF(8&lt;'Enemies'!D408,'Enemies'!D416,1)))</f>
        <v>2</v>
      </c>
      <c r="E155" t="s">
        <v>4212</v>
      </c>
    </row>
    <row r="156" spans="1:5" x14ac:dyDescent="0.25">
      <c r="A156" t="s">
        <v>1479</v>
      </c>
      <c r="B156" t="s">
        <v>1481</v>
      </c>
      <c r="C156" t="s">
        <v>4250</v>
      </c>
      <c r="D156">
        <f>IF('Enemies'!D90&gt;0,'Enemies'!D90,IF(OR(AND(FALSE,8&gt;='Enemies'!D424),AND(FALSE,8&gt;='Enemies'!D432)),'Enemies'!D440,1))</f>
        <v>1</v>
      </c>
      <c r="E156" t="s">
        <v>4214</v>
      </c>
    </row>
    <row r="157" spans="1:5" x14ac:dyDescent="0.25">
      <c r="A157" t="s">
        <v>1479</v>
      </c>
      <c r="B157" t="s">
        <v>1481</v>
      </c>
      <c r="C157" t="s">
        <v>4251</v>
      </c>
      <c r="D157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154/'Enemies'!D544,0)*MAX('Slots'!D38,'Slots'!D39,'Slots'!D40,'Slots'!D41),0)</f>
        <v>24</v>
      </c>
      <c r="E157" t="s">
        <v>4216</v>
      </c>
    </row>
    <row r="158" spans="1:5" x14ac:dyDescent="0.25">
      <c r="A158" t="s">
        <v>1479</v>
      </c>
      <c r="B158" t="s">
        <v>1481</v>
      </c>
      <c r="C158" t="s">
        <v>4252</v>
      </c>
      <c r="D158">
        <f>ROUNDUP(ROUNDUP(('Enemies'!D592+9*'Enemies'!D600+MAX(0,9-'Enemies'!D560)^2*'Enemies'!D608),0)*'Enemies'!D87,0)</f>
        <v>78</v>
      </c>
      <c r="E158" t="s">
        <v>4208</v>
      </c>
    </row>
    <row r="159" spans="1:5" x14ac:dyDescent="0.25">
      <c r="A159" t="s">
        <v>1479</v>
      </c>
      <c r="B159" t="s">
        <v>1481</v>
      </c>
      <c r="C159" t="s">
        <v>4253</v>
      </c>
      <c r="D159">
        <f>MAX(1,ROUNDDOWN((MAX(1,ROUNDDOWN('Enemies'!D344+ROUNDDOWN((9-1)/'Enemies'!D352,0)+0+0,0)))*'Enemies'!D88,0))</f>
        <v>4</v>
      </c>
      <c r="E159" t="s">
        <v>4210</v>
      </c>
    </row>
    <row r="160" spans="1:5" x14ac:dyDescent="0.25">
      <c r="A160" t="s">
        <v>1479</v>
      </c>
      <c r="B160" t="s">
        <v>1481</v>
      </c>
      <c r="C160" t="s">
        <v>4254</v>
      </c>
      <c r="D160">
        <f>IF('Enemies'!D89&gt;0,'Enemies'!D89,IF(9&lt;'Enemies'!D392,'Enemies'!D400,IF(9&lt;'Enemies'!D408,'Enemies'!D416,1)))</f>
        <v>1</v>
      </c>
      <c r="E160" t="s">
        <v>4212</v>
      </c>
    </row>
    <row r="161" spans="1:5" x14ac:dyDescent="0.25">
      <c r="A161" t="s">
        <v>1479</v>
      </c>
      <c r="B161" t="s">
        <v>1481</v>
      </c>
      <c r="C161" t="s">
        <v>4255</v>
      </c>
      <c r="D161">
        <f>IF('Enemies'!D90&gt;0,'Enemies'!D90,IF(OR(AND(FALSE,9&gt;='Enemies'!D424),AND(FALSE,9&gt;='Enemies'!D432)),'Enemies'!D440,1))</f>
        <v>1</v>
      </c>
      <c r="E161" t="s">
        <v>4214</v>
      </c>
    </row>
    <row r="162" spans="1:5" x14ac:dyDescent="0.25">
      <c r="A162" t="s">
        <v>1479</v>
      </c>
      <c r="B162" t="s">
        <v>1481</v>
      </c>
      <c r="C162" t="s">
        <v>4256</v>
      </c>
      <c r="D162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159/'Enemies'!D544,0)*MAX('Slots'!D38,'Slots'!D39,'Slots'!D40,'Slots'!D41),0)</f>
        <v>24</v>
      </c>
      <c r="E162" t="s">
        <v>4216</v>
      </c>
    </row>
    <row r="163" spans="1:5" x14ac:dyDescent="0.25">
      <c r="A163" t="s">
        <v>1479</v>
      </c>
      <c r="B163" t="s">
        <v>1481</v>
      </c>
      <c r="C163" t="s">
        <v>4257</v>
      </c>
      <c r="D163">
        <f>ROUNDUP(ROUNDUP(('Enemies'!D592+10*'Enemies'!D600+MAX(0,10-'Enemies'!D560)^2*'Enemies'!D608),0)*'Enemies'!D87,0)</f>
        <v>89</v>
      </c>
      <c r="E163" t="s">
        <v>4208</v>
      </c>
    </row>
    <row r="164" spans="1:5" x14ac:dyDescent="0.25">
      <c r="A164" t="s">
        <v>1479</v>
      </c>
      <c r="B164" t="s">
        <v>1481</v>
      </c>
      <c r="C164" t="s">
        <v>4258</v>
      </c>
      <c r="D164">
        <f>MAX(1,ROUNDDOWN((MAX(1,ROUNDDOWN('Enemies'!D344+ROUNDDOWN((10-1)/'Enemies'!D352,0)+0+0,0)))*'Enemies'!D88,0))</f>
        <v>5</v>
      </c>
      <c r="E164" t="s">
        <v>4210</v>
      </c>
    </row>
    <row r="165" spans="1:5" x14ac:dyDescent="0.25">
      <c r="A165" t="s">
        <v>1479</v>
      </c>
      <c r="B165" t="s">
        <v>1481</v>
      </c>
      <c r="C165" t="s">
        <v>4259</v>
      </c>
      <c r="D165">
        <f>IF('Enemies'!D89&gt;0,'Enemies'!D89,IF(10&lt;'Enemies'!D392,'Enemies'!D400,IF(10&lt;'Enemies'!D408,'Enemies'!D416,1)))</f>
        <v>1</v>
      </c>
      <c r="E165" t="s">
        <v>4212</v>
      </c>
    </row>
    <row r="166" spans="1:5" x14ac:dyDescent="0.25">
      <c r="A166" t="s">
        <v>1479</v>
      </c>
      <c r="B166" t="s">
        <v>1481</v>
      </c>
      <c r="C166" t="s">
        <v>4260</v>
      </c>
      <c r="D166">
        <f>IF('Enemies'!D90&gt;0,'Enemies'!D90,IF(OR(AND(FALSE,10&gt;='Enemies'!D424),AND(FALSE,10&gt;='Enemies'!D432)),'Enemies'!D440,1))</f>
        <v>1</v>
      </c>
      <c r="E166" t="s">
        <v>4214</v>
      </c>
    </row>
    <row r="167" spans="1:5" x14ac:dyDescent="0.25">
      <c r="A167" t="s">
        <v>1479</v>
      </c>
      <c r="B167" t="s">
        <v>1481</v>
      </c>
      <c r="C167" t="s">
        <v>4261</v>
      </c>
      <c r="D167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164/'Enemies'!D544,0)*MAX('Slots'!D38,'Slots'!D39,'Slots'!D40,'Slots'!D41),0)</f>
        <v>28</v>
      </c>
      <c r="E167" t="s">
        <v>4216</v>
      </c>
    </row>
    <row r="168" spans="1:5" x14ac:dyDescent="0.25">
      <c r="A168" t="s">
        <v>1491</v>
      </c>
      <c r="B168" t="s">
        <v>1493</v>
      </c>
      <c r="C168" t="s">
        <v>4247</v>
      </c>
      <c r="D168">
        <f>ROUNDUP(ROUNDUP(('Enemies'!D592+8*'Enemies'!D600+MAX(0,8-'Enemies'!D560)^2*'Enemies'!D608),0)*'Enemies'!D97,0)</f>
        <v>68</v>
      </c>
      <c r="E168" t="s">
        <v>4208</v>
      </c>
    </row>
    <row r="169" spans="1:5" x14ac:dyDescent="0.25">
      <c r="A169" t="s">
        <v>1491</v>
      </c>
      <c r="B169" t="s">
        <v>1493</v>
      </c>
      <c r="C169" t="s">
        <v>4248</v>
      </c>
      <c r="D169">
        <f>MAX(1,ROUNDDOWN((MAX(1,ROUNDDOWN('Enemies'!D344+ROUNDDOWN((8-1)/'Enemies'!D352,0)+0+0,0)))*'Enemies'!D98,0))</f>
        <v>4</v>
      </c>
      <c r="E169" t="s">
        <v>4210</v>
      </c>
    </row>
    <row r="170" spans="1:5" x14ac:dyDescent="0.25">
      <c r="A170" t="s">
        <v>1491</v>
      </c>
      <c r="B170" t="s">
        <v>1493</v>
      </c>
      <c r="C170" t="s">
        <v>4249</v>
      </c>
      <c r="D170">
        <f>IF('Enemies'!D99&gt;0,'Enemies'!D99,IF(8&lt;'Enemies'!D392,'Enemies'!D400,IF(8&lt;'Enemies'!D408,'Enemies'!D416,1)))</f>
        <v>2</v>
      </c>
      <c r="E170" t="s">
        <v>4212</v>
      </c>
    </row>
    <row r="171" spans="1:5" x14ac:dyDescent="0.25">
      <c r="A171" t="s">
        <v>1491</v>
      </c>
      <c r="B171" t="s">
        <v>1493</v>
      </c>
      <c r="C171" t="s">
        <v>4250</v>
      </c>
      <c r="D171">
        <f>IF('Enemies'!D100&gt;0,'Enemies'!D100,IF(OR(AND(FALSE,8&gt;='Enemies'!D424),AND(FALSE,8&gt;='Enemies'!D432)),'Enemies'!D440,1))</f>
        <v>1</v>
      </c>
      <c r="E171" t="s">
        <v>4214</v>
      </c>
    </row>
    <row r="172" spans="1:5" x14ac:dyDescent="0.25">
      <c r="A172" t="s">
        <v>1491</v>
      </c>
      <c r="B172" t="s">
        <v>1493</v>
      </c>
      <c r="C172" t="s">
        <v>4251</v>
      </c>
      <c r="D17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169/'Enemies'!D544,0)*MAX('Slots'!D38,'Slots'!D39,'Slots'!D40,'Slots'!D41),0)</f>
        <v>12</v>
      </c>
      <c r="E172" t="s">
        <v>4216</v>
      </c>
    </row>
    <row r="173" spans="1:5" x14ac:dyDescent="0.25">
      <c r="A173" t="s">
        <v>1491</v>
      </c>
      <c r="B173" t="s">
        <v>1493</v>
      </c>
      <c r="C173" t="s">
        <v>4252</v>
      </c>
      <c r="D173">
        <f>ROUNDUP(ROUNDUP(('Enemies'!D592+9*'Enemies'!D600+MAX(0,9-'Enemies'!D560)^2*'Enemies'!D608),0)*'Enemies'!D97,0)</f>
        <v>78</v>
      </c>
      <c r="E173" t="s">
        <v>4208</v>
      </c>
    </row>
    <row r="174" spans="1:5" x14ac:dyDescent="0.25">
      <c r="A174" t="s">
        <v>1491</v>
      </c>
      <c r="B174" t="s">
        <v>1493</v>
      </c>
      <c r="C174" t="s">
        <v>4253</v>
      </c>
      <c r="D174">
        <f>MAX(1,ROUNDDOWN((MAX(1,ROUNDDOWN('Enemies'!D344+ROUNDDOWN((9-1)/'Enemies'!D352,0)+0+0,0)))*'Enemies'!D98,0))</f>
        <v>4</v>
      </c>
      <c r="E174" t="s">
        <v>4210</v>
      </c>
    </row>
    <row r="175" spans="1:5" x14ac:dyDescent="0.25">
      <c r="A175" t="s">
        <v>1491</v>
      </c>
      <c r="B175" t="s">
        <v>1493</v>
      </c>
      <c r="C175" t="s">
        <v>4254</v>
      </c>
      <c r="D175">
        <f>IF('Enemies'!D99&gt;0,'Enemies'!D99,IF(9&lt;'Enemies'!D392,'Enemies'!D400,IF(9&lt;'Enemies'!D408,'Enemies'!D416,1)))</f>
        <v>1</v>
      </c>
      <c r="E175" t="s">
        <v>4212</v>
      </c>
    </row>
    <row r="176" spans="1:5" x14ac:dyDescent="0.25">
      <c r="A176" t="s">
        <v>1491</v>
      </c>
      <c r="B176" t="s">
        <v>1493</v>
      </c>
      <c r="C176" t="s">
        <v>4255</v>
      </c>
      <c r="D176">
        <f>IF('Enemies'!D100&gt;0,'Enemies'!D100,IF(OR(AND(FALSE,9&gt;='Enemies'!D424),AND(FALSE,9&gt;='Enemies'!D432)),'Enemies'!D440,1))</f>
        <v>1</v>
      </c>
      <c r="E176" t="s">
        <v>4214</v>
      </c>
    </row>
    <row r="177" spans="1:5" x14ac:dyDescent="0.25">
      <c r="A177" t="s">
        <v>1491</v>
      </c>
      <c r="B177" t="s">
        <v>1493</v>
      </c>
      <c r="C177" t="s">
        <v>4256</v>
      </c>
      <c r="D17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174/'Enemies'!D544,0)*MAX('Slots'!D38,'Slots'!D39,'Slots'!D40,'Slots'!D41),0)</f>
        <v>12</v>
      </c>
      <c r="E177" t="s">
        <v>4216</v>
      </c>
    </row>
    <row r="178" spans="1:5" x14ac:dyDescent="0.25">
      <c r="A178" t="s">
        <v>1491</v>
      </c>
      <c r="B178" t="s">
        <v>1493</v>
      </c>
      <c r="C178" t="s">
        <v>4257</v>
      </c>
      <c r="D178">
        <f>ROUNDUP(ROUNDUP(('Enemies'!D592+10*'Enemies'!D600+MAX(0,10-'Enemies'!D560)^2*'Enemies'!D608),0)*'Enemies'!D97,0)</f>
        <v>89</v>
      </c>
      <c r="E178" t="s">
        <v>4208</v>
      </c>
    </row>
    <row r="179" spans="1:5" x14ac:dyDescent="0.25">
      <c r="A179" t="s">
        <v>1491</v>
      </c>
      <c r="B179" t="s">
        <v>1493</v>
      </c>
      <c r="C179" t="s">
        <v>4258</v>
      </c>
      <c r="D179">
        <f>MAX(1,ROUNDDOWN((MAX(1,ROUNDDOWN('Enemies'!D344+ROUNDDOWN((10-1)/'Enemies'!D352,0)+0+0,0)))*'Enemies'!D98,0))</f>
        <v>5</v>
      </c>
      <c r="E179" t="s">
        <v>4210</v>
      </c>
    </row>
    <row r="180" spans="1:5" x14ac:dyDescent="0.25">
      <c r="A180" t="s">
        <v>1491</v>
      </c>
      <c r="B180" t="s">
        <v>1493</v>
      </c>
      <c r="C180" t="s">
        <v>4259</v>
      </c>
      <c r="D180">
        <f>IF('Enemies'!D99&gt;0,'Enemies'!D99,IF(10&lt;'Enemies'!D392,'Enemies'!D400,IF(10&lt;'Enemies'!D408,'Enemies'!D416,1)))</f>
        <v>1</v>
      </c>
      <c r="E180" t="s">
        <v>4212</v>
      </c>
    </row>
    <row r="181" spans="1:5" x14ac:dyDescent="0.25">
      <c r="A181" t="s">
        <v>1491</v>
      </c>
      <c r="B181" t="s">
        <v>1493</v>
      </c>
      <c r="C181" t="s">
        <v>4260</v>
      </c>
      <c r="D181">
        <f>IF('Enemies'!D100&gt;0,'Enemies'!D100,IF(OR(AND(FALSE,10&gt;='Enemies'!D424),AND(FALSE,10&gt;='Enemies'!D432)),'Enemies'!D440,1))</f>
        <v>1</v>
      </c>
      <c r="E181" t="s">
        <v>4214</v>
      </c>
    </row>
    <row r="182" spans="1:5" x14ac:dyDescent="0.25">
      <c r="A182" t="s">
        <v>1491</v>
      </c>
      <c r="B182" t="s">
        <v>1493</v>
      </c>
      <c r="C182" t="s">
        <v>4261</v>
      </c>
      <c r="D18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179/'Enemies'!D544,0)*MAX('Slots'!D38,'Slots'!D39,'Slots'!D40,'Slots'!D41),0)</f>
        <v>16</v>
      </c>
      <c r="E182" t="s">
        <v>4216</v>
      </c>
    </row>
    <row r="183" spans="1:5" x14ac:dyDescent="0.25">
      <c r="A183" t="s">
        <v>1504</v>
      </c>
      <c r="B183" t="s">
        <v>1506</v>
      </c>
      <c r="C183" t="s">
        <v>4207</v>
      </c>
      <c r="D183">
        <f>ROUNDUP(ROUNDUP(('Enemies'!D592+1*'Enemies'!D600+MAX(0,1-'Enemies'!D560)^2*'Enemies'!D608),0)*'Enemies'!D107,0)</f>
        <v>21</v>
      </c>
      <c r="E183" t="s">
        <v>4208</v>
      </c>
    </row>
    <row r="184" spans="1:5" x14ac:dyDescent="0.25">
      <c r="A184" t="s">
        <v>1504</v>
      </c>
      <c r="B184" t="s">
        <v>1506</v>
      </c>
      <c r="C184" t="s">
        <v>4209</v>
      </c>
      <c r="D184">
        <f>MAX(1,ROUNDDOWN((MAX(1,ROUNDDOWN('Enemies'!D344+ROUNDDOWN((1-1)/'Enemies'!D352,0)+0+0,0)))*'Enemies'!D108,0))</f>
        <v>2</v>
      </c>
      <c r="E184" t="s">
        <v>4210</v>
      </c>
    </row>
    <row r="185" spans="1:5" x14ac:dyDescent="0.25">
      <c r="A185" t="s">
        <v>1504</v>
      </c>
      <c r="B185" t="s">
        <v>1506</v>
      </c>
      <c r="C185" t="s">
        <v>4211</v>
      </c>
      <c r="D185">
        <f>IF('Enemies'!D109&gt;0,'Enemies'!D109,IF(1&lt;'Enemies'!D392,'Enemies'!D400,IF(1&lt;'Enemies'!D408,'Enemies'!D416,1)))</f>
        <v>3</v>
      </c>
      <c r="E185" t="s">
        <v>4212</v>
      </c>
    </row>
    <row r="186" spans="1:5" x14ac:dyDescent="0.25">
      <c r="A186" t="s">
        <v>1504</v>
      </c>
      <c r="B186" t="s">
        <v>1506</v>
      </c>
      <c r="C186" t="s">
        <v>4213</v>
      </c>
      <c r="D186">
        <f>IF('Enemies'!D110&gt;0,'Enemies'!D110,IF(OR(AND(FALSE,1&gt;='Enemies'!D424),AND(FALSE,1&gt;='Enemies'!D432)),'Enemies'!D440,1))</f>
        <v>1</v>
      </c>
      <c r="E186" t="s">
        <v>4214</v>
      </c>
    </row>
    <row r="187" spans="1:5" x14ac:dyDescent="0.25">
      <c r="A187" t="s">
        <v>1504</v>
      </c>
      <c r="B187" t="s">
        <v>1506</v>
      </c>
      <c r="C187" t="s">
        <v>4215</v>
      </c>
      <c r="D187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184/'Enemies'!D544,0)*MAX('Slots'!D38,'Slots'!D39,'Slots'!D40,'Slots'!D41),0)</f>
        <v>12</v>
      </c>
      <c r="E187" t="s">
        <v>4216</v>
      </c>
    </row>
    <row r="188" spans="1:5" x14ac:dyDescent="0.25">
      <c r="A188" t="s">
        <v>1504</v>
      </c>
      <c r="B188" t="s">
        <v>1506</v>
      </c>
      <c r="C188" t="s">
        <v>4217</v>
      </c>
      <c r="D188">
        <f>ROUNDUP(ROUNDUP(('Enemies'!D592+2*'Enemies'!D600+MAX(0,2-'Enemies'!D560)^2*'Enemies'!D608),0)*'Enemies'!D107,0)</f>
        <v>26</v>
      </c>
      <c r="E188" t="s">
        <v>4208</v>
      </c>
    </row>
    <row r="189" spans="1:5" x14ac:dyDescent="0.25">
      <c r="A189" t="s">
        <v>1504</v>
      </c>
      <c r="B189" t="s">
        <v>1506</v>
      </c>
      <c r="C189" t="s">
        <v>4218</v>
      </c>
      <c r="D189">
        <f>MAX(1,ROUNDDOWN((MAX(1,ROUNDDOWN('Enemies'!D344+ROUNDDOWN((2-1)/'Enemies'!D352,0)+0+0,0)))*'Enemies'!D108,0))</f>
        <v>2</v>
      </c>
      <c r="E189" t="s">
        <v>4210</v>
      </c>
    </row>
    <row r="190" spans="1:5" x14ac:dyDescent="0.25">
      <c r="A190" t="s">
        <v>1504</v>
      </c>
      <c r="B190" t="s">
        <v>1506</v>
      </c>
      <c r="C190" t="s">
        <v>4219</v>
      </c>
      <c r="D190">
        <f>IF('Enemies'!D109&gt;0,'Enemies'!D109,IF(2&lt;'Enemies'!D392,'Enemies'!D400,IF(2&lt;'Enemies'!D408,'Enemies'!D416,1)))</f>
        <v>3</v>
      </c>
      <c r="E190" t="s">
        <v>4212</v>
      </c>
    </row>
    <row r="191" spans="1:5" x14ac:dyDescent="0.25">
      <c r="A191" t="s">
        <v>1504</v>
      </c>
      <c r="B191" t="s">
        <v>1506</v>
      </c>
      <c r="C191" t="s">
        <v>4220</v>
      </c>
      <c r="D191">
        <f>IF('Enemies'!D110&gt;0,'Enemies'!D110,IF(OR(AND(FALSE,2&gt;='Enemies'!D424),AND(FALSE,2&gt;='Enemies'!D432)),'Enemies'!D440,1))</f>
        <v>1</v>
      </c>
      <c r="E191" t="s">
        <v>4214</v>
      </c>
    </row>
    <row r="192" spans="1:5" x14ac:dyDescent="0.25">
      <c r="A192" t="s">
        <v>1504</v>
      </c>
      <c r="B192" t="s">
        <v>1506</v>
      </c>
      <c r="C192" t="s">
        <v>4221</v>
      </c>
      <c r="D192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189/'Enemies'!D544,0)*MAX('Slots'!D38,'Slots'!D39,'Slots'!D40,'Slots'!D41),0)</f>
        <v>12</v>
      </c>
      <c r="E192" t="s">
        <v>4216</v>
      </c>
    </row>
    <row r="193" spans="1:5" x14ac:dyDescent="0.25">
      <c r="A193" t="s">
        <v>1517</v>
      </c>
      <c r="B193" t="s">
        <v>1519</v>
      </c>
      <c r="C193" t="s">
        <v>4222</v>
      </c>
      <c r="D193">
        <f>ROUNDUP(ROUNDUP(('Enemies'!D592+3*'Enemies'!D600+MAX(0,3-'Enemies'!D560)^2*'Enemies'!D608),0)*'Enemies'!D117,0)</f>
        <v>31</v>
      </c>
      <c r="E193" t="s">
        <v>4208</v>
      </c>
    </row>
    <row r="194" spans="1:5" x14ac:dyDescent="0.25">
      <c r="A194" t="s">
        <v>1517</v>
      </c>
      <c r="B194" t="s">
        <v>1519</v>
      </c>
      <c r="C194" t="s">
        <v>4223</v>
      </c>
      <c r="D194">
        <f>MAX(1,ROUNDDOWN((MAX(1,ROUNDDOWN('Enemies'!D344+ROUNDDOWN((3-1)/'Enemies'!D352,0)+0+0,0)))*'Enemies'!D118,0))</f>
        <v>2</v>
      </c>
      <c r="E194" t="s">
        <v>4210</v>
      </c>
    </row>
    <row r="195" spans="1:5" x14ac:dyDescent="0.25">
      <c r="A195" t="s">
        <v>1517</v>
      </c>
      <c r="B195" t="s">
        <v>1519</v>
      </c>
      <c r="C195" t="s">
        <v>4224</v>
      </c>
      <c r="D195">
        <f>IF('Enemies'!D119&gt;0,'Enemies'!D119,IF(3&lt;'Enemies'!D392,'Enemies'!D400,IF(3&lt;'Enemies'!D408,'Enemies'!D416,1)))</f>
        <v>2</v>
      </c>
      <c r="E195" t="s">
        <v>4212</v>
      </c>
    </row>
    <row r="196" spans="1:5" x14ac:dyDescent="0.25">
      <c r="A196" t="s">
        <v>1517</v>
      </c>
      <c r="B196" t="s">
        <v>1519</v>
      </c>
      <c r="C196" t="s">
        <v>4225</v>
      </c>
      <c r="D196">
        <f>IF('Enemies'!D120&gt;0,'Enemies'!D120,IF(OR(AND(FALSE,3&gt;='Enemies'!D424),AND(FALSE,3&gt;='Enemies'!D432)),'Enemies'!D440,1))</f>
        <v>1</v>
      </c>
      <c r="E196" t="s">
        <v>4214</v>
      </c>
    </row>
    <row r="197" spans="1:5" x14ac:dyDescent="0.25">
      <c r="A197" t="s">
        <v>1517</v>
      </c>
      <c r="B197" t="s">
        <v>1519</v>
      </c>
      <c r="C197" t="s">
        <v>4226</v>
      </c>
      <c r="D19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194/'Enemies'!D544,0)*MAX('Slots'!D38,'Slots'!D39,'Slots'!D40,'Slots'!D41),0)</f>
        <v>12</v>
      </c>
      <c r="E197" t="s">
        <v>4216</v>
      </c>
    </row>
    <row r="198" spans="1:5" x14ac:dyDescent="0.25">
      <c r="A198" t="s">
        <v>1517</v>
      </c>
      <c r="B198" t="s">
        <v>1519</v>
      </c>
      <c r="C198" t="s">
        <v>4227</v>
      </c>
      <c r="D198">
        <f>ROUNDUP(ROUNDUP(('Enemies'!D592+4*'Enemies'!D600+MAX(0,4-'Enemies'!D560)^2*'Enemies'!D608),0)*'Enemies'!D117,0)</f>
        <v>37</v>
      </c>
      <c r="E198" t="s">
        <v>4208</v>
      </c>
    </row>
    <row r="199" spans="1:5" x14ac:dyDescent="0.25">
      <c r="A199" t="s">
        <v>1517</v>
      </c>
      <c r="B199" t="s">
        <v>1519</v>
      </c>
      <c r="C199" t="s">
        <v>4228</v>
      </c>
      <c r="D199">
        <f>MAX(1,ROUNDDOWN((MAX(1,ROUNDDOWN('Enemies'!D344+ROUNDDOWN((4-1)/'Enemies'!D352,0)+0+0,0)))*'Enemies'!D118,0))</f>
        <v>3</v>
      </c>
      <c r="E199" t="s">
        <v>4210</v>
      </c>
    </row>
    <row r="200" spans="1:5" x14ac:dyDescent="0.25">
      <c r="A200" t="s">
        <v>1517</v>
      </c>
      <c r="B200" t="s">
        <v>1519</v>
      </c>
      <c r="C200" t="s">
        <v>4229</v>
      </c>
      <c r="D200">
        <f>IF('Enemies'!D119&gt;0,'Enemies'!D119,IF(4&lt;'Enemies'!D392,'Enemies'!D400,IF(4&lt;'Enemies'!D408,'Enemies'!D416,1)))</f>
        <v>2</v>
      </c>
      <c r="E200" t="s">
        <v>4212</v>
      </c>
    </row>
    <row r="201" spans="1:5" x14ac:dyDescent="0.25">
      <c r="A201" t="s">
        <v>1517</v>
      </c>
      <c r="B201" t="s">
        <v>1519</v>
      </c>
      <c r="C201" t="s">
        <v>4230</v>
      </c>
      <c r="D201">
        <f>IF('Enemies'!D120&gt;0,'Enemies'!D120,IF(OR(AND(FALSE,4&gt;='Enemies'!D424),AND(FALSE,4&gt;='Enemies'!D432)),'Enemies'!D440,1))</f>
        <v>1</v>
      </c>
      <c r="E201" t="s">
        <v>4214</v>
      </c>
    </row>
    <row r="202" spans="1:5" x14ac:dyDescent="0.25">
      <c r="A202" t="s">
        <v>1517</v>
      </c>
      <c r="B202" t="s">
        <v>1519</v>
      </c>
      <c r="C202" t="s">
        <v>4231</v>
      </c>
      <c r="D20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199/'Enemies'!D544,0)*MAX('Slots'!D38,'Slots'!D39,'Slots'!D40,'Slots'!D41),0)</f>
        <v>16</v>
      </c>
      <c r="E202" t="s">
        <v>4216</v>
      </c>
    </row>
    <row r="203" spans="1:5" x14ac:dyDescent="0.25">
      <c r="A203" t="s">
        <v>1530</v>
      </c>
      <c r="B203" t="s">
        <v>1532</v>
      </c>
      <c r="C203" t="s">
        <v>4232</v>
      </c>
      <c r="D203">
        <f>ROUNDUP(ROUNDUP(('Enemies'!D592+5*'Enemies'!D600+MAX(0,5-'Enemies'!D560)^2*'Enemies'!D608),0)*'Enemies'!D127,0)</f>
        <v>43</v>
      </c>
      <c r="E203" t="s">
        <v>4208</v>
      </c>
    </row>
    <row r="204" spans="1:5" x14ac:dyDescent="0.25">
      <c r="A204" t="s">
        <v>1530</v>
      </c>
      <c r="B204" t="s">
        <v>1532</v>
      </c>
      <c r="C204" t="s">
        <v>4233</v>
      </c>
      <c r="D204">
        <f>MAX(1,ROUNDDOWN((MAX(1,ROUNDDOWN('Enemies'!D344+ROUNDDOWN((5-1)/'Enemies'!D352,0)+0+0,0)))*'Enemies'!D128,0))</f>
        <v>3</v>
      </c>
      <c r="E204" t="s">
        <v>4210</v>
      </c>
    </row>
    <row r="205" spans="1:5" x14ac:dyDescent="0.25">
      <c r="A205" t="s">
        <v>1530</v>
      </c>
      <c r="B205" t="s">
        <v>1532</v>
      </c>
      <c r="C205" t="s">
        <v>4234</v>
      </c>
      <c r="D205">
        <f>IF('Enemies'!D129&gt;0,'Enemies'!D129,IF(5&lt;'Enemies'!D392,'Enemies'!D400,IF(5&lt;'Enemies'!D408,'Enemies'!D416,1)))</f>
        <v>2</v>
      </c>
      <c r="E205" t="s">
        <v>4212</v>
      </c>
    </row>
    <row r="206" spans="1:5" x14ac:dyDescent="0.25">
      <c r="A206" t="s">
        <v>1530</v>
      </c>
      <c r="B206" t="s">
        <v>1532</v>
      </c>
      <c r="C206" t="s">
        <v>4235</v>
      </c>
      <c r="D206">
        <f>IF('Enemies'!D130&gt;0,'Enemies'!D130,IF(OR(AND(FALSE,5&gt;='Enemies'!D424),AND(FALSE,5&gt;='Enemies'!D432)),'Enemies'!D440,1))</f>
        <v>1</v>
      </c>
      <c r="E206" t="s">
        <v>4214</v>
      </c>
    </row>
    <row r="207" spans="1:5" x14ac:dyDescent="0.25">
      <c r="A207" t="s">
        <v>1530</v>
      </c>
      <c r="B207" t="s">
        <v>1532</v>
      </c>
      <c r="C207" t="s">
        <v>4236</v>
      </c>
      <c r="D207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204/'Enemies'!D544,0)*MAX('Slots'!D38,'Slots'!D39,'Slots'!D40,'Slots'!D41),0)</f>
        <v>16</v>
      </c>
      <c r="E207" t="s">
        <v>4216</v>
      </c>
    </row>
    <row r="208" spans="1:5" x14ac:dyDescent="0.25">
      <c r="A208" t="s">
        <v>1530</v>
      </c>
      <c r="B208" t="s">
        <v>1532</v>
      </c>
      <c r="C208" t="s">
        <v>4237</v>
      </c>
      <c r="D208">
        <f>ROUNDUP(ROUNDUP(('Enemies'!D592+6*'Enemies'!D600+MAX(0,6-'Enemies'!D560)^2*'Enemies'!D608),0)*'Enemies'!D127,0)</f>
        <v>51</v>
      </c>
      <c r="E208" t="s">
        <v>4208</v>
      </c>
    </row>
    <row r="209" spans="1:5" x14ac:dyDescent="0.25">
      <c r="A209" t="s">
        <v>1530</v>
      </c>
      <c r="B209" t="s">
        <v>1532</v>
      </c>
      <c r="C209" t="s">
        <v>4238</v>
      </c>
      <c r="D209">
        <f>MAX(1,ROUNDDOWN((MAX(1,ROUNDDOWN('Enemies'!D344+ROUNDDOWN((6-1)/'Enemies'!D352,0)+0+0,0)))*'Enemies'!D128,0))</f>
        <v>3</v>
      </c>
      <c r="E209" t="s">
        <v>4210</v>
      </c>
    </row>
    <row r="210" spans="1:5" x14ac:dyDescent="0.25">
      <c r="A210" t="s">
        <v>1530</v>
      </c>
      <c r="B210" t="s">
        <v>1532</v>
      </c>
      <c r="C210" t="s">
        <v>4239</v>
      </c>
      <c r="D210">
        <f>IF('Enemies'!D129&gt;0,'Enemies'!D129,IF(6&lt;'Enemies'!D392,'Enemies'!D400,IF(6&lt;'Enemies'!D408,'Enemies'!D416,1)))</f>
        <v>2</v>
      </c>
      <c r="E210" t="s">
        <v>4212</v>
      </c>
    </row>
    <row r="211" spans="1:5" x14ac:dyDescent="0.25">
      <c r="A211" t="s">
        <v>1530</v>
      </c>
      <c r="B211" t="s">
        <v>1532</v>
      </c>
      <c r="C211" t="s">
        <v>4240</v>
      </c>
      <c r="D211">
        <f>IF('Enemies'!D130&gt;0,'Enemies'!D130,IF(OR(AND(FALSE,6&gt;='Enemies'!D424),AND(FALSE,6&gt;='Enemies'!D432)),'Enemies'!D440,1))</f>
        <v>1</v>
      </c>
      <c r="E211" t="s">
        <v>4214</v>
      </c>
    </row>
    <row r="212" spans="1:5" x14ac:dyDescent="0.25">
      <c r="A212" t="s">
        <v>1530</v>
      </c>
      <c r="B212" t="s">
        <v>1532</v>
      </c>
      <c r="C212" t="s">
        <v>4241</v>
      </c>
      <c r="D212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209/'Enemies'!D544,0)*MAX('Slots'!D38,'Slots'!D39,'Slots'!D40,'Slots'!D41),0)</f>
        <v>16</v>
      </c>
      <c r="E212" t="s">
        <v>4216</v>
      </c>
    </row>
    <row r="213" spans="1:5" x14ac:dyDescent="0.25">
      <c r="A213" t="s">
        <v>1543</v>
      </c>
      <c r="B213" t="s">
        <v>1545</v>
      </c>
      <c r="C213" t="s">
        <v>4242</v>
      </c>
      <c r="D213">
        <f>ROUNDUP(ROUNDUP(('Enemies'!D592+7*'Enemies'!D600+MAX(0,7-'Enemies'!D560)^2*'Enemies'!D608),0)*'Enemies'!D137,0)</f>
        <v>59</v>
      </c>
      <c r="E213" t="s">
        <v>4208</v>
      </c>
    </row>
    <row r="214" spans="1:5" x14ac:dyDescent="0.25">
      <c r="A214" t="s">
        <v>1543</v>
      </c>
      <c r="B214" t="s">
        <v>1545</v>
      </c>
      <c r="C214" t="s">
        <v>4243</v>
      </c>
      <c r="D214">
        <f>MAX(1,ROUNDDOWN((MAX(1,ROUNDDOWN('Enemies'!D344+ROUNDDOWN((7-1)/'Enemies'!D352,0)+0+0,0)))*'Enemies'!D138,0))</f>
        <v>4</v>
      </c>
      <c r="E214" t="s">
        <v>4210</v>
      </c>
    </row>
    <row r="215" spans="1:5" x14ac:dyDescent="0.25">
      <c r="A215" t="s">
        <v>1543</v>
      </c>
      <c r="B215" t="s">
        <v>1545</v>
      </c>
      <c r="C215" t="s">
        <v>4244</v>
      </c>
      <c r="D215">
        <f>IF('Enemies'!D139&gt;0,'Enemies'!D139,IF(7&lt;'Enemies'!D392,'Enemies'!D400,IF(7&lt;'Enemies'!D408,'Enemies'!D416,1)))</f>
        <v>2</v>
      </c>
      <c r="E215" t="s">
        <v>4212</v>
      </c>
    </row>
    <row r="216" spans="1:5" x14ac:dyDescent="0.25">
      <c r="A216" t="s">
        <v>1543</v>
      </c>
      <c r="B216" t="s">
        <v>1545</v>
      </c>
      <c r="C216" t="s">
        <v>4245</v>
      </c>
      <c r="D216">
        <f>IF('Enemies'!D140&gt;0,'Enemies'!D140,IF(OR(AND(FALSE,7&gt;='Enemies'!D424),AND(FALSE,7&gt;='Enemies'!D432)),'Enemies'!D440,1))</f>
        <v>1</v>
      </c>
      <c r="E216" t="s">
        <v>4214</v>
      </c>
    </row>
    <row r="217" spans="1:5" x14ac:dyDescent="0.25">
      <c r="A217" t="s">
        <v>1543</v>
      </c>
      <c r="B217" t="s">
        <v>1545</v>
      </c>
      <c r="C217" t="s">
        <v>4246</v>
      </c>
      <c r="D217">
        <f>ROUNDUP(ROUNDUP((MAX(IF(OR('Reels'!D431="attack",'Reels'!D431="magic"),CHOOSE('Reels'!D432+1,'Slots'!D29,'Slots'!D30,'Slots'!D31,'Slots'!D32,'Slots'!D33),0),IF(OR('Reels'!D434="attack",'Reels'!D434="magic"),CHOOSE('Reels'!D435+1,'Slots'!D29,'Slots'!D30,'Slots'!D31,'Slots'!D32,'Slots'!D33),0),IF(OR('Reels'!D437="attack",'Reels'!D437="magic"),CHOOSE('Reels'!D438+1,'Slots'!D29,'Slots'!D30,'Slots'!D31,'Slots'!D32,'Slots'!D33),0),IF(OR('Reels'!D440="attack",'Reels'!D440="magic"),CHOOSE('Reels'!D441+1,'Slots'!D29,'Slots'!D30,'Slots'!D31,'Slots'!D32,'Slots'!D33),0),IF(OR('Reels'!D443="attack",'Reels'!D443="magic"),CHOOSE('Reels'!D444+1,'Slots'!D29,'Slots'!D30,'Slots'!D31,'Slots'!D32,'Slots'!D33),0),IF(OR('Reels'!D446="attack",'Reels'!D446="magic"),CHOOSE('Reels'!D447+1,'Slots'!D29,'Slots'!D30,'Slots'!D31,'Slots'!D32,'Slots'!D33),0))+MAX(IF(OR('Reels'!D449="attack",'Reels'!D449="magic"),CHOOSE('Reels'!D450+1,'Slots'!D29,'Slots'!D30,'Slots'!D31,'Slots'!D32,'Slots'!D33),0),IF(OR('Reels'!D452="attack",'Reels'!D452="magic"),CHOOSE('Reels'!D453+1,'Slots'!D29,'Slots'!D30,'Slots'!D31,'Slots'!D32,'Slots'!D33),0),IF(OR('Reels'!D455="attack",'Reels'!D455="magic"),CHOOSE('Reels'!D456+1,'Slots'!D29,'Slots'!D30,'Slots'!D31,'Slots'!D32,'Slots'!D33),0),IF(OR('Reels'!D458="attack",'Reels'!D458="magic"),CHOOSE('Reels'!D459+1,'Slots'!D29,'Slots'!D30,'Slots'!D31,'Slots'!D32,'Slots'!D33),0),IF(OR('Reels'!D461="attack",'Reels'!D461="magic"),CHOOSE('Reels'!D462+1,'Slots'!D29,'Slots'!D30,'Slots'!D31,'Slots'!D32,'Slots'!D33),0),IF(OR('Reels'!D464="attack",'Reels'!D464="magic"),CHOOSE('Reels'!D465+1,'Slots'!D29,'Slots'!D30,'Slots'!D31,'Slots'!D32,'Slots'!D33),0))+MAX(IF(OR('Reels'!D467="attack",'Reels'!D467="magic"),CHOOSE('Reels'!D468+1,'Slots'!D29,'Slots'!D30,'Slots'!D31,'Slots'!D32,'Slots'!D33),0),IF(OR('Reels'!D470="attack",'Reels'!D470="magic"),CHOOSE('Reels'!D471+1,'Slots'!D29,'Slots'!D30,'Slots'!D31,'Slots'!D32,'Slots'!D33),0),IF(OR('Reels'!D473="attack",'Reels'!D473="magic"),CHOOSE('Reels'!D474+1,'Slots'!D29,'Slots'!D30,'Slots'!D31,'Slots'!D32,'Slots'!D33),0),IF(OR('Reels'!D476="attack",'Reels'!D476="magic"),CHOOSE('Reels'!D477+1,'Slots'!D29,'Slots'!D30,'Slots'!D31,'Slots'!D32,'Slots'!D33),0),IF(OR('Reels'!D479="attack",'Reels'!D479="magic"),CHOOSE('Reels'!D480+1,'Slots'!D29,'Slots'!D30,'Slots'!D31,'Slots'!D32,'Slots'!D33),0),IF(OR('Reels'!D482="attack",'Reels'!D482="magic"),CHOOSE('Reels'!D483+1,'Slots'!D29,'Slots'!D30,'Slots'!D31,'Slots'!D32,'Slots'!D33),0)))*D214/'Enemies'!D544,0)*MAX('Slots'!D38,'Slots'!D39,'Slots'!D40,'Slots'!D41),0)</f>
        <v>24</v>
      </c>
      <c r="E217" t="s">
        <v>4216</v>
      </c>
    </row>
    <row r="218" spans="1:5" x14ac:dyDescent="0.25">
      <c r="A218" t="s">
        <v>1543</v>
      </c>
      <c r="B218" t="s">
        <v>1545</v>
      </c>
      <c r="C218" t="s">
        <v>4247</v>
      </c>
      <c r="D218">
        <f>ROUNDUP(ROUNDUP(('Enemies'!D592+8*'Enemies'!D600+MAX(0,8-'Enemies'!D560)^2*'Enemies'!D608),0)*'Enemies'!D137,0)</f>
        <v>68</v>
      </c>
      <c r="E218" t="s">
        <v>4208</v>
      </c>
    </row>
    <row r="219" spans="1:5" x14ac:dyDescent="0.25">
      <c r="A219" t="s">
        <v>1543</v>
      </c>
      <c r="B219" t="s">
        <v>1545</v>
      </c>
      <c r="C219" t="s">
        <v>4248</v>
      </c>
      <c r="D219">
        <f>MAX(1,ROUNDDOWN((MAX(1,ROUNDDOWN('Enemies'!D344+ROUNDDOWN((8-1)/'Enemies'!D352,0)+0+0,0)))*'Enemies'!D138,0))</f>
        <v>4</v>
      </c>
      <c r="E219" t="s">
        <v>4210</v>
      </c>
    </row>
    <row r="220" spans="1:5" x14ac:dyDescent="0.25">
      <c r="A220" t="s">
        <v>1543</v>
      </c>
      <c r="B220" t="s">
        <v>1545</v>
      </c>
      <c r="C220" t="s">
        <v>4249</v>
      </c>
      <c r="D220">
        <f>IF('Enemies'!D139&gt;0,'Enemies'!D139,IF(8&lt;'Enemies'!D392,'Enemies'!D400,IF(8&lt;'Enemies'!D408,'Enemies'!D416,1)))</f>
        <v>2</v>
      </c>
      <c r="E220" t="s">
        <v>4212</v>
      </c>
    </row>
    <row r="221" spans="1:5" x14ac:dyDescent="0.25">
      <c r="A221" t="s">
        <v>1543</v>
      </c>
      <c r="B221" t="s">
        <v>1545</v>
      </c>
      <c r="C221" t="s">
        <v>4250</v>
      </c>
      <c r="D221">
        <f>IF('Enemies'!D140&gt;0,'Enemies'!D140,IF(OR(AND(FALSE,8&gt;='Enemies'!D424),AND(FALSE,8&gt;='Enemies'!D432)),'Enemies'!D440,1))</f>
        <v>1</v>
      </c>
      <c r="E221" t="s">
        <v>4214</v>
      </c>
    </row>
    <row r="222" spans="1:5" x14ac:dyDescent="0.25">
      <c r="A222" t="s">
        <v>1543</v>
      </c>
      <c r="B222" t="s">
        <v>1545</v>
      </c>
      <c r="C222" t="s">
        <v>4251</v>
      </c>
      <c r="D222">
        <f>ROUNDUP(ROUNDUP((MAX(IF(OR('Reels'!D431="attack",'Reels'!D431="magic"),CHOOSE('Reels'!D432+1,'Slots'!D29,'Slots'!D30,'Slots'!D31,'Slots'!D32,'Slots'!D33),0),IF(OR('Reels'!D434="attack",'Reels'!D434="magic"),CHOOSE('Reels'!D435+1,'Slots'!D29,'Slots'!D30,'Slots'!D31,'Slots'!D32,'Slots'!D33),0),IF(OR('Reels'!D437="attack",'Reels'!D437="magic"),CHOOSE('Reels'!D438+1,'Slots'!D29,'Slots'!D30,'Slots'!D31,'Slots'!D32,'Slots'!D33),0),IF(OR('Reels'!D440="attack",'Reels'!D440="magic"),CHOOSE('Reels'!D441+1,'Slots'!D29,'Slots'!D30,'Slots'!D31,'Slots'!D32,'Slots'!D33),0),IF(OR('Reels'!D443="attack",'Reels'!D443="magic"),CHOOSE('Reels'!D444+1,'Slots'!D29,'Slots'!D30,'Slots'!D31,'Slots'!D32,'Slots'!D33),0),IF(OR('Reels'!D446="attack",'Reels'!D446="magic"),CHOOSE('Reels'!D447+1,'Slots'!D29,'Slots'!D30,'Slots'!D31,'Slots'!D32,'Slots'!D33),0))+MAX(IF(OR('Reels'!D449="attack",'Reels'!D449="magic"),CHOOSE('Reels'!D450+1,'Slots'!D29,'Slots'!D30,'Slots'!D31,'Slots'!D32,'Slots'!D33),0),IF(OR('Reels'!D452="attack",'Reels'!D452="magic"),CHOOSE('Reels'!D453+1,'Slots'!D29,'Slots'!D30,'Slots'!D31,'Slots'!D32,'Slots'!D33),0),IF(OR('Reels'!D455="attack",'Reels'!D455="magic"),CHOOSE('Reels'!D456+1,'Slots'!D29,'Slots'!D30,'Slots'!D31,'Slots'!D32,'Slots'!D33),0),IF(OR('Reels'!D458="attack",'Reels'!D458="magic"),CHOOSE('Reels'!D459+1,'Slots'!D29,'Slots'!D30,'Slots'!D31,'Slots'!D32,'Slots'!D33),0),IF(OR('Reels'!D461="attack",'Reels'!D461="magic"),CHOOSE('Reels'!D462+1,'Slots'!D29,'Slots'!D30,'Slots'!D31,'Slots'!D32,'Slots'!D33),0),IF(OR('Reels'!D464="attack",'Reels'!D464="magic"),CHOOSE('Reels'!D465+1,'Slots'!D29,'Slots'!D30,'Slots'!D31,'Slots'!D32,'Slots'!D33),0))+MAX(IF(OR('Reels'!D467="attack",'Reels'!D467="magic"),CHOOSE('Reels'!D468+1,'Slots'!D29,'Slots'!D30,'Slots'!D31,'Slots'!D32,'Slots'!D33),0),IF(OR('Reels'!D470="attack",'Reels'!D470="magic"),CHOOSE('Reels'!D471+1,'Slots'!D29,'Slots'!D30,'Slots'!D31,'Slots'!D32,'Slots'!D33),0),IF(OR('Reels'!D473="attack",'Reels'!D473="magic"),CHOOSE('Reels'!D474+1,'Slots'!D29,'Slots'!D30,'Slots'!D31,'Slots'!D32,'Slots'!D33),0),IF(OR('Reels'!D476="attack",'Reels'!D476="magic"),CHOOSE('Reels'!D477+1,'Slots'!D29,'Slots'!D30,'Slots'!D31,'Slots'!D32,'Slots'!D33),0),IF(OR('Reels'!D479="attack",'Reels'!D479="magic"),CHOOSE('Reels'!D480+1,'Slots'!D29,'Slots'!D30,'Slots'!D31,'Slots'!D32,'Slots'!D33),0),IF(OR('Reels'!D482="attack",'Reels'!D482="magic"),CHOOSE('Reels'!D483+1,'Slots'!D29,'Slots'!D30,'Slots'!D31,'Slots'!D32,'Slots'!D33),0)))*D219/'Enemies'!D544,0)*MAX('Slots'!D38,'Slots'!D39,'Slots'!D40,'Slots'!D41),0)</f>
        <v>24</v>
      </c>
      <c r="E222" t="s">
        <v>4216</v>
      </c>
    </row>
    <row r="223" spans="1:5" x14ac:dyDescent="0.25">
      <c r="A223" t="s">
        <v>1556</v>
      </c>
      <c r="B223" t="s">
        <v>1558</v>
      </c>
      <c r="C223" t="s">
        <v>4252</v>
      </c>
      <c r="D223">
        <f>ROUNDUP(ROUNDUP(('Enemies'!D592+9*'Enemies'!D600+MAX(0,9-'Enemies'!D560)^2*'Enemies'!D608),0)*'Enemies'!D147,0)</f>
        <v>78</v>
      </c>
      <c r="E223" t="s">
        <v>4208</v>
      </c>
    </row>
    <row r="224" spans="1:5" x14ac:dyDescent="0.25">
      <c r="A224" t="s">
        <v>1556</v>
      </c>
      <c r="B224" t="s">
        <v>1558</v>
      </c>
      <c r="C224" t="s">
        <v>4253</v>
      </c>
      <c r="D224">
        <f>MAX(1,ROUNDDOWN((MAX(1,ROUNDDOWN('Enemies'!D344+ROUNDDOWN((9-1)/'Enemies'!D352,0)+0+0,0)))*'Enemies'!D148,0))</f>
        <v>4</v>
      </c>
      <c r="E224" t="s">
        <v>4210</v>
      </c>
    </row>
    <row r="225" spans="1:5" x14ac:dyDescent="0.25">
      <c r="A225" t="s">
        <v>1556</v>
      </c>
      <c r="B225" t="s">
        <v>1558</v>
      </c>
      <c r="C225" t="s">
        <v>4254</v>
      </c>
      <c r="D225">
        <f>IF('Enemies'!D149&gt;0,'Enemies'!D149,IF(9&lt;'Enemies'!D392,'Enemies'!D400,IF(9&lt;'Enemies'!D408,'Enemies'!D416,1)))</f>
        <v>1</v>
      </c>
      <c r="E225" t="s">
        <v>4212</v>
      </c>
    </row>
    <row r="226" spans="1:5" x14ac:dyDescent="0.25">
      <c r="A226" t="s">
        <v>1556</v>
      </c>
      <c r="B226" t="s">
        <v>1558</v>
      </c>
      <c r="C226" t="s">
        <v>4255</v>
      </c>
      <c r="D226">
        <f>IF('Enemies'!D150&gt;0,'Enemies'!D150,IF(OR(AND(FALSE,9&gt;='Enemies'!D424),AND(FALSE,9&gt;='Enemies'!D432)),'Enemies'!D440,1))</f>
        <v>1</v>
      </c>
      <c r="E226" t="s">
        <v>4214</v>
      </c>
    </row>
    <row r="227" spans="1:5" x14ac:dyDescent="0.25">
      <c r="A227" t="s">
        <v>1556</v>
      </c>
      <c r="B227" t="s">
        <v>1558</v>
      </c>
      <c r="C227" t="s">
        <v>4256</v>
      </c>
      <c r="D22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224/'Enemies'!D544,0)*MAX('Slots'!D38,'Slots'!D39,'Slots'!D40,'Slots'!D41),0)</f>
        <v>12</v>
      </c>
      <c r="E227" t="s">
        <v>4216</v>
      </c>
    </row>
    <row r="228" spans="1:5" x14ac:dyDescent="0.25">
      <c r="A228" t="s">
        <v>1556</v>
      </c>
      <c r="B228" t="s">
        <v>1558</v>
      </c>
      <c r="C228" t="s">
        <v>4257</v>
      </c>
      <c r="D228">
        <f>ROUNDUP(ROUNDUP(('Enemies'!D592+10*'Enemies'!D600+MAX(0,10-'Enemies'!D560)^2*'Enemies'!D608),0)*'Enemies'!D147,0)</f>
        <v>89</v>
      </c>
      <c r="E228" t="s">
        <v>4208</v>
      </c>
    </row>
    <row r="229" spans="1:5" x14ac:dyDescent="0.25">
      <c r="A229" t="s">
        <v>1556</v>
      </c>
      <c r="B229" t="s">
        <v>1558</v>
      </c>
      <c r="C229" t="s">
        <v>4258</v>
      </c>
      <c r="D229">
        <f>MAX(1,ROUNDDOWN((MAX(1,ROUNDDOWN('Enemies'!D344+ROUNDDOWN((10-1)/'Enemies'!D352,0)+0+0,0)))*'Enemies'!D148,0))</f>
        <v>5</v>
      </c>
      <c r="E229" t="s">
        <v>4210</v>
      </c>
    </row>
    <row r="230" spans="1:5" x14ac:dyDescent="0.25">
      <c r="A230" t="s">
        <v>1556</v>
      </c>
      <c r="B230" t="s">
        <v>1558</v>
      </c>
      <c r="C230" t="s">
        <v>4259</v>
      </c>
      <c r="D230">
        <f>IF('Enemies'!D149&gt;0,'Enemies'!D149,IF(10&lt;'Enemies'!D392,'Enemies'!D400,IF(10&lt;'Enemies'!D408,'Enemies'!D416,1)))</f>
        <v>1</v>
      </c>
      <c r="E230" t="s">
        <v>4212</v>
      </c>
    </row>
    <row r="231" spans="1:5" x14ac:dyDescent="0.25">
      <c r="A231" t="s">
        <v>1556</v>
      </c>
      <c r="B231" t="s">
        <v>1558</v>
      </c>
      <c r="C231" t="s">
        <v>4260</v>
      </c>
      <c r="D231">
        <f>IF('Enemies'!D150&gt;0,'Enemies'!D150,IF(OR(AND(FALSE,10&gt;='Enemies'!D424),AND(FALSE,10&gt;='Enemies'!D432)),'Enemies'!D440,1))</f>
        <v>1</v>
      </c>
      <c r="E231" t="s">
        <v>4214</v>
      </c>
    </row>
    <row r="232" spans="1:5" x14ac:dyDescent="0.25">
      <c r="A232" t="s">
        <v>1556</v>
      </c>
      <c r="B232" t="s">
        <v>1558</v>
      </c>
      <c r="C232" t="s">
        <v>4261</v>
      </c>
      <c r="D23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229/'Enemies'!D544,0)*MAX('Slots'!D38,'Slots'!D39,'Slots'!D40,'Slots'!D41),0)</f>
        <v>16</v>
      </c>
      <c r="E232" t="s">
        <v>4216</v>
      </c>
    </row>
    <row r="233" spans="1:5" x14ac:dyDescent="0.25">
      <c r="A233" t="s">
        <v>1569</v>
      </c>
      <c r="B233" t="s">
        <v>1571</v>
      </c>
      <c r="C233" t="s">
        <v>4207</v>
      </c>
      <c r="D233">
        <f>ROUNDUP(ROUNDUP(('Enemies'!D592+1*'Enemies'!D600+MAX(0,1-'Enemies'!D560)^2*'Enemies'!D608)*'Enemies'!D632,0)*'Enemies'!D157,0)</f>
        <v>26</v>
      </c>
      <c r="E233" t="s">
        <v>4208</v>
      </c>
    </row>
    <row r="234" spans="1:5" x14ac:dyDescent="0.25">
      <c r="A234" t="s">
        <v>1569</v>
      </c>
      <c r="B234" t="s">
        <v>1571</v>
      </c>
      <c r="C234" t="s">
        <v>4209</v>
      </c>
      <c r="D234">
        <f>MAX(1,ROUNDDOWN((MAX(1,ROUNDDOWN('Enemies'!D344+ROUNDDOWN((1-1)/'Enemies'!D352,0)+0+0,0)))*'Enemies'!D158,0))</f>
        <v>2</v>
      </c>
      <c r="E234" t="s">
        <v>4210</v>
      </c>
    </row>
    <row r="235" spans="1:5" x14ac:dyDescent="0.25">
      <c r="A235" t="s">
        <v>1569</v>
      </c>
      <c r="B235" t="s">
        <v>1571</v>
      </c>
      <c r="C235" t="s">
        <v>4211</v>
      </c>
      <c r="D235">
        <f>IF('Enemies'!D159&gt;0,'Enemies'!D159,IF(1&lt;'Enemies'!D392,'Enemies'!D400,IF(1&lt;'Enemies'!D408,'Enemies'!D416,1)))</f>
        <v>3</v>
      </c>
      <c r="E235" t="s">
        <v>4212</v>
      </c>
    </row>
    <row r="236" spans="1:5" x14ac:dyDescent="0.25">
      <c r="A236" t="s">
        <v>1569</v>
      </c>
      <c r="B236" t="s">
        <v>1571</v>
      </c>
      <c r="C236" t="s">
        <v>4213</v>
      </c>
      <c r="D236">
        <f>IF('Enemies'!D160&gt;0,'Enemies'!D160,IF(OR(AND(FALSE,1&gt;='Enemies'!D424),AND(FALSE,1&gt;='Enemies'!D432)),'Enemies'!D440,1))</f>
        <v>1</v>
      </c>
      <c r="E236" t="s">
        <v>4214</v>
      </c>
    </row>
    <row r="237" spans="1:5" x14ac:dyDescent="0.25">
      <c r="A237" t="s">
        <v>1569</v>
      </c>
      <c r="B237" t="s">
        <v>1571</v>
      </c>
      <c r="C237" t="s">
        <v>4215</v>
      </c>
      <c r="D23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234/'Enemies'!D544,0)*MAX('Slots'!D38,'Slots'!D39,'Slots'!D40,'Slots'!D41),0)</f>
        <v>12</v>
      </c>
      <c r="E237" t="s">
        <v>4216</v>
      </c>
    </row>
    <row r="238" spans="1:5" x14ac:dyDescent="0.25">
      <c r="A238" t="s">
        <v>1569</v>
      </c>
      <c r="B238" t="s">
        <v>1571</v>
      </c>
      <c r="C238" t="s">
        <v>4217</v>
      </c>
      <c r="D238">
        <f>ROUNDUP(ROUNDUP(('Enemies'!D592+2*'Enemies'!D600+MAX(0,2-'Enemies'!D560)^2*'Enemies'!D608)*'Enemies'!D632,0)*'Enemies'!D157,0)</f>
        <v>32</v>
      </c>
      <c r="E238" t="s">
        <v>4208</v>
      </c>
    </row>
    <row r="239" spans="1:5" x14ac:dyDescent="0.25">
      <c r="A239" t="s">
        <v>1569</v>
      </c>
      <c r="B239" t="s">
        <v>1571</v>
      </c>
      <c r="C239" t="s">
        <v>4218</v>
      </c>
      <c r="D239">
        <f>MAX(1,ROUNDDOWN((MAX(1,ROUNDDOWN('Enemies'!D344+ROUNDDOWN((2-1)/'Enemies'!D352,0)+0+0,0)))*'Enemies'!D158,0))</f>
        <v>2</v>
      </c>
      <c r="E239" t="s">
        <v>4210</v>
      </c>
    </row>
    <row r="240" spans="1:5" x14ac:dyDescent="0.25">
      <c r="A240" t="s">
        <v>1569</v>
      </c>
      <c r="B240" t="s">
        <v>1571</v>
      </c>
      <c r="C240" t="s">
        <v>4219</v>
      </c>
      <c r="D240">
        <f>IF('Enemies'!D159&gt;0,'Enemies'!D159,IF(2&lt;'Enemies'!D392,'Enemies'!D400,IF(2&lt;'Enemies'!D408,'Enemies'!D416,1)))</f>
        <v>3</v>
      </c>
      <c r="E240" t="s">
        <v>4212</v>
      </c>
    </row>
    <row r="241" spans="1:5" x14ac:dyDescent="0.25">
      <c r="A241" t="s">
        <v>1569</v>
      </c>
      <c r="B241" t="s">
        <v>1571</v>
      </c>
      <c r="C241" t="s">
        <v>4220</v>
      </c>
      <c r="D241">
        <f>IF('Enemies'!D160&gt;0,'Enemies'!D160,IF(OR(AND(FALSE,2&gt;='Enemies'!D424),AND(FALSE,2&gt;='Enemies'!D432)),'Enemies'!D440,1))</f>
        <v>1</v>
      </c>
      <c r="E241" t="s">
        <v>4214</v>
      </c>
    </row>
    <row r="242" spans="1:5" x14ac:dyDescent="0.25">
      <c r="A242" t="s">
        <v>1569</v>
      </c>
      <c r="B242" t="s">
        <v>1571</v>
      </c>
      <c r="C242" t="s">
        <v>4221</v>
      </c>
      <c r="D24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239/'Enemies'!D544,0)*MAX('Slots'!D38,'Slots'!D39,'Slots'!D40,'Slots'!D41),0)</f>
        <v>12</v>
      </c>
      <c r="E242" t="s">
        <v>4216</v>
      </c>
    </row>
    <row r="243" spans="1:5" x14ac:dyDescent="0.25">
      <c r="A243" t="s">
        <v>1569</v>
      </c>
      <c r="B243" t="s">
        <v>1571</v>
      </c>
      <c r="C243" t="s">
        <v>4222</v>
      </c>
      <c r="D243">
        <f>ROUNDUP(ROUNDUP(('Enemies'!D592+3*'Enemies'!D600+MAX(0,3-'Enemies'!D560)^2*'Enemies'!D608)*'Enemies'!D632,0)*'Enemies'!D157,0)</f>
        <v>38</v>
      </c>
      <c r="E243" t="s">
        <v>4208</v>
      </c>
    </row>
    <row r="244" spans="1:5" x14ac:dyDescent="0.25">
      <c r="A244" t="s">
        <v>1569</v>
      </c>
      <c r="B244" t="s">
        <v>1571</v>
      </c>
      <c r="C244" t="s">
        <v>4223</v>
      </c>
      <c r="D244">
        <f>MAX(1,ROUNDDOWN((MAX(1,ROUNDDOWN('Enemies'!D344+ROUNDDOWN((3-1)/'Enemies'!D352,0)+0+0,0)))*'Enemies'!D158,0))</f>
        <v>2</v>
      </c>
      <c r="E244" t="s">
        <v>4210</v>
      </c>
    </row>
    <row r="245" spans="1:5" x14ac:dyDescent="0.25">
      <c r="A245" t="s">
        <v>1569</v>
      </c>
      <c r="B245" t="s">
        <v>1571</v>
      </c>
      <c r="C245" t="s">
        <v>4224</v>
      </c>
      <c r="D245">
        <f>IF('Enemies'!D159&gt;0,'Enemies'!D159,IF(3&lt;'Enemies'!D392,'Enemies'!D400,IF(3&lt;'Enemies'!D408,'Enemies'!D416,1)))</f>
        <v>2</v>
      </c>
      <c r="E245" t="s">
        <v>4212</v>
      </c>
    </row>
    <row r="246" spans="1:5" x14ac:dyDescent="0.25">
      <c r="A246" t="s">
        <v>1569</v>
      </c>
      <c r="B246" t="s">
        <v>1571</v>
      </c>
      <c r="C246" t="s">
        <v>4225</v>
      </c>
      <c r="D246">
        <f>IF('Enemies'!D160&gt;0,'Enemies'!D160,IF(OR(AND(FALSE,3&gt;='Enemies'!D424),AND(FALSE,3&gt;='Enemies'!D432)),'Enemies'!D440,1))</f>
        <v>1</v>
      </c>
      <c r="E246" t="s">
        <v>4214</v>
      </c>
    </row>
    <row r="247" spans="1:5" x14ac:dyDescent="0.25">
      <c r="A247" t="s">
        <v>1569</v>
      </c>
      <c r="B247" t="s">
        <v>1571</v>
      </c>
      <c r="C247" t="s">
        <v>4226</v>
      </c>
      <c r="D24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244/'Enemies'!D544,0)*MAX('Slots'!D38,'Slots'!D39,'Slots'!D40,'Slots'!D41),0)</f>
        <v>12</v>
      </c>
      <c r="E247" t="s">
        <v>4216</v>
      </c>
    </row>
    <row r="248" spans="1:5" x14ac:dyDescent="0.25">
      <c r="A248" t="s">
        <v>1569</v>
      </c>
      <c r="B248" t="s">
        <v>1571</v>
      </c>
      <c r="C248" t="s">
        <v>4227</v>
      </c>
      <c r="D248">
        <f>ROUNDUP(ROUNDUP(('Enemies'!D592+4*'Enemies'!D600+MAX(0,4-'Enemies'!D560)^2*'Enemies'!D608)*'Enemies'!D632,0)*'Enemies'!D157,0)</f>
        <v>44</v>
      </c>
      <c r="E248" t="s">
        <v>4208</v>
      </c>
    </row>
    <row r="249" spans="1:5" x14ac:dyDescent="0.25">
      <c r="A249" t="s">
        <v>1569</v>
      </c>
      <c r="B249" t="s">
        <v>1571</v>
      </c>
      <c r="C249" t="s">
        <v>4228</v>
      </c>
      <c r="D249">
        <f>MAX(1,ROUNDDOWN((MAX(1,ROUNDDOWN('Enemies'!D344+ROUNDDOWN((4-1)/'Enemies'!D352,0)+0+0,0)))*'Enemies'!D158,0))</f>
        <v>3</v>
      </c>
      <c r="E249" t="s">
        <v>4210</v>
      </c>
    </row>
    <row r="250" spans="1:5" x14ac:dyDescent="0.25">
      <c r="A250" t="s">
        <v>1569</v>
      </c>
      <c r="B250" t="s">
        <v>1571</v>
      </c>
      <c r="C250" t="s">
        <v>4229</v>
      </c>
      <c r="D250">
        <f>IF('Enemies'!D159&gt;0,'Enemies'!D159,IF(4&lt;'Enemies'!D392,'Enemies'!D400,IF(4&lt;'Enemies'!D408,'Enemies'!D416,1)))</f>
        <v>2</v>
      </c>
      <c r="E250" t="s">
        <v>4212</v>
      </c>
    </row>
    <row r="251" spans="1:5" x14ac:dyDescent="0.25">
      <c r="A251" t="s">
        <v>1569</v>
      </c>
      <c r="B251" t="s">
        <v>1571</v>
      </c>
      <c r="C251" t="s">
        <v>4230</v>
      </c>
      <c r="D251">
        <f>IF('Enemies'!D160&gt;0,'Enemies'!D160,IF(OR(AND(FALSE,4&gt;='Enemies'!D424),AND(FALSE,4&gt;='Enemies'!D432)),'Enemies'!D440,1))</f>
        <v>1</v>
      </c>
      <c r="E251" t="s">
        <v>4214</v>
      </c>
    </row>
    <row r="252" spans="1:5" x14ac:dyDescent="0.25">
      <c r="A252" t="s">
        <v>1569</v>
      </c>
      <c r="B252" t="s">
        <v>1571</v>
      </c>
      <c r="C252" t="s">
        <v>4231</v>
      </c>
      <c r="D25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249/'Enemies'!D544,0)*MAX('Slots'!D38,'Slots'!D39,'Slots'!D40,'Slots'!D41),0)</f>
        <v>16</v>
      </c>
      <c r="E252" t="s">
        <v>4216</v>
      </c>
    </row>
    <row r="253" spans="1:5" x14ac:dyDescent="0.25">
      <c r="A253" t="s">
        <v>1569</v>
      </c>
      <c r="B253" t="s">
        <v>1571</v>
      </c>
      <c r="C253" t="s">
        <v>4232</v>
      </c>
      <c r="D253">
        <f>ROUNDUP(ROUNDUP(('Enemies'!D592+5*'Enemies'!D600+MAX(0,5-'Enemies'!D560)^2*'Enemies'!D608)*'Enemies'!D632,0)*'Enemies'!D157,0)</f>
        <v>52</v>
      </c>
      <c r="E253" t="s">
        <v>4208</v>
      </c>
    </row>
    <row r="254" spans="1:5" x14ac:dyDescent="0.25">
      <c r="A254" t="s">
        <v>1569</v>
      </c>
      <c r="B254" t="s">
        <v>1571</v>
      </c>
      <c r="C254" t="s">
        <v>4233</v>
      </c>
      <c r="D254">
        <f>MAX(1,ROUNDDOWN((MAX(1,ROUNDDOWN('Enemies'!D344+ROUNDDOWN((5-1)/'Enemies'!D352,0)+0+0,0)))*'Enemies'!D158,0))</f>
        <v>3</v>
      </c>
      <c r="E254" t="s">
        <v>4210</v>
      </c>
    </row>
    <row r="255" spans="1:5" x14ac:dyDescent="0.25">
      <c r="A255" t="s">
        <v>1569</v>
      </c>
      <c r="B255" t="s">
        <v>1571</v>
      </c>
      <c r="C255" t="s">
        <v>4234</v>
      </c>
      <c r="D255">
        <f>IF('Enemies'!D159&gt;0,'Enemies'!D159,IF(5&lt;'Enemies'!D392,'Enemies'!D400,IF(5&lt;'Enemies'!D408,'Enemies'!D416,1)))</f>
        <v>2</v>
      </c>
      <c r="E255" t="s">
        <v>4212</v>
      </c>
    </row>
    <row r="256" spans="1:5" x14ac:dyDescent="0.25">
      <c r="A256" t="s">
        <v>1569</v>
      </c>
      <c r="B256" t="s">
        <v>1571</v>
      </c>
      <c r="C256" t="s">
        <v>4235</v>
      </c>
      <c r="D256">
        <f>IF('Enemies'!D160&gt;0,'Enemies'!D160,IF(OR(AND(FALSE,5&gt;='Enemies'!D424),AND(FALSE,5&gt;='Enemies'!D432)),'Enemies'!D440,1))</f>
        <v>1</v>
      </c>
      <c r="E256" t="s">
        <v>4214</v>
      </c>
    </row>
    <row r="257" spans="1:5" x14ac:dyDescent="0.25">
      <c r="A257" t="s">
        <v>1569</v>
      </c>
      <c r="B257" t="s">
        <v>1571</v>
      </c>
      <c r="C257" t="s">
        <v>4236</v>
      </c>
      <c r="D25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254/'Enemies'!D544,0)*MAX('Slots'!D38,'Slots'!D39,'Slots'!D40,'Slots'!D41),0)</f>
        <v>16</v>
      </c>
      <c r="E257" t="s">
        <v>4216</v>
      </c>
    </row>
    <row r="258" spans="1:5" x14ac:dyDescent="0.25">
      <c r="A258" t="s">
        <v>1569</v>
      </c>
      <c r="B258" t="s">
        <v>1571</v>
      </c>
      <c r="C258" t="s">
        <v>4237</v>
      </c>
      <c r="D258">
        <f>ROUNDUP(ROUNDUP(('Enemies'!D592+6*'Enemies'!D600+MAX(0,6-'Enemies'!D560)^2*'Enemies'!D608)*'Enemies'!D632,0)*'Enemies'!D157,0)</f>
        <v>61</v>
      </c>
      <c r="E258" t="s">
        <v>4208</v>
      </c>
    </row>
    <row r="259" spans="1:5" x14ac:dyDescent="0.25">
      <c r="A259" t="s">
        <v>1569</v>
      </c>
      <c r="B259" t="s">
        <v>1571</v>
      </c>
      <c r="C259" t="s">
        <v>4238</v>
      </c>
      <c r="D259">
        <f>MAX(1,ROUNDDOWN((MAX(1,ROUNDDOWN('Enemies'!D344+ROUNDDOWN((6-1)/'Enemies'!D352,0)+0+0,0)))*'Enemies'!D158,0))</f>
        <v>3</v>
      </c>
      <c r="E259" t="s">
        <v>4210</v>
      </c>
    </row>
    <row r="260" spans="1:5" x14ac:dyDescent="0.25">
      <c r="A260" t="s">
        <v>1569</v>
      </c>
      <c r="B260" t="s">
        <v>1571</v>
      </c>
      <c r="C260" t="s">
        <v>4239</v>
      </c>
      <c r="D260">
        <f>IF('Enemies'!D159&gt;0,'Enemies'!D159,IF(6&lt;'Enemies'!D392,'Enemies'!D400,IF(6&lt;'Enemies'!D408,'Enemies'!D416,1)))</f>
        <v>2</v>
      </c>
      <c r="E260" t="s">
        <v>4212</v>
      </c>
    </row>
    <row r="261" spans="1:5" x14ac:dyDescent="0.25">
      <c r="A261" t="s">
        <v>1569</v>
      </c>
      <c r="B261" t="s">
        <v>1571</v>
      </c>
      <c r="C261" t="s">
        <v>4240</v>
      </c>
      <c r="D261">
        <f>IF('Enemies'!D160&gt;0,'Enemies'!D160,IF(OR(AND(FALSE,6&gt;='Enemies'!D424),AND(FALSE,6&gt;='Enemies'!D432)),'Enemies'!D440,1))</f>
        <v>1</v>
      </c>
      <c r="E261" t="s">
        <v>4214</v>
      </c>
    </row>
    <row r="262" spans="1:5" x14ac:dyDescent="0.25">
      <c r="A262" t="s">
        <v>1569</v>
      </c>
      <c r="B262" t="s">
        <v>1571</v>
      </c>
      <c r="C262" t="s">
        <v>4241</v>
      </c>
      <c r="D26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259/'Enemies'!D544,0)*MAX('Slots'!D38,'Slots'!D39,'Slots'!D40,'Slots'!D41),0)</f>
        <v>16</v>
      </c>
      <c r="E262" t="s">
        <v>4216</v>
      </c>
    </row>
    <row r="263" spans="1:5" x14ac:dyDescent="0.25">
      <c r="A263" t="s">
        <v>1569</v>
      </c>
      <c r="B263" t="s">
        <v>1571</v>
      </c>
      <c r="C263" t="s">
        <v>4242</v>
      </c>
      <c r="D263">
        <f>ROUNDUP(ROUNDUP(('Enemies'!D592+7*'Enemies'!D600+MAX(0,7-'Enemies'!D560)^2*'Enemies'!D608)*'Enemies'!D632,0)*'Enemies'!D157,0)</f>
        <v>70</v>
      </c>
      <c r="E263" t="s">
        <v>4208</v>
      </c>
    </row>
    <row r="264" spans="1:5" x14ac:dyDescent="0.25">
      <c r="A264" t="s">
        <v>1569</v>
      </c>
      <c r="B264" t="s">
        <v>1571</v>
      </c>
      <c r="C264" t="s">
        <v>4243</v>
      </c>
      <c r="D264">
        <f>MAX(1,ROUNDDOWN((MAX(1,ROUNDDOWN('Enemies'!D344+ROUNDDOWN((7-1)/'Enemies'!D352,0)+0+0,0)))*'Enemies'!D158,0))</f>
        <v>4</v>
      </c>
      <c r="E264" t="s">
        <v>4210</v>
      </c>
    </row>
    <row r="265" spans="1:5" x14ac:dyDescent="0.25">
      <c r="A265" t="s">
        <v>1569</v>
      </c>
      <c r="B265" t="s">
        <v>1571</v>
      </c>
      <c r="C265" t="s">
        <v>4244</v>
      </c>
      <c r="D265">
        <f>IF('Enemies'!D159&gt;0,'Enemies'!D159,IF(7&lt;'Enemies'!D392,'Enemies'!D400,IF(7&lt;'Enemies'!D408,'Enemies'!D416,1)))</f>
        <v>2</v>
      </c>
      <c r="E265" t="s">
        <v>4212</v>
      </c>
    </row>
    <row r="266" spans="1:5" x14ac:dyDescent="0.25">
      <c r="A266" t="s">
        <v>1569</v>
      </c>
      <c r="B266" t="s">
        <v>1571</v>
      </c>
      <c r="C266" t="s">
        <v>4245</v>
      </c>
      <c r="D266">
        <f>IF('Enemies'!D160&gt;0,'Enemies'!D160,IF(OR(AND(FALSE,7&gt;='Enemies'!D424),AND(FALSE,7&gt;='Enemies'!D432)),'Enemies'!D440,1))</f>
        <v>1</v>
      </c>
      <c r="E266" t="s">
        <v>4214</v>
      </c>
    </row>
    <row r="267" spans="1:5" x14ac:dyDescent="0.25">
      <c r="A267" t="s">
        <v>1569</v>
      </c>
      <c r="B267" t="s">
        <v>1571</v>
      </c>
      <c r="C267" t="s">
        <v>4246</v>
      </c>
      <c r="D26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264/'Enemies'!D544,0)*MAX('Slots'!D38,'Slots'!D39,'Slots'!D40,'Slots'!D41),0)</f>
        <v>24</v>
      </c>
      <c r="E267" t="s">
        <v>4216</v>
      </c>
    </row>
    <row r="268" spans="1:5" x14ac:dyDescent="0.25">
      <c r="A268" t="s">
        <v>1569</v>
      </c>
      <c r="B268" t="s">
        <v>1571</v>
      </c>
      <c r="C268" t="s">
        <v>4247</v>
      </c>
      <c r="D268">
        <f>ROUNDUP(ROUNDUP(('Enemies'!D592+8*'Enemies'!D600+MAX(0,8-'Enemies'!D560)^2*'Enemies'!D608)*'Enemies'!D632,0)*'Enemies'!D157,0)</f>
        <v>81</v>
      </c>
      <c r="E268" t="s">
        <v>4208</v>
      </c>
    </row>
    <row r="269" spans="1:5" x14ac:dyDescent="0.25">
      <c r="A269" t="s">
        <v>1569</v>
      </c>
      <c r="B269" t="s">
        <v>1571</v>
      </c>
      <c r="C269" t="s">
        <v>4248</v>
      </c>
      <c r="D269">
        <f>MAX(1,ROUNDDOWN((MAX(1,ROUNDDOWN('Enemies'!D344+ROUNDDOWN((8-1)/'Enemies'!D352,0)+0+0,0)))*'Enemies'!D158,0))</f>
        <v>4</v>
      </c>
      <c r="E269" t="s">
        <v>4210</v>
      </c>
    </row>
    <row r="270" spans="1:5" x14ac:dyDescent="0.25">
      <c r="A270" t="s">
        <v>1569</v>
      </c>
      <c r="B270" t="s">
        <v>1571</v>
      </c>
      <c r="C270" t="s">
        <v>4249</v>
      </c>
      <c r="D270">
        <f>IF('Enemies'!D159&gt;0,'Enemies'!D159,IF(8&lt;'Enemies'!D392,'Enemies'!D400,IF(8&lt;'Enemies'!D408,'Enemies'!D416,1)))</f>
        <v>2</v>
      </c>
      <c r="E270" t="s">
        <v>4212</v>
      </c>
    </row>
    <row r="271" spans="1:5" x14ac:dyDescent="0.25">
      <c r="A271" t="s">
        <v>1569</v>
      </c>
      <c r="B271" t="s">
        <v>1571</v>
      </c>
      <c r="C271" t="s">
        <v>4250</v>
      </c>
      <c r="D271">
        <f>IF('Enemies'!D160&gt;0,'Enemies'!D160,IF(OR(AND(FALSE,8&gt;='Enemies'!D424),AND(FALSE,8&gt;='Enemies'!D432)),'Enemies'!D440,1))</f>
        <v>1</v>
      </c>
      <c r="E271" t="s">
        <v>4214</v>
      </c>
    </row>
    <row r="272" spans="1:5" x14ac:dyDescent="0.25">
      <c r="A272" t="s">
        <v>1569</v>
      </c>
      <c r="B272" t="s">
        <v>1571</v>
      </c>
      <c r="C272" t="s">
        <v>4251</v>
      </c>
      <c r="D27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269/'Enemies'!D544,0)*MAX('Slots'!D38,'Slots'!D39,'Slots'!D40,'Slots'!D41),0)</f>
        <v>24</v>
      </c>
      <c r="E272" t="s">
        <v>4216</v>
      </c>
    </row>
    <row r="273" spans="1:5" x14ac:dyDescent="0.25">
      <c r="A273" t="s">
        <v>1569</v>
      </c>
      <c r="B273" t="s">
        <v>1571</v>
      </c>
      <c r="C273" t="s">
        <v>4252</v>
      </c>
      <c r="D273">
        <f>ROUNDUP(ROUNDUP(('Enemies'!D592+9*'Enemies'!D600+MAX(0,9-'Enemies'!D560)^2*'Enemies'!D608)*'Enemies'!D632,0)*'Enemies'!D157,0)</f>
        <v>93</v>
      </c>
      <c r="E273" t="s">
        <v>4208</v>
      </c>
    </row>
    <row r="274" spans="1:5" x14ac:dyDescent="0.25">
      <c r="A274" t="s">
        <v>1569</v>
      </c>
      <c r="B274" t="s">
        <v>1571</v>
      </c>
      <c r="C274" t="s">
        <v>4253</v>
      </c>
      <c r="D274">
        <f>MAX(1,ROUNDDOWN((MAX(1,ROUNDDOWN('Enemies'!D344+ROUNDDOWN((9-1)/'Enemies'!D352,0)+0+0,0)))*'Enemies'!D158,0))</f>
        <v>4</v>
      </c>
      <c r="E274" t="s">
        <v>4210</v>
      </c>
    </row>
    <row r="275" spans="1:5" x14ac:dyDescent="0.25">
      <c r="A275" t="s">
        <v>1569</v>
      </c>
      <c r="B275" t="s">
        <v>1571</v>
      </c>
      <c r="C275" t="s">
        <v>4254</v>
      </c>
      <c r="D275">
        <f>IF('Enemies'!D159&gt;0,'Enemies'!D159,IF(9&lt;'Enemies'!D392,'Enemies'!D400,IF(9&lt;'Enemies'!D408,'Enemies'!D416,1)))</f>
        <v>1</v>
      </c>
      <c r="E275" t="s">
        <v>4212</v>
      </c>
    </row>
    <row r="276" spans="1:5" x14ac:dyDescent="0.25">
      <c r="A276" t="s">
        <v>1569</v>
      </c>
      <c r="B276" t="s">
        <v>1571</v>
      </c>
      <c r="C276" t="s">
        <v>4255</v>
      </c>
      <c r="D276">
        <f>IF('Enemies'!D160&gt;0,'Enemies'!D160,IF(OR(AND(FALSE,9&gt;='Enemies'!D424),AND(FALSE,9&gt;='Enemies'!D432)),'Enemies'!D440,1))</f>
        <v>1</v>
      </c>
      <c r="E276" t="s">
        <v>4214</v>
      </c>
    </row>
    <row r="277" spans="1:5" x14ac:dyDescent="0.25">
      <c r="A277" t="s">
        <v>1569</v>
      </c>
      <c r="B277" t="s">
        <v>1571</v>
      </c>
      <c r="C277" t="s">
        <v>4256</v>
      </c>
      <c r="D27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274/'Enemies'!D544,0)*MAX('Slots'!D38,'Slots'!D39,'Slots'!D40,'Slots'!D41),0)</f>
        <v>24</v>
      </c>
      <c r="E277" t="s">
        <v>4216</v>
      </c>
    </row>
    <row r="278" spans="1:5" x14ac:dyDescent="0.25">
      <c r="A278" t="s">
        <v>1569</v>
      </c>
      <c r="B278" t="s">
        <v>1571</v>
      </c>
      <c r="C278" t="s">
        <v>4257</v>
      </c>
      <c r="D278">
        <f>ROUNDUP(ROUNDUP(('Enemies'!D592+10*'Enemies'!D600+MAX(0,10-'Enemies'!D560)^2*'Enemies'!D608)*'Enemies'!D632,0)*'Enemies'!D157,0)</f>
        <v>106</v>
      </c>
      <c r="E278" t="s">
        <v>4208</v>
      </c>
    </row>
    <row r="279" spans="1:5" x14ac:dyDescent="0.25">
      <c r="A279" t="s">
        <v>1569</v>
      </c>
      <c r="B279" t="s">
        <v>1571</v>
      </c>
      <c r="C279" t="s">
        <v>4258</v>
      </c>
      <c r="D279">
        <f>MAX(1,ROUNDDOWN((MAX(1,ROUNDDOWN('Enemies'!D344+ROUNDDOWN((10-1)/'Enemies'!D352,0)+0+0,0)))*'Enemies'!D158,0))</f>
        <v>5</v>
      </c>
      <c r="E279" t="s">
        <v>4210</v>
      </c>
    </row>
    <row r="280" spans="1:5" x14ac:dyDescent="0.25">
      <c r="A280" t="s">
        <v>1569</v>
      </c>
      <c r="B280" t="s">
        <v>1571</v>
      </c>
      <c r="C280" t="s">
        <v>4259</v>
      </c>
      <c r="D280">
        <f>IF('Enemies'!D159&gt;0,'Enemies'!D159,IF(10&lt;'Enemies'!D392,'Enemies'!D400,IF(10&lt;'Enemies'!D408,'Enemies'!D416,1)))</f>
        <v>1</v>
      </c>
      <c r="E280" t="s">
        <v>4212</v>
      </c>
    </row>
    <row r="281" spans="1:5" x14ac:dyDescent="0.25">
      <c r="A281" t="s">
        <v>1569</v>
      </c>
      <c r="B281" t="s">
        <v>1571</v>
      </c>
      <c r="C281" t="s">
        <v>4260</v>
      </c>
      <c r="D281">
        <f>IF('Enemies'!D160&gt;0,'Enemies'!D160,IF(OR(AND(FALSE,10&gt;='Enemies'!D424),AND(FALSE,10&gt;='Enemies'!D432)),'Enemies'!D440,1))</f>
        <v>1</v>
      </c>
      <c r="E281" t="s">
        <v>4214</v>
      </c>
    </row>
    <row r="282" spans="1:5" x14ac:dyDescent="0.25">
      <c r="A282" t="s">
        <v>1569</v>
      </c>
      <c r="B282" t="s">
        <v>1571</v>
      </c>
      <c r="C282" t="s">
        <v>4261</v>
      </c>
      <c r="D28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279/'Enemies'!D544,0)*MAX('Slots'!D38,'Slots'!D39,'Slots'!D40,'Slots'!D41),0)</f>
        <v>28</v>
      </c>
      <c r="E282" t="s">
        <v>4216</v>
      </c>
    </row>
    <row r="283" spans="1:5" x14ac:dyDescent="0.25">
      <c r="A283" t="s">
        <v>1582</v>
      </c>
      <c r="B283" t="s">
        <v>1584</v>
      </c>
      <c r="C283" t="s">
        <v>4207</v>
      </c>
      <c r="D283">
        <f>ROUNDUP(ROUNDUP(('Enemies'!D592+1*'Enemies'!D600+MAX(0,1-'Enemies'!D560)^2*'Enemies'!D608),0)*'Enemies'!D167,0)</f>
        <v>21</v>
      </c>
      <c r="E283" t="s">
        <v>4208</v>
      </c>
    </row>
    <row r="284" spans="1:5" x14ac:dyDescent="0.25">
      <c r="A284" t="s">
        <v>1582</v>
      </c>
      <c r="B284" t="s">
        <v>1584</v>
      </c>
      <c r="C284" t="s">
        <v>4209</v>
      </c>
      <c r="D284">
        <f>MAX(1,ROUNDDOWN((MAX(1,ROUNDDOWN('Enemies'!D344+ROUNDDOWN((1-1)/'Enemies'!D352,0)+0+0,0)))*'Enemies'!D168,0))</f>
        <v>2</v>
      </c>
      <c r="E284" t="s">
        <v>4210</v>
      </c>
    </row>
    <row r="285" spans="1:5" x14ac:dyDescent="0.25">
      <c r="A285" t="s">
        <v>1582</v>
      </c>
      <c r="B285" t="s">
        <v>1584</v>
      </c>
      <c r="C285" t="s">
        <v>4211</v>
      </c>
      <c r="D285">
        <f>IF('Enemies'!D169&gt;0,'Enemies'!D169,IF(1&lt;'Enemies'!D392,'Enemies'!D400,IF(1&lt;'Enemies'!D408,'Enemies'!D416,1)))</f>
        <v>3</v>
      </c>
      <c r="E285" t="s">
        <v>4212</v>
      </c>
    </row>
    <row r="286" spans="1:5" x14ac:dyDescent="0.25">
      <c r="A286" t="s">
        <v>1582</v>
      </c>
      <c r="B286" t="s">
        <v>1584</v>
      </c>
      <c r="C286" t="s">
        <v>4213</v>
      </c>
      <c r="D286">
        <f>IF('Enemies'!D170&gt;0,'Enemies'!D170,IF(OR(AND(FALSE,1&gt;='Enemies'!D424),AND(FALSE,1&gt;='Enemies'!D432)),'Enemies'!D440,1))</f>
        <v>1</v>
      </c>
      <c r="E286" t="s">
        <v>4214</v>
      </c>
    </row>
    <row r="287" spans="1:5" x14ac:dyDescent="0.25">
      <c r="A287" t="s">
        <v>1582</v>
      </c>
      <c r="B287" t="s">
        <v>1584</v>
      </c>
      <c r="C287" t="s">
        <v>4215</v>
      </c>
      <c r="D28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284/'Enemies'!D544,0)*MAX('Slots'!D38,'Slots'!D39,'Slots'!D40,'Slots'!D41),0)</f>
        <v>12</v>
      </c>
      <c r="E287" t="s">
        <v>4216</v>
      </c>
    </row>
    <row r="288" spans="1:5" x14ac:dyDescent="0.25">
      <c r="A288" t="s">
        <v>1582</v>
      </c>
      <c r="B288" t="s">
        <v>1584</v>
      </c>
      <c r="C288" t="s">
        <v>4217</v>
      </c>
      <c r="D288">
        <f>ROUNDUP(ROUNDUP(('Enemies'!D592+2*'Enemies'!D600+MAX(0,2-'Enemies'!D560)^2*'Enemies'!D608),0)*'Enemies'!D167,0)</f>
        <v>26</v>
      </c>
      <c r="E288" t="s">
        <v>4208</v>
      </c>
    </row>
    <row r="289" spans="1:5" x14ac:dyDescent="0.25">
      <c r="A289" t="s">
        <v>1582</v>
      </c>
      <c r="B289" t="s">
        <v>1584</v>
      </c>
      <c r="C289" t="s">
        <v>4218</v>
      </c>
      <c r="D289">
        <f>MAX(1,ROUNDDOWN((MAX(1,ROUNDDOWN('Enemies'!D344+ROUNDDOWN((2-1)/'Enemies'!D352,0)+0+0,0)))*'Enemies'!D168,0))</f>
        <v>2</v>
      </c>
      <c r="E289" t="s">
        <v>4210</v>
      </c>
    </row>
    <row r="290" spans="1:5" x14ac:dyDescent="0.25">
      <c r="A290" t="s">
        <v>1582</v>
      </c>
      <c r="B290" t="s">
        <v>1584</v>
      </c>
      <c r="C290" t="s">
        <v>4219</v>
      </c>
      <c r="D290">
        <f>IF('Enemies'!D169&gt;0,'Enemies'!D169,IF(2&lt;'Enemies'!D392,'Enemies'!D400,IF(2&lt;'Enemies'!D408,'Enemies'!D416,1)))</f>
        <v>3</v>
      </c>
      <c r="E290" t="s">
        <v>4212</v>
      </c>
    </row>
    <row r="291" spans="1:5" x14ac:dyDescent="0.25">
      <c r="A291" t="s">
        <v>1582</v>
      </c>
      <c r="B291" t="s">
        <v>1584</v>
      </c>
      <c r="C291" t="s">
        <v>4220</v>
      </c>
      <c r="D291">
        <f>IF('Enemies'!D170&gt;0,'Enemies'!D170,IF(OR(AND(FALSE,2&gt;='Enemies'!D424),AND(FALSE,2&gt;='Enemies'!D432)),'Enemies'!D440,1))</f>
        <v>1</v>
      </c>
      <c r="E291" t="s">
        <v>4214</v>
      </c>
    </row>
    <row r="292" spans="1:5" x14ac:dyDescent="0.25">
      <c r="A292" t="s">
        <v>1582</v>
      </c>
      <c r="B292" t="s">
        <v>1584</v>
      </c>
      <c r="C292" t="s">
        <v>4221</v>
      </c>
      <c r="D29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289/'Enemies'!D544,0)*MAX('Slots'!D38,'Slots'!D39,'Slots'!D40,'Slots'!D41),0)</f>
        <v>12</v>
      </c>
      <c r="E292" t="s">
        <v>4216</v>
      </c>
    </row>
    <row r="293" spans="1:5" x14ac:dyDescent="0.25">
      <c r="A293" t="s">
        <v>1582</v>
      </c>
      <c r="B293" t="s">
        <v>1584</v>
      </c>
      <c r="C293" t="s">
        <v>4222</v>
      </c>
      <c r="D293">
        <f>ROUNDUP(ROUNDUP(('Enemies'!D592+3*'Enemies'!D600+MAX(0,3-'Enemies'!D560)^2*'Enemies'!D608),0)*'Enemies'!D167,0)</f>
        <v>31</v>
      </c>
      <c r="E293" t="s">
        <v>4208</v>
      </c>
    </row>
    <row r="294" spans="1:5" x14ac:dyDescent="0.25">
      <c r="A294" t="s">
        <v>1582</v>
      </c>
      <c r="B294" t="s">
        <v>1584</v>
      </c>
      <c r="C294" t="s">
        <v>4223</v>
      </c>
      <c r="D294">
        <f>MAX(1,ROUNDDOWN((MAX(1,ROUNDDOWN('Enemies'!D344+ROUNDDOWN((3-1)/'Enemies'!D352,0)+0+0,0)))*'Enemies'!D168,0))</f>
        <v>2</v>
      </c>
      <c r="E294" t="s">
        <v>4210</v>
      </c>
    </row>
    <row r="295" spans="1:5" x14ac:dyDescent="0.25">
      <c r="A295" t="s">
        <v>1582</v>
      </c>
      <c r="B295" t="s">
        <v>1584</v>
      </c>
      <c r="C295" t="s">
        <v>4224</v>
      </c>
      <c r="D295">
        <f>IF('Enemies'!D169&gt;0,'Enemies'!D169,IF(3&lt;'Enemies'!D392,'Enemies'!D400,IF(3&lt;'Enemies'!D408,'Enemies'!D416,1)))</f>
        <v>2</v>
      </c>
      <c r="E295" t="s">
        <v>4212</v>
      </c>
    </row>
    <row r="296" spans="1:5" x14ac:dyDescent="0.25">
      <c r="A296" t="s">
        <v>1582</v>
      </c>
      <c r="B296" t="s">
        <v>1584</v>
      </c>
      <c r="C296" t="s">
        <v>4225</v>
      </c>
      <c r="D296">
        <f>IF('Enemies'!D170&gt;0,'Enemies'!D170,IF(OR(AND(FALSE,3&gt;='Enemies'!D424),AND(FALSE,3&gt;='Enemies'!D432)),'Enemies'!D440,1))</f>
        <v>1</v>
      </c>
      <c r="E296" t="s">
        <v>4214</v>
      </c>
    </row>
    <row r="297" spans="1:5" x14ac:dyDescent="0.25">
      <c r="A297" t="s">
        <v>1582</v>
      </c>
      <c r="B297" t="s">
        <v>1584</v>
      </c>
      <c r="C297" t="s">
        <v>4226</v>
      </c>
      <c r="D29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294/'Enemies'!D544,0)*MAX('Slots'!D38,'Slots'!D39,'Slots'!D40,'Slots'!D41),0)</f>
        <v>12</v>
      </c>
      <c r="E297" t="s">
        <v>4216</v>
      </c>
    </row>
    <row r="298" spans="1:5" x14ac:dyDescent="0.25">
      <c r="A298" t="s">
        <v>1582</v>
      </c>
      <c r="B298" t="s">
        <v>1584</v>
      </c>
      <c r="C298" t="s">
        <v>4227</v>
      </c>
      <c r="D298">
        <f>ROUNDUP(ROUNDUP(('Enemies'!D592+4*'Enemies'!D600+MAX(0,4-'Enemies'!D560)^2*'Enemies'!D608),0)*'Enemies'!D167,0)</f>
        <v>37</v>
      </c>
      <c r="E298" t="s">
        <v>4208</v>
      </c>
    </row>
    <row r="299" spans="1:5" x14ac:dyDescent="0.25">
      <c r="A299" t="s">
        <v>1582</v>
      </c>
      <c r="B299" t="s">
        <v>1584</v>
      </c>
      <c r="C299" t="s">
        <v>4228</v>
      </c>
      <c r="D299">
        <f>MAX(1,ROUNDDOWN((MAX(1,ROUNDDOWN('Enemies'!D344+ROUNDDOWN((4-1)/'Enemies'!D352,0)+0+0,0)))*'Enemies'!D168,0))</f>
        <v>3</v>
      </c>
      <c r="E299" t="s">
        <v>4210</v>
      </c>
    </row>
    <row r="300" spans="1:5" x14ac:dyDescent="0.25">
      <c r="A300" t="s">
        <v>1582</v>
      </c>
      <c r="B300" t="s">
        <v>1584</v>
      </c>
      <c r="C300" t="s">
        <v>4229</v>
      </c>
      <c r="D300">
        <f>IF('Enemies'!D169&gt;0,'Enemies'!D169,IF(4&lt;'Enemies'!D392,'Enemies'!D400,IF(4&lt;'Enemies'!D408,'Enemies'!D416,1)))</f>
        <v>2</v>
      </c>
      <c r="E300" t="s">
        <v>4212</v>
      </c>
    </row>
    <row r="301" spans="1:5" x14ac:dyDescent="0.25">
      <c r="A301" t="s">
        <v>1582</v>
      </c>
      <c r="B301" t="s">
        <v>1584</v>
      </c>
      <c r="C301" t="s">
        <v>4230</v>
      </c>
      <c r="D301">
        <f>IF('Enemies'!D170&gt;0,'Enemies'!D170,IF(OR(AND(FALSE,4&gt;='Enemies'!D424),AND(FALSE,4&gt;='Enemies'!D432)),'Enemies'!D440,1))</f>
        <v>1</v>
      </c>
      <c r="E301" t="s">
        <v>4214</v>
      </c>
    </row>
    <row r="302" spans="1:5" x14ac:dyDescent="0.25">
      <c r="A302" t="s">
        <v>1582</v>
      </c>
      <c r="B302" t="s">
        <v>1584</v>
      </c>
      <c r="C302" t="s">
        <v>4231</v>
      </c>
      <c r="D30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299/'Enemies'!D544,0)*MAX('Slots'!D38,'Slots'!D39,'Slots'!D40,'Slots'!D41),0)</f>
        <v>16</v>
      </c>
      <c r="E302" t="s">
        <v>4216</v>
      </c>
    </row>
    <row r="303" spans="1:5" x14ac:dyDescent="0.25">
      <c r="A303" t="s">
        <v>1582</v>
      </c>
      <c r="B303" t="s">
        <v>1584</v>
      </c>
      <c r="C303" t="s">
        <v>4232</v>
      </c>
      <c r="D303">
        <f>ROUNDUP(ROUNDUP(('Enemies'!D592+5*'Enemies'!D600+MAX(0,5-'Enemies'!D560)^2*'Enemies'!D608),0)*'Enemies'!D167,0)</f>
        <v>43</v>
      </c>
      <c r="E303" t="s">
        <v>4208</v>
      </c>
    </row>
    <row r="304" spans="1:5" x14ac:dyDescent="0.25">
      <c r="A304" t="s">
        <v>1582</v>
      </c>
      <c r="B304" t="s">
        <v>1584</v>
      </c>
      <c r="C304" t="s">
        <v>4233</v>
      </c>
      <c r="D304">
        <f>MAX(1,ROUNDDOWN((MAX(1,ROUNDDOWN('Enemies'!D344+ROUNDDOWN((5-1)/'Enemies'!D352,0)+0+0,0)))*'Enemies'!D168,0))</f>
        <v>3</v>
      </c>
      <c r="E304" t="s">
        <v>4210</v>
      </c>
    </row>
    <row r="305" spans="1:5" x14ac:dyDescent="0.25">
      <c r="A305" t="s">
        <v>1582</v>
      </c>
      <c r="B305" t="s">
        <v>1584</v>
      </c>
      <c r="C305" t="s">
        <v>4234</v>
      </c>
      <c r="D305">
        <f>IF('Enemies'!D169&gt;0,'Enemies'!D169,IF(5&lt;'Enemies'!D392,'Enemies'!D400,IF(5&lt;'Enemies'!D408,'Enemies'!D416,1)))</f>
        <v>2</v>
      </c>
      <c r="E305" t="s">
        <v>4212</v>
      </c>
    </row>
    <row r="306" spans="1:5" x14ac:dyDescent="0.25">
      <c r="A306" t="s">
        <v>1582</v>
      </c>
      <c r="B306" t="s">
        <v>1584</v>
      </c>
      <c r="C306" t="s">
        <v>4235</v>
      </c>
      <c r="D306">
        <f>IF('Enemies'!D170&gt;0,'Enemies'!D170,IF(OR(AND(FALSE,5&gt;='Enemies'!D424),AND(FALSE,5&gt;='Enemies'!D432)),'Enemies'!D440,1))</f>
        <v>1</v>
      </c>
      <c r="E306" t="s">
        <v>4214</v>
      </c>
    </row>
    <row r="307" spans="1:5" x14ac:dyDescent="0.25">
      <c r="A307" t="s">
        <v>1582</v>
      </c>
      <c r="B307" t="s">
        <v>1584</v>
      </c>
      <c r="C307" t="s">
        <v>4236</v>
      </c>
      <c r="D30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304/'Enemies'!D544,0)*MAX('Slots'!D38,'Slots'!D39,'Slots'!D40,'Slots'!D41),0)</f>
        <v>16</v>
      </c>
      <c r="E307" t="s">
        <v>4216</v>
      </c>
    </row>
    <row r="308" spans="1:5" x14ac:dyDescent="0.25">
      <c r="A308" t="s">
        <v>1582</v>
      </c>
      <c r="B308" t="s">
        <v>1584</v>
      </c>
      <c r="C308" t="s">
        <v>4237</v>
      </c>
      <c r="D308">
        <f>ROUNDUP(ROUNDUP(('Enemies'!D592+6*'Enemies'!D600+MAX(0,6-'Enemies'!D560)^2*'Enemies'!D608),0)*'Enemies'!D167,0)</f>
        <v>51</v>
      </c>
      <c r="E308" t="s">
        <v>4208</v>
      </c>
    </row>
    <row r="309" spans="1:5" x14ac:dyDescent="0.25">
      <c r="A309" t="s">
        <v>1582</v>
      </c>
      <c r="B309" t="s">
        <v>1584</v>
      </c>
      <c r="C309" t="s">
        <v>4238</v>
      </c>
      <c r="D309">
        <f>MAX(1,ROUNDDOWN((MAX(1,ROUNDDOWN('Enemies'!D344+ROUNDDOWN((6-1)/'Enemies'!D352,0)+0+0,0)))*'Enemies'!D168,0))</f>
        <v>3</v>
      </c>
      <c r="E309" t="s">
        <v>4210</v>
      </c>
    </row>
    <row r="310" spans="1:5" x14ac:dyDescent="0.25">
      <c r="A310" t="s">
        <v>1582</v>
      </c>
      <c r="B310" t="s">
        <v>1584</v>
      </c>
      <c r="C310" t="s">
        <v>4239</v>
      </c>
      <c r="D310">
        <f>IF('Enemies'!D169&gt;0,'Enemies'!D169,IF(6&lt;'Enemies'!D392,'Enemies'!D400,IF(6&lt;'Enemies'!D408,'Enemies'!D416,1)))</f>
        <v>2</v>
      </c>
      <c r="E310" t="s">
        <v>4212</v>
      </c>
    </row>
    <row r="311" spans="1:5" x14ac:dyDescent="0.25">
      <c r="A311" t="s">
        <v>1582</v>
      </c>
      <c r="B311" t="s">
        <v>1584</v>
      </c>
      <c r="C311" t="s">
        <v>4240</v>
      </c>
      <c r="D311">
        <f>IF('Enemies'!D170&gt;0,'Enemies'!D170,IF(OR(AND(FALSE,6&gt;='Enemies'!D424),AND(FALSE,6&gt;='Enemies'!D432)),'Enemies'!D440,1))</f>
        <v>1</v>
      </c>
      <c r="E311" t="s">
        <v>4214</v>
      </c>
    </row>
    <row r="312" spans="1:5" x14ac:dyDescent="0.25">
      <c r="A312" t="s">
        <v>1582</v>
      </c>
      <c r="B312" t="s">
        <v>1584</v>
      </c>
      <c r="C312" t="s">
        <v>4241</v>
      </c>
      <c r="D31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309/'Enemies'!D544,0)*MAX('Slots'!D38,'Slots'!D39,'Slots'!D40,'Slots'!D41),0)</f>
        <v>16</v>
      </c>
      <c r="E312" t="s">
        <v>4216</v>
      </c>
    </row>
    <row r="313" spans="1:5" x14ac:dyDescent="0.25">
      <c r="A313" t="s">
        <v>1582</v>
      </c>
      <c r="B313" t="s">
        <v>1584</v>
      </c>
      <c r="C313" t="s">
        <v>4242</v>
      </c>
      <c r="D313">
        <f>ROUNDUP(ROUNDUP(('Enemies'!D592+7*'Enemies'!D600+MAX(0,7-'Enemies'!D560)^2*'Enemies'!D608),0)*'Enemies'!D167,0)</f>
        <v>59</v>
      </c>
      <c r="E313" t="s">
        <v>4208</v>
      </c>
    </row>
    <row r="314" spans="1:5" x14ac:dyDescent="0.25">
      <c r="A314" t="s">
        <v>1582</v>
      </c>
      <c r="B314" t="s">
        <v>1584</v>
      </c>
      <c r="C314" t="s">
        <v>4243</v>
      </c>
      <c r="D314">
        <f>MAX(1,ROUNDDOWN((MAX(1,ROUNDDOWN('Enemies'!D344+ROUNDDOWN((7-1)/'Enemies'!D352,0)+0+0,0)))*'Enemies'!D168,0))</f>
        <v>4</v>
      </c>
      <c r="E314" t="s">
        <v>4210</v>
      </c>
    </row>
    <row r="315" spans="1:5" x14ac:dyDescent="0.25">
      <c r="A315" t="s">
        <v>1582</v>
      </c>
      <c r="B315" t="s">
        <v>1584</v>
      </c>
      <c r="C315" t="s">
        <v>4244</v>
      </c>
      <c r="D315">
        <f>IF('Enemies'!D169&gt;0,'Enemies'!D169,IF(7&lt;'Enemies'!D392,'Enemies'!D400,IF(7&lt;'Enemies'!D408,'Enemies'!D416,1)))</f>
        <v>2</v>
      </c>
      <c r="E315" t="s">
        <v>4212</v>
      </c>
    </row>
    <row r="316" spans="1:5" x14ac:dyDescent="0.25">
      <c r="A316" t="s">
        <v>1582</v>
      </c>
      <c r="B316" t="s">
        <v>1584</v>
      </c>
      <c r="C316" t="s">
        <v>4245</v>
      </c>
      <c r="D316">
        <f>IF('Enemies'!D170&gt;0,'Enemies'!D170,IF(OR(AND(FALSE,7&gt;='Enemies'!D424),AND(FALSE,7&gt;='Enemies'!D432)),'Enemies'!D440,1))</f>
        <v>1</v>
      </c>
      <c r="E316" t="s">
        <v>4214</v>
      </c>
    </row>
    <row r="317" spans="1:5" x14ac:dyDescent="0.25">
      <c r="A317" t="s">
        <v>1582</v>
      </c>
      <c r="B317" t="s">
        <v>1584</v>
      </c>
      <c r="C317" t="s">
        <v>4246</v>
      </c>
      <c r="D31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314/'Enemies'!D544,0)*MAX('Slots'!D38,'Slots'!D39,'Slots'!D40,'Slots'!D41),0)</f>
        <v>24</v>
      </c>
      <c r="E317" t="s">
        <v>4216</v>
      </c>
    </row>
    <row r="318" spans="1:5" x14ac:dyDescent="0.25">
      <c r="A318" t="s">
        <v>1582</v>
      </c>
      <c r="B318" t="s">
        <v>1584</v>
      </c>
      <c r="C318" t="s">
        <v>4247</v>
      </c>
      <c r="D318">
        <f>ROUNDUP(ROUNDUP(('Enemies'!D592+8*'Enemies'!D600+MAX(0,8-'Enemies'!D560)^2*'Enemies'!D608),0)*'Enemies'!D167,0)</f>
        <v>68</v>
      </c>
      <c r="E318" t="s">
        <v>4208</v>
      </c>
    </row>
    <row r="319" spans="1:5" x14ac:dyDescent="0.25">
      <c r="A319" t="s">
        <v>1582</v>
      </c>
      <c r="B319" t="s">
        <v>1584</v>
      </c>
      <c r="C319" t="s">
        <v>4248</v>
      </c>
      <c r="D319">
        <f>MAX(1,ROUNDDOWN((MAX(1,ROUNDDOWN('Enemies'!D344+ROUNDDOWN((8-1)/'Enemies'!D352,0)+0+0,0)))*'Enemies'!D168,0))</f>
        <v>4</v>
      </c>
      <c r="E319" t="s">
        <v>4210</v>
      </c>
    </row>
    <row r="320" spans="1:5" x14ac:dyDescent="0.25">
      <c r="A320" t="s">
        <v>1582</v>
      </c>
      <c r="B320" t="s">
        <v>1584</v>
      </c>
      <c r="C320" t="s">
        <v>4249</v>
      </c>
      <c r="D320">
        <f>IF('Enemies'!D169&gt;0,'Enemies'!D169,IF(8&lt;'Enemies'!D392,'Enemies'!D400,IF(8&lt;'Enemies'!D408,'Enemies'!D416,1)))</f>
        <v>2</v>
      </c>
      <c r="E320" t="s">
        <v>4212</v>
      </c>
    </row>
    <row r="321" spans="1:5" x14ac:dyDescent="0.25">
      <c r="A321" t="s">
        <v>1582</v>
      </c>
      <c r="B321" t="s">
        <v>1584</v>
      </c>
      <c r="C321" t="s">
        <v>4250</v>
      </c>
      <c r="D321">
        <f>IF('Enemies'!D170&gt;0,'Enemies'!D170,IF(OR(AND(FALSE,8&gt;='Enemies'!D424),AND(FALSE,8&gt;='Enemies'!D432)),'Enemies'!D440,1))</f>
        <v>1</v>
      </c>
      <c r="E321" t="s">
        <v>4214</v>
      </c>
    </row>
    <row r="322" spans="1:5" x14ac:dyDescent="0.25">
      <c r="A322" t="s">
        <v>1582</v>
      </c>
      <c r="B322" t="s">
        <v>1584</v>
      </c>
      <c r="C322" t="s">
        <v>4251</v>
      </c>
      <c r="D32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319/'Enemies'!D544,0)*MAX('Slots'!D38,'Slots'!D39,'Slots'!D40,'Slots'!D41),0)</f>
        <v>24</v>
      </c>
      <c r="E322" t="s">
        <v>4216</v>
      </c>
    </row>
    <row r="323" spans="1:5" x14ac:dyDescent="0.25">
      <c r="A323" t="s">
        <v>1582</v>
      </c>
      <c r="B323" t="s">
        <v>1584</v>
      </c>
      <c r="C323" t="s">
        <v>4252</v>
      </c>
      <c r="D323">
        <f>ROUNDUP(ROUNDUP(('Enemies'!D592+9*'Enemies'!D600+MAX(0,9-'Enemies'!D560)^2*'Enemies'!D608),0)*'Enemies'!D167,0)</f>
        <v>78</v>
      </c>
      <c r="E323" t="s">
        <v>4208</v>
      </c>
    </row>
    <row r="324" spans="1:5" x14ac:dyDescent="0.25">
      <c r="A324" t="s">
        <v>1582</v>
      </c>
      <c r="B324" t="s">
        <v>1584</v>
      </c>
      <c r="C324" t="s">
        <v>4253</v>
      </c>
      <c r="D324">
        <f>MAX(1,ROUNDDOWN((MAX(1,ROUNDDOWN('Enemies'!D344+ROUNDDOWN((9-1)/'Enemies'!D352,0)+0+0,0)))*'Enemies'!D168,0))</f>
        <v>4</v>
      </c>
      <c r="E324" t="s">
        <v>4210</v>
      </c>
    </row>
    <row r="325" spans="1:5" x14ac:dyDescent="0.25">
      <c r="A325" t="s">
        <v>1582</v>
      </c>
      <c r="B325" t="s">
        <v>1584</v>
      </c>
      <c r="C325" t="s">
        <v>4254</v>
      </c>
      <c r="D325">
        <f>IF('Enemies'!D169&gt;0,'Enemies'!D169,IF(9&lt;'Enemies'!D392,'Enemies'!D400,IF(9&lt;'Enemies'!D408,'Enemies'!D416,1)))</f>
        <v>1</v>
      </c>
      <c r="E325" t="s">
        <v>4212</v>
      </c>
    </row>
    <row r="326" spans="1:5" x14ac:dyDescent="0.25">
      <c r="A326" t="s">
        <v>1582</v>
      </c>
      <c r="B326" t="s">
        <v>1584</v>
      </c>
      <c r="C326" t="s">
        <v>4255</v>
      </c>
      <c r="D326">
        <f>IF('Enemies'!D170&gt;0,'Enemies'!D170,IF(OR(AND(FALSE,9&gt;='Enemies'!D424),AND(FALSE,9&gt;='Enemies'!D432)),'Enemies'!D440,1))</f>
        <v>1</v>
      </c>
      <c r="E326" t="s">
        <v>4214</v>
      </c>
    </row>
    <row r="327" spans="1:5" x14ac:dyDescent="0.25">
      <c r="A327" t="s">
        <v>1582</v>
      </c>
      <c r="B327" t="s">
        <v>1584</v>
      </c>
      <c r="C327" t="s">
        <v>4256</v>
      </c>
      <c r="D32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324/'Enemies'!D544,0)*MAX('Slots'!D38,'Slots'!D39,'Slots'!D40,'Slots'!D41),0)</f>
        <v>24</v>
      </c>
      <c r="E327" t="s">
        <v>4216</v>
      </c>
    </row>
    <row r="328" spans="1:5" x14ac:dyDescent="0.25">
      <c r="A328" t="s">
        <v>1582</v>
      </c>
      <c r="B328" t="s">
        <v>1584</v>
      </c>
      <c r="C328" t="s">
        <v>4257</v>
      </c>
      <c r="D328">
        <f>ROUNDUP(ROUNDUP(('Enemies'!D592+10*'Enemies'!D600+MAX(0,10-'Enemies'!D560)^2*'Enemies'!D608),0)*'Enemies'!D167,0)</f>
        <v>89</v>
      </c>
      <c r="E328" t="s">
        <v>4208</v>
      </c>
    </row>
    <row r="329" spans="1:5" x14ac:dyDescent="0.25">
      <c r="A329" t="s">
        <v>1582</v>
      </c>
      <c r="B329" t="s">
        <v>1584</v>
      </c>
      <c r="C329" t="s">
        <v>4258</v>
      </c>
      <c r="D329">
        <f>MAX(1,ROUNDDOWN((MAX(1,ROUNDDOWN('Enemies'!D344+ROUNDDOWN((10-1)/'Enemies'!D352,0)+0+0,0)))*'Enemies'!D168,0))</f>
        <v>5</v>
      </c>
      <c r="E329" t="s">
        <v>4210</v>
      </c>
    </row>
    <row r="330" spans="1:5" x14ac:dyDescent="0.25">
      <c r="A330" t="s">
        <v>1582</v>
      </c>
      <c r="B330" t="s">
        <v>1584</v>
      </c>
      <c r="C330" t="s">
        <v>4259</v>
      </c>
      <c r="D330">
        <f>IF('Enemies'!D169&gt;0,'Enemies'!D169,IF(10&lt;'Enemies'!D392,'Enemies'!D400,IF(10&lt;'Enemies'!D408,'Enemies'!D416,1)))</f>
        <v>1</v>
      </c>
      <c r="E330" t="s">
        <v>4212</v>
      </c>
    </row>
    <row r="331" spans="1:5" x14ac:dyDescent="0.25">
      <c r="A331" t="s">
        <v>1582</v>
      </c>
      <c r="B331" t="s">
        <v>1584</v>
      </c>
      <c r="C331" t="s">
        <v>4260</v>
      </c>
      <c r="D331">
        <f>IF('Enemies'!D170&gt;0,'Enemies'!D170,IF(OR(AND(FALSE,10&gt;='Enemies'!D424),AND(FALSE,10&gt;='Enemies'!D432)),'Enemies'!D440,1))</f>
        <v>1</v>
      </c>
      <c r="E331" t="s">
        <v>4214</v>
      </c>
    </row>
    <row r="332" spans="1:5" x14ac:dyDescent="0.25">
      <c r="A332" t="s">
        <v>1582</v>
      </c>
      <c r="B332" t="s">
        <v>1584</v>
      </c>
      <c r="C332" t="s">
        <v>4261</v>
      </c>
      <c r="D33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329/'Enemies'!D544,0)*MAX('Slots'!D38,'Slots'!D39,'Slots'!D40,'Slots'!D41),0)</f>
        <v>28</v>
      </c>
      <c r="E332" t="s">
        <v>4216</v>
      </c>
    </row>
    <row r="333" spans="1:5" x14ac:dyDescent="0.25">
      <c r="A333" t="s">
        <v>1595</v>
      </c>
      <c r="B333" t="s">
        <v>1597</v>
      </c>
      <c r="C333" t="s">
        <v>4207</v>
      </c>
      <c r="D333">
        <f>ROUNDUP(ROUNDUP(('Enemies'!D592+1*'Enemies'!D600+MAX(0,1-'Enemies'!D560)^2*'Enemies'!D608)*'Enemies'!D616*'Enemies'!D624,0)*'Enemies'!D177,0)</f>
        <v>44</v>
      </c>
      <c r="E333" t="s">
        <v>4208</v>
      </c>
    </row>
    <row r="334" spans="1:5" x14ac:dyDescent="0.25">
      <c r="A334" t="s">
        <v>1595</v>
      </c>
      <c r="B334" t="s">
        <v>1597</v>
      </c>
      <c r="C334" t="s">
        <v>4209</v>
      </c>
      <c r="D334">
        <f>MAX(1,ROUNDDOWN((MAX(1,ROUNDDOWN('Enemies'!D344+ROUNDDOWN((1-1)/'Enemies'!D352,0)+1+1,0)))*'Enemies'!D178,0))</f>
        <v>4</v>
      </c>
      <c r="E334" t="s">
        <v>4210</v>
      </c>
    </row>
    <row r="335" spans="1:5" x14ac:dyDescent="0.25">
      <c r="A335" t="s">
        <v>1595</v>
      </c>
      <c r="B335" t="s">
        <v>1597</v>
      </c>
      <c r="C335" t="s">
        <v>4211</v>
      </c>
      <c r="D335">
        <f>IF('Enemies'!D179&gt;0,'Enemies'!D179,'Enemies'!D368)</f>
        <v>2</v>
      </c>
      <c r="E335" t="s">
        <v>4212</v>
      </c>
    </row>
    <row r="336" spans="1:5" x14ac:dyDescent="0.25">
      <c r="A336" t="s">
        <v>1595</v>
      </c>
      <c r="B336" t="s">
        <v>1597</v>
      </c>
      <c r="C336" t="s">
        <v>4213</v>
      </c>
      <c r="D336">
        <f>IF('Enemies'!D180&gt;0,'Enemies'!D180,IF(OR(AND(FALSE,1&gt;='Enemies'!D424),AND(TRUE,1&gt;='Enemies'!D432)),'Enemies'!D440,1))</f>
        <v>1</v>
      </c>
      <c r="E336" t="s">
        <v>4214</v>
      </c>
    </row>
    <row r="337" spans="1:5" x14ac:dyDescent="0.25">
      <c r="A337" t="s">
        <v>1595</v>
      </c>
      <c r="B337" t="s">
        <v>1597</v>
      </c>
      <c r="C337" t="s">
        <v>4215</v>
      </c>
      <c r="D33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334/'Enemies'!D544,0)*MAX('Slots'!D38,'Slots'!D39,'Slots'!D40,'Slots'!D41),0)</f>
        <v>12</v>
      </c>
      <c r="E337" t="s">
        <v>4216</v>
      </c>
    </row>
    <row r="338" spans="1:5" x14ac:dyDescent="0.25">
      <c r="A338" t="s">
        <v>1595</v>
      </c>
      <c r="B338" t="s">
        <v>1597</v>
      </c>
      <c r="C338" t="s">
        <v>4217</v>
      </c>
      <c r="D338">
        <f>ROUNDUP(ROUNDUP(('Enemies'!D592+2*'Enemies'!D600+MAX(0,2-'Enemies'!D560)^2*'Enemies'!D608)*'Enemies'!D616*'Enemies'!D624,0)*'Enemies'!D177,0)</f>
        <v>54</v>
      </c>
      <c r="E338" t="s">
        <v>4208</v>
      </c>
    </row>
    <row r="339" spans="1:5" x14ac:dyDescent="0.25">
      <c r="A339" t="s">
        <v>1595</v>
      </c>
      <c r="B339" t="s">
        <v>1597</v>
      </c>
      <c r="C339" t="s">
        <v>4218</v>
      </c>
      <c r="D339">
        <f>MAX(1,ROUNDDOWN((MAX(1,ROUNDDOWN('Enemies'!D344+ROUNDDOWN((2-1)/'Enemies'!D352,0)+1+1,0)))*'Enemies'!D178,0))</f>
        <v>4</v>
      </c>
      <c r="E339" t="s">
        <v>4210</v>
      </c>
    </row>
    <row r="340" spans="1:5" x14ac:dyDescent="0.25">
      <c r="A340" t="s">
        <v>1595</v>
      </c>
      <c r="B340" t="s">
        <v>1597</v>
      </c>
      <c r="C340" t="s">
        <v>4219</v>
      </c>
      <c r="D340">
        <f>IF('Enemies'!D179&gt;0,'Enemies'!D179,'Enemies'!D368)</f>
        <v>2</v>
      </c>
      <c r="E340" t="s">
        <v>4212</v>
      </c>
    </row>
    <row r="341" spans="1:5" x14ac:dyDescent="0.25">
      <c r="A341" t="s">
        <v>1595</v>
      </c>
      <c r="B341" t="s">
        <v>1597</v>
      </c>
      <c r="C341" t="s">
        <v>4220</v>
      </c>
      <c r="D341">
        <f>IF('Enemies'!D180&gt;0,'Enemies'!D180,IF(OR(AND(FALSE,2&gt;='Enemies'!D424),AND(TRUE,2&gt;='Enemies'!D432)),'Enemies'!D440,1))</f>
        <v>1</v>
      </c>
      <c r="E341" t="s">
        <v>4214</v>
      </c>
    </row>
    <row r="342" spans="1:5" x14ac:dyDescent="0.25">
      <c r="A342" t="s">
        <v>1595</v>
      </c>
      <c r="B342" t="s">
        <v>1597</v>
      </c>
      <c r="C342" t="s">
        <v>4221</v>
      </c>
      <c r="D34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339/'Enemies'!D544,0)*MAX('Slots'!D38,'Slots'!D39,'Slots'!D40,'Slots'!D41),0)</f>
        <v>12</v>
      </c>
      <c r="E342" t="s">
        <v>4216</v>
      </c>
    </row>
    <row r="343" spans="1:5" x14ac:dyDescent="0.25">
      <c r="A343" t="s">
        <v>1595</v>
      </c>
      <c r="B343" t="s">
        <v>1597</v>
      </c>
      <c r="C343" t="s">
        <v>4222</v>
      </c>
      <c r="D343">
        <f>ROUNDUP(ROUNDUP(('Enemies'!D592+3*'Enemies'!D600+MAX(0,3-'Enemies'!D560)^2*'Enemies'!D608)*'Enemies'!D616*'Enemies'!D624,0)*'Enemies'!D177,0)</f>
        <v>65</v>
      </c>
      <c r="E343" t="s">
        <v>4208</v>
      </c>
    </row>
    <row r="344" spans="1:5" x14ac:dyDescent="0.25">
      <c r="A344" t="s">
        <v>1595</v>
      </c>
      <c r="B344" t="s">
        <v>1597</v>
      </c>
      <c r="C344" t="s">
        <v>4223</v>
      </c>
      <c r="D344">
        <f>MAX(1,ROUNDDOWN((MAX(1,ROUNDDOWN('Enemies'!D344+ROUNDDOWN((3-1)/'Enemies'!D352,0)+1+1,0)))*'Enemies'!D178,0))</f>
        <v>4</v>
      </c>
      <c r="E344" t="s">
        <v>4210</v>
      </c>
    </row>
    <row r="345" spans="1:5" x14ac:dyDescent="0.25">
      <c r="A345" t="s">
        <v>1595</v>
      </c>
      <c r="B345" t="s">
        <v>1597</v>
      </c>
      <c r="C345" t="s">
        <v>4224</v>
      </c>
      <c r="D345">
        <f>IF('Enemies'!D179&gt;0,'Enemies'!D179,'Enemies'!D368)</f>
        <v>2</v>
      </c>
      <c r="E345" t="s">
        <v>4212</v>
      </c>
    </row>
    <row r="346" spans="1:5" x14ac:dyDescent="0.25">
      <c r="A346" t="s">
        <v>1595</v>
      </c>
      <c r="B346" t="s">
        <v>1597</v>
      </c>
      <c r="C346" t="s">
        <v>4225</v>
      </c>
      <c r="D346">
        <f>IF('Enemies'!D180&gt;0,'Enemies'!D180,IF(OR(AND(FALSE,3&gt;='Enemies'!D424),AND(TRUE,3&gt;='Enemies'!D432)),'Enemies'!D440,1))</f>
        <v>1</v>
      </c>
      <c r="E346" t="s">
        <v>4214</v>
      </c>
    </row>
    <row r="347" spans="1:5" x14ac:dyDescent="0.25">
      <c r="A347" t="s">
        <v>1595</v>
      </c>
      <c r="B347" t="s">
        <v>1597</v>
      </c>
      <c r="C347" t="s">
        <v>4226</v>
      </c>
      <c r="D34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344/'Enemies'!D544,0)*MAX('Slots'!D38,'Slots'!D39,'Slots'!D40,'Slots'!D41),0)</f>
        <v>12</v>
      </c>
      <c r="E347" t="s">
        <v>4216</v>
      </c>
    </row>
    <row r="348" spans="1:5" x14ac:dyDescent="0.25">
      <c r="A348" t="s">
        <v>1595</v>
      </c>
      <c r="B348" t="s">
        <v>1597</v>
      </c>
      <c r="C348" t="s">
        <v>4227</v>
      </c>
      <c r="D348">
        <f>ROUNDUP(ROUNDUP(('Enemies'!D592+4*'Enemies'!D600+MAX(0,4-'Enemies'!D560)^2*'Enemies'!D608)*'Enemies'!D616*'Enemies'!D624,0)*'Enemies'!D177,0)</f>
        <v>76</v>
      </c>
      <c r="E348" t="s">
        <v>4208</v>
      </c>
    </row>
    <row r="349" spans="1:5" x14ac:dyDescent="0.25">
      <c r="A349" t="s">
        <v>1595</v>
      </c>
      <c r="B349" t="s">
        <v>1597</v>
      </c>
      <c r="C349" t="s">
        <v>4228</v>
      </c>
      <c r="D349">
        <f>MAX(1,ROUNDDOWN((MAX(1,ROUNDDOWN('Enemies'!D344+ROUNDDOWN((4-1)/'Enemies'!D352,0)+1+1,0)))*'Enemies'!D178,0))</f>
        <v>5</v>
      </c>
      <c r="E349" t="s">
        <v>4210</v>
      </c>
    </row>
    <row r="350" spans="1:5" x14ac:dyDescent="0.25">
      <c r="A350" t="s">
        <v>1595</v>
      </c>
      <c r="B350" t="s">
        <v>1597</v>
      </c>
      <c r="C350" t="s">
        <v>4229</v>
      </c>
      <c r="D350">
        <f>IF('Enemies'!D179&gt;0,'Enemies'!D179,'Enemies'!D368)</f>
        <v>2</v>
      </c>
      <c r="E350" t="s">
        <v>4212</v>
      </c>
    </row>
    <row r="351" spans="1:5" x14ac:dyDescent="0.25">
      <c r="A351" t="s">
        <v>1595</v>
      </c>
      <c r="B351" t="s">
        <v>1597</v>
      </c>
      <c r="C351" t="s">
        <v>4230</v>
      </c>
      <c r="D351">
        <f>IF('Enemies'!D180&gt;0,'Enemies'!D180,IF(OR(AND(FALSE,4&gt;='Enemies'!D424),AND(TRUE,4&gt;='Enemies'!D432)),'Enemies'!D440,1))</f>
        <v>1</v>
      </c>
      <c r="E351" t="s">
        <v>4214</v>
      </c>
    </row>
    <row r="352" spans="1:5" x14ac:dyDescent="0.25">
      <c r="A352" t="s">
        <v>1595</v>
      </c>
      <c r="B352" t="s">
        <v>1597</v>
      </c>
      <c r="C352" t="s">
        <v>4231</v>
      </c>
      <c r="D35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349/'Enemies'!D544,0)*MAX('Slots'!D38,'Slots'!D39,'Slots'!D40,'Slots'!D41),0)</f>
        <v>16</v>
      </c>
      <c r="E352" t="s">
        <v>4216</v>
      </c>
    </row>
    <row r="353" spans="1:5" x14ac:dyDescent="0.25">
      <c r="A353" t="s">
        <v>1595</v>
      </c>
      <c r="B353" t="s">
        <v>1597</v>
      </c>
      <c r="C353" t="s">
        <v>4232</v>
      </c>
      <c r="D353">
        <f>ROUNDUP(ROUNDUP(('Enemies'!D592+5*'Enemies'!D600+MAX(0,5-'Enemies'!D560)^2*'Enemies'!D608)*'Enemies'!D616*'Enemies'!D624,0)*'Enemies'!D177,0)</f>
        <v>89</v>
      </c>
      <c r="E353" t="s">
        <v>4208</v>
      </c>
    </row>
    <row r="354" spans="1:5" x14ac:dyDescent="0.25">
      <c r="A354" t="s">
        <v>1595</v>
      </c>
      <c r="B354" t="s">
        <v>1597</v>
      </c>
      <c r="C354" t="s">
        <v>4233</v>
      </c>
      <c r="D354">
        <f>MAX(1,ROUNDDOWN((MAX(1,ROUNDDOWN('Enemies'!D344+ROUNDDOWN((5-1)/'Enemies'!D352,0)+1+1,0)))*'Enemies'!D178,0))</f>
        <v>5</v>
      </c>
      <c r="E354" t="s">
        <v>4210</v>
      </c>
    </row>
    <row r="355" spans="1:5" x14ac:dyDescent="0.25">
      <c r="A355" t="s">
        <v>1595</v>
      </c>
      <c r="B355" t="s">
        <v>1597</v>
      </c>
      <c r="C355" t="s">
        <v>4234</v>
      </c>
      <c r="D355">
        <f>IF('Enemies'!D179&gt;0,'Enemies'!D179,'Enemies'!D368)</f>
        <v>2</v>
      </c>
      <c r="E355" t="s">
        <v>4212</v>
      </c>
    </row>
    <row r="356" spans="1:5" x14ac:dyDescent="0.25">
      <c r="A356" t="s">
        <v>1595</v>
      </c>
      <c r="B356" t="s">
        <v>1597</v>
      </c>
      <c r="C356" t="s">
        <v>4235</v>
      </c>
      <c r="D356">
        <f>IF('Enemies'!D180&gt;0,'Enemies'!D180,IF(OR(AND(FALSE,5&gt;='Enemies'!D424),AND(TRUE,5&gt;='Enemies'!D432)),'Enemies'!D440,1))</f>
        <v>1</v>
      </c>
      <c r="E356" t="s">
        <v>4214</v>
      </c>
    </row>
    <row r="357" spans="1:5" x14ac:dyDescent="0.25">
      <c r="A357" t="s">
        <v>1595</v>
      </c>
      <c r="B357" t="s">
        <v>1597</v>
      </c>
      <c r="C357" t="s">
        <v>4236</v>
      </c>
      <c r="D35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354/'Enemies'!D544,0)*MAX('Slots'!D38,'Slots'!D39,'Slots'!D40,'Slots'!D41),0)</f>
        <v>16</v>
      </c>
      <c r="E357" t="s">
        <v>4216</v>
      </c>
    </row>
    <row r="358" spans="1:5" x14ac:dyDescent="0.25">
      <c r="A358" t="s">
        <v>1595</v>
      </c>
      <c r="B358" t="s">
        <v>1597</v>
      </c>
      <c r="C358" t="s">
        <v>4237</v>
      </c>
      <c r="D358">
        <f>ROUNDUP(ROUNDUP(('Enemies'!D592+6*'Enemies'!D600+MAX(0,6-'Enemies'!D560)^2*'Enemies'!D608)*'Enemies'!D616*'Enemies'!D624,0)*'Enemies'!D177,0)</f>
        <v>104</v>
      </c>
      <c r="E358" t="s">
        <v>4208</v>
      </c>
    </row>
    <row r="359" spans="1:5" x14ac:dyDescent="0.25">
      <c r="A359" t="s">
        <v>1595</v>
      </c>
      <c r="B359" t="s">
        <v>1597</v>
      </c>
      <c r="C359" t="s">
        <v>4238</v>
      </c>
      <c r="D359">
        <f>MAX(1,ROUNDDOWN((MAX(1,ROUNDDOWN('Enemies'!D344+ROUNDDOWN((6-1)/'Enemies'!D352,0)+1+1,0)))*'Enemies'!D178,0))</f>
        <v>5</v>
      </c>
      <c r="E359" t="s">
        <v>4210</v>
      </c>
    </row>
    <row r="360" spans="1:5" x14ac:dyDescent="0.25">
      <c r="A360" t="s">
        <v>1595</v>
      </c>
      <c r="B360" t="s">
        <v>1597</v>
      </c>
      <c r="C360" t="s">
        <v>4239</v>
      </c>
      <c r="D360">
        <f>IF('Enemies'!D179&gt;0,'Enemies'!D179,'Enemies'!D368)</f>
        <v>2</v>
      </c>
      <c r="E360" t="s">
        <v>4212</v>
      </c>
    </row>
    <row r="361" spans="1:5" x14ac:dyDescent="0.25">
      <c r="A361" t="s">
        <v>1595</v>
      </c>
      <c r="B361" t="s">
        <v>1597</v>
      </c>
      <c r="C361" t="s">
        <v>4240</v>
      </c>
      <c r="D361">
        <f>IF('Enemies'!D180&gt;0,'Enemies'!D180,IF(OR(AND(FALSE,6&gt;='Enemies'!D424),AND(TRUE,6&gt;='Enemies'!D432)),'Enemies'!D440,1))</f>
        <v>1</v>
      </c>
      <c r="E361" t="s">
        <v>4214</v>
      </c>
    </row>
    <row r="362" spans="1:5" x14ac:dyDescent="0.25">
      <c r="A362" t="s">
        <v>1595</v>
      </c>
      <c r="B362" t="s">
        <v>1597</v>
      </c>
      <c r="C362" t="s">
        <v>4241</v>
      </c>
      <c r="D36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359/'Enemies'!D544,0)*MAX('Slots'!D38,'Slots'!D39,'Slots'!D40,'Slots'!D41),0)</f>
        <v>16</v>
      </c>
      <c r="E362" t="s">
        <v>4216</v>
      </c>
    </row>
    <row r="363" spans="1:5" x14ac:dyDescent="0.25">
      <c r="A363" t="s">
        <v>1595</v>
      </c>
      <c r="B363" t="s">
        <v>1597</v>
      </c>
      <c r="C363" t="s">
        <v>4242</v>
      </c>
      <c r="D363">
        <f>ROUNDUP(ROUNDUP(('Enemies'!D592+7*'Enemies'!D600+MAX(0,7-'Enemies'!D560)^2*'Enemies'!D608)*'Enemies'!D616*'Enemies'!D624,0)*'Enemies'!D177,0)</f>
        <v>121</v>
      </c>
      <c r="E363" t="s">
        <v>4208</v>
      </c>
    </row>
    <row r="364" spans="1:5" x14ac:dyDescent="0.25">
      <c r="A364" t="s">
        <v>1595</v>
      </c>
      <c r="B364" t="s">
        <v>1597</v>
      </c>
      <c r="C364" t="s">
        <v>4243</v>
      </c>
      <c r="D364">
        <f>MAX(1,ROUNDDOWN((MAX(1,ROUNDDOWN('Enemies'!D344+ROUNDDOWN((7-1)/'Enemies'!D352,0)+1+1,0)))*'Enemies'!D178,0))</f>
        <v>6</v>
      </c>
      <c r="E364" t="s">
        <v>4210</v>
      </c>
    </row>
    <row r="365" spans="1:5" x14ac:dyDescent="0.25">
      <c r="A365" t="s">
        <v>1595</v>
      </c>
      <c r="B365" t="s">
        <v>1597</v>
      </c>
      <c r="C365" t="s">
        <v>4244</v>
      </c>
      <c r="D365">
        <f>IF('Enemies'!D179&gt;0,'Enemies'!D179,'Enemies'!D368)</f>
        <v>2</v>
      </c>
      <c r="E365" t="s">
        <v>4212</v>
      </c>
    </row>
    <row r="366" spans="1:5" x14ac:dyDescent="0.25">
      <c r="A366" t="s">
        <v>1595</v>
      </c>
      <c r="B366" t="s">
        <v>1597</v>
      </c>
      <c r="C366" t="s">
        <v>4245</v>
      </c>
      <c r="D366">
        <f>IF('Enemies'!D180&gt;0,'Enemies'!D180,IF(OR(AND(FALSE,7&gt;='Enemies'!D424),AND(TRUE,7&gt;='Enemies'!D432)),'Enemies'!D440,1))</f>
        <v>2</v>
      </c>
      <c r="E366" t="s">
        <v>4214</v>
      </c>
    </row>
    <row r="367" spans="1:5" x14ac:dyDescent="0.25">
      <c r="A367" t="s">
        <v>1595</v>
      </c>
      <c r="B367" t="s">
        <v>1597</v>
      </c>
      <c r="C367" t="s">
        <v>4246</v>
      </c>
      <c r="D36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364/'Enemies'!D544,0)*MAX('Slots'!D38,'Slots'!D39,'Slots'!D40,'Slots'!D41),0)</f>
        <v>16</v>
      </c>
      <c r="E367" t="s">
        <v>4216</v>
      </c>
    </row>
    <row r="368" spans="1:5" x14ac:dyDescent="0.25">
      <c r="A368" t="s">
        <v>1595</v>
      </c>
      <c r="B368" t="s">
        <v>1597</v>
      </c>
      <c r="C368" t="s">
        <v>4247</v>
      </c>
      <c r="D368">
        <f>ROUNDUP(ROUNDUP(('Enemies'!D592+8*'Enemies'!D600+MAX(0,8-'Enemies'!D560)^2*'Enemies'!D608)*'Enemies'!D616*'Enemies'!D624,0)*'Enemies'!D177,0)</f>
        <v>140</v>
      </c>
      <c r="E368" t="s">
        <v>4208</v>
      </c>
    </row>
    <row r="369" spans="1:5" x14ac:dyDescent="0.25">
      <c r="A369" t="s">
        <v>1595</v>
      </c>
      <c r="B369" t="s">
        <v>1597</v>
      </c>
      <c r="C369" t="s">
        <v>4248</v>
      </c>
      <c r="D369">
        <f>MAX(1,ROUNDDOWN((MAX(1,ROUNDDOWN('Enemies'!D344+ROUNDDOWN((8-1)/'Enemies'!D352,0)+1+1,0)))*'Enemies'!D178,0))</f>
        <v>6</v>
      </c>
      <c r="E369" t="s">
        <v>4210</v>
      </c>
    </row>
    <row r="370" spans="1:5" x14ac:dyDescent="0.25">
      <c r="A370" t="s">
        <v>1595</v>
      </c>
      <c r="B370" t="s">
        <v>1597</v>
      </c>
      <c r="C370" t="s">
        <v>4249</v>
      </c>
      <c r="D370">
        <f>IF('Enemies'!D179&gt;0,'Enemies'!D179,'Enemies'!D368)</f>
        <v>2</v>
      </c>
      <c r="E370" t="s">
        <v>4212</v>
      </c>
    </row>
    <row r="371" spans="1:5" x14ac:dyDescent="0.25">
      <c r="A371" t="s">
        <v>1595</v>
      </c>
      <c r="B371" t="s">
        <v>1597</v>
      </c>
      <c r="C371" t="s">
        <v>4250</v>
      </c>
      <c r="D371">
        <f>IF('Enemies'!D180&gt;0,'Enemies'!D180,IF(OR(AND(FALSE,8&gt;='Enemies'!D424),AND(TRUE,8&gt;='Enemies'!D432)),'Enemies'!D440,1))</f>
        <v>2</v>
      </c>
      <c r="E371" t="s">
        <v>4214</v>
      </c>
    </row>
    <row r="372" spans="1:5" x14ac:dyDescent="0.25">
      <c r="A372" t="s">
        <v>1595</v>
      </c>
      <c r="B372" t="s">
        <v>1597</v>
      </c>
      <c r="C372" t="s">
        <v>4251</v>
      </c>
      <c r="D37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369/'Enemies'!D544,0)*MAX('Slots'!D38,'Slots'!D39,'Slots'!D40,'Slots'!D41),0)</f>
        <v>16</v>
      </c>
      <c r="E372" t="s">
        <v>4216</v>
      </c>
    </row>
    <row r="373" spans="1:5" x14ac:dyDescent="0.25">
      <c r="A373" t="s">
        <v>1595</v>
      </c>
      <c r="B373" t="s">
        <v>1597</v>
      </c>
      <c r="C373" t="s">
        <v>4252</v>
      </c>
      <c r="D373">
        <f>ROUNDUP(ROUNDUP(('Enemies'!D592+9*'Enemies'!D600+MAX(0,9-'Enemies'!D560)^2*'Enemies'!D608)*'Enemies'!D616*'Enemies'!D624,0)*'Enemies'!D177,0)</f>
        <v>160</v>
      </c>
      <c r="E373" t="s">
        <v>4208</v>
      </c>
    </row>
    <row r="374" spans="1:5" x14ac:dyDescent="0.25">
      <c r="A374" t="s">
        <v>1595</v>
      </c>
      <c r="B374" t="s">
        <v>1597</v>
      </c>
      <c r="C374" t="s">
        <v>4253</v>
      </c>
      <c r="D374">
        <f>MAX(1,ROUNDDOWN((MAX(1,ROUNDDOWN('Enemies'!D344+ROUNDDOWN((9-1)/'Enemies'!D352,0)+1+1,0)))*'Enemies'!D178,0))</f>
        <v>6</v>
      </c>
      <c r="E374" t="s">
        <v>4210</v>
      </c>
    </row>
    <row r="375" spans="1:5" x14ac:dyDescent="0.25">
      <c r="A375" t="s">
        <v>1595</v>
      </c>
      <c r="B375" t="s">
        <v>1597</v>
      </c>
      <c r="C375" t="s">
        <v>4254</v>
      </c>
      <c r="D375">
        <f>IF('Enemies'!D179&gt;0,'Enemies'!D179,'Enemies'!D368)</f>
        <v>2</v>
      </c>
      <c r="E375" t="s">
        <v>4212</v>
      </c>
    </row>
    <row r="376" spans="1:5" x14ac:dyDescent="0.25">
      <c r="A376" t="s">
        <v>1595</v>
      </c>
      <c r="B376" t="s">
        <v>1597</v>
      </c>
      <c r="C376" t="s">
        <v>4255</v>
      </c>
      <c r="D376">
        <f>IF('Enemies'!D180&gt;0,'Enemies'!D180,IF(OR(AND(FALSE,9&gt;='Enemies'!D424),AND(TRUE,9&gt;='Enemies'!D432)),'Enemies'!D440,1))</f>
        <v>2</v>
      </c>
      <c r="E376" t="s">
        <v>4214</v>
      </c>
    </row>
    <row r="377" spans="1:5" x14ac:dyDescent="0.25">
      <c r="A377" t="s">
        <v>1595</v>
      </c>
      <c r="B377" t="s">
        <v>1597</v>
      </c>
      <c r="C377" t="s">
        <v>4256</v>
      </c>
      <c r="D37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374/'Enemies'!D544,0)*MAX('Slots'!D38,'Slots'!D39,'Slots'!D40,'Slots'!D41),0)</f>
        <v>16</v>
      </c>
      <c r="E377" t="s">
        <v>4216</v>
      </c>
    </row>
    <row r="378" spans="1:5" x14ac:dyDescent="0.25">
      <c r="A378" t="s">
        <v>1595</v>
      </c>
      <c r="B378" t="s">
        <v>1597</v>
      </c>
      <c r="C378" t="s">
        <v>4257</v>
      </c>
      <c r="D378">
        <f>ROUNDUP(ROUNDUP(('Enemies'!D592+10*'Enemies'!D600+MAX(0,10-'Enemies'!D560)^2*'Enemies'!D608)*'Enemies'!D616*'Enemies'!D624,0)*'Enemies'!D177,0)</f>
        <v>183</v>
      </c>
      <c r="E378" t="s">
        <v>4208</v>
      </c>
    </row>
    <row r="379" spans="1:5" x14ac:dyDescent="0.25">
      <c r="A379" t="s">
        <v>1595</v>
      </c>
      <c r="B379" t="s">
        <v>1597</v>
      </c>
      <c r="C379" t="s">
        <v>4258</v>
      </c>
      <c r="D379">
        <f>MAX(1,ROUNDDOWN((MAX(1,ROUNDDOWN('Enemies'!D344+ROUNDDOWN((10-1)/'Enemies'!D352,0)+1+1,0)))*'Enemies'!D178,0))</f>
        <v>7</v>
      </c>
      <c r="E379" t="s">
        <v>4210</v>
      </c>
    </row>
    <row r="380" spans="1:5" x14ac:dyDescent="0.25">
      <c r="A380" t="s">
        <v>1595</v>
      </c>
      <c r="B380" t="s">
        <v>1597</v>
      </c>
      <c r="C380" t="s">
        <v>4259</v>
      </c>
      <c r="D380">
        <f>IF('Enemies'!D179&gt;0,'Enemies'!D179,'Enemies'!D368)</f>
        <v>2</v>
      </c>
      <c r="E380" t="s">
        <v>4212</v>
      </c>
    </row>
    <row r="381" spans="1:5" x14ac:dyDescent="0.25">
      <c r="A381" t="s">
        <v>1595</v>
      </c>
      <c r="B381" t="s">
        <v>1597</v>
      </c>
      <c r="C381" t="s">
        <v>4260</v>
      </c>
      <c r="D381">
        <f>IF('Enemies'!D180&gt;0,'Enemies'!D180,IF(OR(AND(FALSE,10&gt;='Enemies'!D424),AND(TRUE,10&gt;='Enemies'!D432)),'Enemies'!D440,1))</f>
        <v>2</v>
      </c>
      <c r="E381" t="s">
        <v>4214</v>
      </c>
    </row>
    <row r="382" spans="1:5" x14ac:dyDescent="0.25">
      <c r="A382" t="s">
        <v>1595</v>
      </c>
      <c r="B382" t="s">
        <v>1597</v>
      </c>
      <c r="C382" t="s">
        <v>4261</v>
      </c>
      <c r="D38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379/'Enemies'!D544,0)*MAX('Slots'!D38,'Slots'!D39,'Slots'!D40,'Slots'!D41),0)</f>
        <v>20</v>
      </c>
      <c r="E382" t="s">
        <v>4216</v>
      </c>
    </row>
    <row r="383" spans="1:5" x14ac:dyDescent="0.25">
      <c r="A383" t="s">
        <v>1607</v>
      </c>
      <c r="B383" t="s">
        <v>1609</v>
      </c>
      <c r="C383" t="s">
        <v>4207</v>
      </c>
      <c r="D383">
        <f>ROUNDUP(ROUNDUP('Enemies'!D568+1*'Enemies'!D576+MAX(0,1-'Enemies'!D560)^2*'Enemies'!D584,0)*'Enemies'!D187,0)</f>
        <v>39</v>
      </c>
      <c r="E383" t="s">
        <v>4208</v>
      </c>
    </row>
    <row r="384" spans="1:5" x14ac:dyDescent="0.25">
      <c r="A384" t="s">
        <v>1607</v>
      </c>
      <c r="B384" t="s">
        <v>1609</v>
      </c>
      <c r="C384" t="s">
        <v>4209</v>
      </c>
      <c r="D384">
        <f>MAX(1,ROUNDDOWN(('Enemies'!D328+ROUNDDOWN(1/'Enemies'!D336,0))*'Enemies'!D188,0))</f>
        <v>2</v>
      </c>
      <c r="E384" t="s">
        <v>4210</v>
      </c>
    </row>
    <row r="385" spans="1:5" x14ac:dyDescent="0.25">
      <c r="A385" t="s">
        <v>1607</v>
      </c>
      <c r="B385" t="s">
        <v>1609</v>
      </c>
      <c r="C385" t="s">
        <v>4211</v>
      </c>
      <c r="D385">
        <f>IF('Enemies'!D189&gt;0,'Enemies'!D189,IF(1&gt;='Enemies'!D376,1,'Enemies'!D384))</f>
        <v>2</v>
      </c>
      <c r="E385" t="s">
        <v>4212</v>
      </c>
    </row>
    <row r="386" spans="1:5" x14ac:dyDescent="0.25">
      <c r="A386" t="s">
        <v>1607</v>
      </c>
      <c r="B386" t="s">
        <v>1609</v>
      </c>
      <c r="C386" t="s">
        <v>4213</v>
      </c>
      <c r="D386">
        <f>IF('Enemies'!D190&gt;0,'Enemies'!D190,IF(OR(AND(TRUE,1&gt;='Enemies'!D424),AND(FALSE,1&gt;='Enemies'!D432)),'Enemies'!D440,1))</f>
        <v>1</v>
      </c>
      <c r="E386" t="s">
        <v>4214</v>
      </c>
    </row>
    <row r="387" spans="1:5" x14ac:dyDescent="0.25">
      <c r="A387" t="s">
        <v>1607</v>
      </c>
      <c r="B387" t="s">
        <v>1609</v>
      </c>
      <c r="C387" t="s">
        <v>4215</v>
      </c>
      <c r="D38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384/'Enemies'!D544,0)*MAX('Slots'!D38,'Slots'!D39,'Slots'!D40,'Slots'!D41),0)</f>
        <v>12</v>
      </c>
      <c r="E387" t="s">
        <v>4216</v>
      </c>
    </row>
    <row r="388" spans="1:5" x14ac:dyDescent="0.25">
      <c r="A388" t="s">
        <v>1619</v>
      </c>
      <c r="B388" t="s">
        <v>1621</v>
      </c>
      <c r="C388" t="s">
        <v>4217</v>
      </c>
      <c r="D388">
        <f>ROUNDUP(ROUNDUP('Enemies'!D568+2*'Enemies'!D576+MAX(0,2-'Enemies'!D560)^2*'Enemies'!D584,0)*'Enemies'!D197,0)</f>
        <v>48</v>
      </c>
      <c r="E388" t="s">
        <v>4208</v>
      </c>
    </row>
    <row r="389" spans="1:5" x14ac:dyDescent="0.25">
      <c r="A389" t="s">
        <v>1619</v>
      </c>
      <c r="B389" t="s">
        <v>1621</v>
      </c>
      <c r="C389" t="s">
        <v>4218</v>
      </c>
      <c r="D389">
        <f>MAX(1,ROUNDDOWN(('Enemies'!D328+ROUNDDOWN(2/'Enemies'!D336,0))*'Enemies'!D198,0))</f>
        <v>2</v>
      </c>
      <c r="E389" t="s">
        <v>4210</v>
      </c>
    </row>
    <row r="390" spans="1:5" x14ac:dyDescent="0.25">
      <c r="A390" t="s">
        <v>1619</v>
      </c>
      <c r="B390" t="s">
        <v>1621</v>
      </c>
      <c r="C390" t="s">
        <v>4219</v>
      </c>
      <c r="D390">
        <f>IF('Enemies'!D199&gt;0,'Enemies'!D199,IF(2&gt;='Enemies'!D376,1,'Enemies'!D384))</f>
        <v>2</v>
      </c>
      <c r="E390" t="s">
        <v>4212</v>
      </c>
    </row>
    <row r="391" spans="1:5" x14ac:dyDescent="0.25">
      <c r="A391" t="s">
        <v>1619</v>
      </c>
      <c r="B391" t="s">
        <v>1621</v>
      </c>
      <c r="C391" t="s">
        <v>4220</v>
      </c>
      <c r="D391">
        <f>IF('Enemies'!D200&gt;0,'Enemies'!D200,IF(OR(AND(TRUE,2&gt;='Enemies'!D424),AND(FALSE,2&gt;='Enemies'!D432)),'Enemies'!D440,1))</f>
        <v>1</v>
      </c>
      <c r="E391" t="s">
        <v>4214</v>
      </c>
    </row>
    <row r="392" spans="1:5" x14ac:dyDescent="0.25">
      <c r="A392" t="s">
        <v>1619</v>
      </c>
      <c r="B392" t="s">
        <v>1621</v>
      </c>
      <c r="C392" t="s">
        <v>4221</v>
      </c>
      <c r="D392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389/'Enemies'!D544,0)*MAX('Slots'!D38,'Slots'!D39,'Slots'!D40,'Slots'!D41),0)</f>
        <v>12</v>
      </c>
      <c r="E392" t="s">
        <v>4216</v>
      </c>
    </row>
    <row r="393" spans="1:5" x14ac:dyDescent="0.25">
      <c r="A393" t="s">
        <v>1631</v>
      </c>
      <c r="B393" t="s">
        <v>1633</v>
      </c>
      <c r="C393" t="s">
        <v>4222</v>
      </c>
      <c r="D393">
        <f>ROUNDUP(ROUNDUP('Enemies'!D568+3*'Enemies'!D576+MAX(0,3-'Enemies'!D560)^2*'Enemies'!D584,0)*'Enemies'!D207,0)</f>
        <v>57</v>
      </c>
      <c r="E393" t="s">
        <v>4208</v>
      </c>
    </row>
    <row r="394" spans="1:5" x14ac:dyDescent="0.25">
      <c r="A394" t="s">
        <v>1631</v>
      </c>
      <c r="B394" t="s">
        <v>1633</v>
      </c>
      <c r="C394" t="s">
        <v>4223</v>
      </c>
      <c r="D394">
        <f>MAX(1,ROUNDDOWN(('Enemies'!D328+ROUNDDOWN(3/'Enemies'!D336,0))*'Enemies'!D208,0))</f>
        <v>3</v>
      </c>
      <c r="E394" t="s">
        <v>4210</v>
      </c>
    </row>
    <row r="395" spans="1:5" x14ac:dyDescent="0.25">
      <c r="A395" t="s">
        <v>1631</v>
      </c>
      <c r="B395" t="s">
        <v>1633</v>
      </c>
      <c r="C395" t="s">
        <v>4224</v>
      </c>
      <c r="D395">
        <f>IF('Enemies'!D209&gt;0,'Enemies'!D209,IF(3&gt;='Enemies'!D376,1,'Enemies'!D384))</f>
        <v>2</v>
      </c>
      <c r="E395" t="s">
        <v>4212</v>
      </c>
    </row>
    <row r="396" spans="1:5" x14ac:dyDescent="0.25">
      <c r="A396" t="s">
        <v>1631</v>
      </c>
      <c r="B396" t="s">
        <v>1633</v>
      </c>
      <c r="C396" t="s">
        <v>4225</v>
      </c>
      <c r="D396">
        <f>IF('Enemies'!D210&gt;0,'Enemies'!D210,IF(OR(AND(TRUE,3&gt;='Enemies'!D424),AND(FALSE,3&gt;='Enemies'!D432)),'Enemies'!D440,1))</f>
        <v>1</v>
      </c>
      <c r="E396" t="s">
        <v>4214</v>
      </c>
    </row>
    <row r="397" spans="1:5" x14ac:dyDescent="0.25">
      <c r="A397" t="s">
        <v>1631</v>
      </c>
      <c r="B397" t="s">
        <v>1633</v>
      </c>
      <c r="C397" t="s">
        <v>4226</v>
      </c>
      <c r="D397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394/'Enemies'!D544,0)*MAX('Slots'!D38,'Slots'!D39,'Slots'!D40,'Slots'!D41),0)</f>
        <v>16</v>
      </c>
      <c r="E397" t="s">
        <v>4216</v>
      </c>
    </row>
    <row r="398" spans="1:5" x14ac:dyDescent="0.25">
      <c r="A398" t="s">
        <v>1643</v>
      </c>
      <c r="B398" t="s">
        <v>1645</v>
      </c>
      <c r="C398" t="s">
        <v>4227</v>
      </c>
      <c r="D398">
        <f>ROUNDUP(ROUNDUP('Enemies'!D568+4*'Enemies'!D576+MAX(0,4-'Enemies'!D560)^2*'Enemies'!D584,0)*'Enemies'!D217,0)</f>
        <v>70</v>
      </c>
      <c r="E398" t="s">
        <v>4208</v>
      </c>
    </row>
    <row r="399" spans="1:5" x14ac:dyDescent="0.25">
      <c r="A399" t="s">
        <v>1643</v>
      </c>
      <c r="B399" t="s">
        <v>1645</v>
      </c>
      <c r="C399" t="s">
        <v>4228</v>
      </c>
      <c r="D399">
        <f>MAX(1,ROUNDDOWN(('Enemies'!D328+ROUNDDOWN(4/'Enemies'!D336,0))*'Enemies'!D218,0))</f>
        <v>3</v>
      </c>
      <c r="E399" t="s">
        <v>4210</v>
      </c>
    </row>
    <row r="400" spans="1:5" x14ac:dyDescent="0.25">
      <c r="A400" t="s">
        <v>1643</v>
      </c>
      <c r="B400" t="s">
        <v>1645</v>
      </c>
      <c r="C400" t="s">
        <v>4229</v>
      </c>
      <c r="D400">
        <f>IF('Enemies'!D219&gt;0,'Enemies'!D219,IF(4&gt;='Enemies'!D376,1,'Enemies'!D384))</f>
        <v>2</v>
      </c>
      <c r="E400" t="s">
        <v>4212</v>
      </c>
    </row>
    <row r="401" spans="1:5" x14ac:dyDescent="0.25">
      <c r="A401" t="s">
        <v>1643</v>
      </c>
      <c r="B401" t="s">
        <v>1645</v>
      </c>
      <c r="C401" t="s">
        <v>4230</v>
      </c>
      <c r="D401">
        <f>IF('Enemies'!D220&gt;0,'Enemies'!D220,IF(OR(AND(TRUE,4&gt;='Enemies'!D424),AND(FALSE,4&gt;='Enemies'!D432)),'Enemies'!D440,1))</f>
        <v>1</v>
      </c>
      <c r="E401" t="s">
        <v>4214</v>
      </c>
    </row>
    <row r="402" spans="1:5" x14ac:dyDescent="0.25">
      <c r="A402" t="s">
        <v>1643</v>
      </c>
      <c r="B402" t="s">
        <v>1645</v>
      </c>
      <c r="C402" t="s">
        <v>4231</v>
      </c>
      <c r="D402">
        <f>ROUNDUP(ROUNDUP((MAX(IF(OR('Reels'!D321="attack",'Reels'!D321="magic"),CHOOSE('Reels'!D322+1,'Slots'!D29,'Slots'!D30,'Slots'!D31,'Slots'!D32,'Slots'!D33),0),IF(OR('Reels'!D324="attack",'Reels'!D324="magic"),CHOOSE('Reels'!D325+1,'Slots'!D29,'Slots'!D30,'Slots'!D31,'Slots'!D32,'Slots'!D33),0),IF(OR('Reels'!D327="attack",'Reels'!D327="magic"),CHOOSE('Reels'!D328+1,'Slots'!D29,'Slots'!D30,'Slots'!D31,'Slots'!D32,'Slots'!D33),0),IF(OR('Reels'!D330="attack",'Reels'!D330="magic"),CHOOSE('Reels'!D331+1,'Slots'!D29,'Slots'!D30,'Slots'!D31,'Slots'!D32,'Slots'!D33),0),IF(OR('Reels'!D333="attack",'Reels'!D333="magic"),CHOOSE('Reels'!D334+1,'Slots'!D29,'Slots'!D30,'Slots'!D31,'Slots'!D32,'Slots'!D33),0),IF(OR('Reels'!D336="attack",'Reels'!D336="magic"),CHOOSE('Reels'!D337+1,'Slots'!D29,'Slots'!D30,'Slots'!D31,'Slots'!D32,'Slots'!D33),0))+MAX(IF(OR('Reels'!D339="attack",'Reels'!D339="magic"),CHOOSE('Reels'!D340+1,'Slots'!D29,'Slots'!D30,'Slots'!D31,'Slots'!D32,'Slots'!D33),0),IF(OR('Reels'!D342="attack",'Reels'!D342="magic"),CHOOSE('Reels'!D343+1,'Slots'!D29,'Slots'!D30,'Slots'!D31,'Slots'!D32,'Slots'!D33),0),IF(OR('Reels'!D345="attack",'Reels'!D345="magic"),CHOOSE('Reels'!D346+1,'Slots'!D29,'Slots'!D30,'Slots'!D31,'Slots'!D32,'Slots'!D33),0),IF(OR('Reels'!D348="attack",'Reels'!D348="magic"),CHOOSE('Reels'!D349+1,'Slots'!D29,'Slots'!D30,'Slots'!D31,'Slots'!D32,'Slots'!D33),0),IF(OR('Reels'!D351="attack",'Reels'!D351="magic"),CHOOSE('Reels'!D352+1,'Slots'!D29,'Slots'!D30,'Slots'!D31,'Slots'!D32,'Slots'!D33),0),IF(OR('Reels'!D354="attack",'Reels'!D354="magic"),CHOOSE('Reels'!D355+1,'Slots'!D29,'Slots'!D30,'Slots'!D31,'Slots'!D32,'Slots'!D33),0))+MAX(IF(OR('Reels'!D357="attack",'Reels'!D357="magic"),CHOOSE('Reels'!D358+1,'Slots'!D29,'Slots'!D30,'Slots'!D31,'Slots'!D32,'Slots'!D33),0),IF(OR('Reels'!D360="attack",'Reels'!D360="magic"),CHOOSE('Reels'!D361+1,'Slots'!D29,'Slots'!D30,'Slots'!D31,'Slots'!D32,'Slots'!D33),0),IF(OR('Reels'!D363="attack",'Reels'!D363="magic"),CHOOSE('Reels'!D364+1,'Slots'!D29,'Slots'!D30,'Slots'!D31,'Slots'!D32,'Slots'!D33),0),IF(OR('Reels'!D366="attack",'Reels'!D366="magic"),CHOOSE('Reels'!D367+1,'Slots'!D29,'Slots'!D30,'Slots'!D31,'Slots'!D32,'Slots'!D33),0),IF(OR('Reels'!D369="attack",'Reels'!D369="magic"),CHOOSE('Reels'!D370+1,'Slots'!D29,'Slots'!D30,'Slots'!D31,'Slots'!D32,'Slots'!D33),0),IF(OR('Reels'!D372="attack",'Reels'!D372="magic"),CHOOSE('Reels'!D373+1,'Slots'!D29,'Slots'!D30,'Slots'!D31,'Slots'!D32,'Slots'!D33),0)))*D399/'Enemies'!D544,0)*MAX('Slots'!D38,'Slots'!D39,'Slots'!D40,'Slots'!D41),0)</f>
        <v>16</v>
      </c>
      <c r="E402" t="s">
        <v>4216</v>
      </c>
    </row>
    <row r="403" spans="1:5" x14ac:dyDescent="0.25">
      <c r="A403" t="s">
        <v>1655</v>
      </c>
      <c r="B403" t="s">
        <v>1657</v>
      </c>
      <c r="C403" t="s">
        <v>4232</v>
      </c>
      <c r="D403">
        <f>ROUNDUP(ROUNDUP('Enemies'!D568+5*'Enemies'!D576+MAX(0,5-'Enemies'!D560)^2*'Enemies'!D584,0)*'Enemies'!D227,0)</f>
        <v>88</v>
      </c>
      <c r="E403" t="s">
        <v>4208</v>
      </c>
    </row>
    <row r="404" spans="1:5" x14ac:dyDescent="0.25">
      <c r="A404" t="s">
        <v>1655</v>
      </c>
      <c r="B404" t="s">
        <v>1657</v>
      </c>
      <c r="C404" t="s">
        <v>4233</v>
      </c>
      <c r="D404">
        <f>MAX(1,ROUNDDOWN(('Enemies'!D328+ROUNDDOWN(5/'Enemies'!D336,0))*'Enemies'!D228,0))</f>
        <v>3</v>
      </c>
      <c r="E404" t="s">
        <v>4210</v>
      </c>
    </row>
    <row r="405" spans="1:5" x14ac:dyDescent="0.25">
      <c r="A405" t="s">
        <v>1655</v>
      </c>
      <c r="B405" t="s">
        <v>1657</v>
      </c>
      <c r="C405" t="s">
        <v>4234</v>
      </c>
      <c r="D405">
        <f>IF('Enemies'!D229&gt;0,'Enemies'!D229,IF(5&gt;='Enemies'!D376,1,'Enemies'!D384))</f>
        <v>2</v>
      </c>
      <c r="E405" t="s">
        <v>4212</v>
      </c>
    </row>
    <row r="406" spans="1:5" x14ac:dyDescent="0.25">
      <c r="A406" t="s">
        <v>1655</v>
      </c>
      <c r="B406" t="s">
        <v>1657</v>
      </c>
      <c r="C406" t="s">
        <v>4235</v>
      </c>
      <c r="D406">
        <f>IF('Enemies'!D230&gt;0,'Enemies'!D230,IF(OR(AND(TRUE,5&gt;='Enemies'!D424),AND(FALSE,5&gt;='Enemies'!D432)),'Enemies'!D440,1))</f>
        <v>1</v>
      </c>
      <c r="E406" t="s">
        <v>4214</v>
      </c>
    </row>
    <row r="407" spans="1:5" x14ac:dyDescent="0.25">
      <c r="A407" t="s">
        <v>1655</v>
      </c>
      <c r="B407" t="s">
        <v>1657</v>
      </c>
      <c r="C407" t="s">
        <v>4236</v>
      </c>
      <c r="D407">
        <f>ROUNDUP(ROUNDUP((MAX(IF(OR('Reels'!D376="attack",'Reels'!D376="magic"),CHOOSE('Reels'!D377+1,'Slots'!D29,'Slots'!D30,'Slots'!D31,'Slots'!D32,'Slots'!D33),0),IF(OR('Reels'!D379="attack",'Reels'!D379="magic"),CHOOSE('Reels'!D380+1,'Slots'!D29,'Slots'!D30,'Slots'!D31,'Slots'!D32,'Slots'!D33),0),IF(OR('Reels'!D382="attack",'Reels'!D382="magic"),CHOOSE('Reels'!D383+1,'Slots'!D29,'Slots'!D30,'Slots'!D31,'Slots'!D32,'Slots'!D33),0),IF(OR('Reels'!D385="attack",'Reels'!D385="magic"),CHOOSE('Reels'!D386+1,'Slots'!D29,'Slots'!D30,'Slots'!D31,'Slots'!D32,'Slots'!D33),0),IF(OR('Reels'!D388="attack",'Reels'!D388="magic"),CHOOSE('Reels'!D389+1,'Slots'!D29,'Slots'!D30,'Slots'!D31,'Slots'!D32,'Slots'!D33),0),IF(OR('Reels'!D391="attack",'Reels'!D391="magic"),CHOOSE('Reels'!D392+1,'Slots'!D29,'Slots'!D30,'Slots'!D31,'Slots'!D32,'Slots'!D33),0))+MAX(IF(OR('Reels'!D394="attack",'Reels'!D394="magic"),CHOOSE('Reels'!D395+1,'Slots'!D29,'Slots'!D30,'Slots'!D31,'Slots'!D32,'Slots'!D33),0),IF(OR('Reels'!D397="attack",'Reels'!D397="magic"),CHOOSE('Reels'!D398+1,'Slots'!D29,'Slots'!D30,'Slots'!D31,'Slots'!D32,'Slots'!D33),0),IF(OR('Reels'!D400="attack",'Reels'!D400="magic"),CHOOSE('Reels'!D401+1,'Slots'!D29,'Slots'!D30,'Slots'!D31,'Slots'!D32,'Slots'!D33),0),IF(OR('Reels'!D403="attack",'Reels'!D403="magic"),CHOOSE('Reels'!D404+1,'Slots'!D29,'Slots'!D30,'Slots'!D31,'Slots'!D32,'Slots'!D33),0),IF(OR('Reels'!D406="attack",'Reels'!D406="magic"),CHOOSE('Reels'!D407+1,'Slots'!D29,'Slots'!D30,'Slots'!D31,'Slots'!D32,'Slots'!D33),0),IF(OR('Reels'!D409="attack",'Reels'!D409="magic"),CHOOSE('Reels'!D410+1,'Slots'!D29,'Slots'!D30,'Slots'!D31,'Slots'!D32,'Slots'!D33),0))+MAX(IF(OR('Reels'!D412="attack",'Reels'!D412="magic"),CHOOSE('Reels'!D413+1,'Slots'!D29,'Slots'!D30,'Slots'!D31,'Slots'!D32,'Slots'!D33),0),IF(OR('Reels'!D415="attack",'Reels'!D415="magic"),CHOOSE('Reels'!D416+1,'Slots'!D29,'Slots'!D30,'Slots'!D31,'Slots'!D32,'Slots'!D33),0),IF(OR('Reels'!D418="attack",'Reels'!D418="magic"),CHOOSE('Reels'!D419+1,'Slots'!D29,'Slots'!D30,'Slots'!D31,'Slots'!D32,'Slots'!D33),0),IF(OR('Reels'!D421="attack",'Reels'!D421="magic"),CHOOSE('Reels'!D422+1,'Slots'!D29,'Slots'!D30,'Slots'!D31,'Slots'!D32,'Slots'!D33),0),IF(OR('Reels'!D424="attack",'Reels'!D424="magic"),CHOOSE('Reels'!D425+1,'Slots'!D29,'Slots'!D30,'Slots'!D31,'Slots'!D32,'Slots'!D33),0),IF(OR('Reels'!D427="attack",'Reels'!D427="magic"),CHOOSE('Reels'!D428+1,'Slots'!D29,'Slots'!D30,'Slots'!D31,'Slots'!D32,'Slots'!D33),0)))*D404/'Enemies'!D544,0)*MAX('Slots'!D38,'Slots'!D39,'Slots'!D40,'Slots'!D41),0)</f>
        <v>16</v>
      </c>
      <c r="E407" t="s">
        <v>4216</v>
      </c>
    </row>
    <row r="408" spans="1:5" x14ac:dyDescent="0.25">
      <c r="A408" t="s">
        <v>1667</v>
      </c>
      <c r="B408" t="s">
        <v>1669</v>
      </c>
      <c r="C408" t="s">
        <v>4237</v>
      </c>
      <c r="D408">
        <f>ROUNDUP(ROUNDUP('Enemies'!D568+6*'Enemies'!D576+MAX(0,6-'Enemies'!D560)^2*'Enemies'!D584,0)*'Enemies'!D237,0)</f>
        <v>113</v>
      </c>
      <c r="E408" t="s">
        <v>4208</v>
      </c>
    </row>
    <row r="409" spans="1:5" x14ac:dyDescent="0.25">
      <c r="A409" t="s">
        <v>1667</v>
      </c>
      <c r="B409" t="s">
        <v>1669</v>
      </c>
      <c r="C409" t="s">
        <v>4238</v>
      </c>
      <c r="D409">
        <f>MAX(1,ROUNDDOWN(('Enemies'!D328+ROUNDDOWN(6/'Enemies'!D336,0))*'Enemies'!D238,0))</f>
        <v>4</v>
      </c>
      <c r="E409" t="s">
        <v>4210</v>
      </c>
    </row>
    <row r="410" spans="1:5" x14ac:dyDescent="0.25">
      <c r="A410" t="s">
        <v>1667</v>
      </c>
      <c r="B410" t="s">
        <v>1669</v>
      </c>
      <c r="C410" t="s">
        <v>4239</v>
      </c>
      <c r="D410">
        <f>IF('Enemies'!D239&gt;0,'Enemies'!D239,IF(6&gt;='Enemies'!D376,1,'Enemies'!D384))</f>
        <v>2</v>
      </c>
      <c r="E410" t="s">
        <v>4212</v>
      </c>
    </row>
    <row r="411" spans="1:5" x14ac:dyDescent="0.25">
      <c r="A411" t="s">
        <v>1667</v>
      </c>
      <c r="B411" t="s">
        <v>1669</v>
      </c>
      <c r="C411" t="s">
        <v>4240</v>
      </c>
      <c r="D411">
        <f>IF('Enemies'!D240&gt;0,'Enemies'!D240,IF(OR(AND(TRUE,6&gt;='Enemies'!D424),AND(FALSE,6&gt;='Enemies'!D432)),'Enemies'!D440,1))</f>
        <v>2</v>
      </c>
      <c r="E411" t="s">
        <v>4214</v>
      </c>
    </row>
    <row r="412" spans="1:5" x14ac:dyDescent="0.25">
      <c r="A412" t="s">
        <v>1667</v>
      </c>
      <c r="B412" t="s">
        <v>1669</v>
      </c>
      <c r="C412" t="s">
        <v>4241</v>
      </c>
      <c r="D412">
        <f>ROUNDUP(ROUNDUP((MAX(IF(OR('Reels'!D541="attack",'Reels'!D541="magic"),CHOOSE('Reels'!D542+1,'Slots'!D29,'Slots'!D30,'Slots'!D31,'Slots'!D32,'Slots'!D33),0),IF(OR('Reels'!D544="attack",'Reels'!D544="magic"),CHOOSE('Reels'!D545+1,'Slots'!D29,'Slots'!D30,'Slots'!D31,'Slots'!D32,'Slots'!D33),0),IF(OR('Reels'!D547="attack",'Reels'!D547="magic"),CHOOSE('Reels'!D548+1,'Slots'!D29,'Slots'!D30,'Slots'!D31,'Slots'!D32,'Slots'!D33),0),IF(OR('Reels'!D550="attack",'Reels'!D550="magic"),CHOOSE('Reels'!D551+1,'Slots'!D29,'Slots'!D30,'Slots'!D31,'Slots'!D32,'Slots'!D33),0),IF(OR('Reels'!D553="attack",'Reels'!D553="magic"),CHOOSE('Reels'!D554+1,'Slots'!D29,'Slots'!D30,'Slots'!D31,'Slots'!D32,'Slots'!D33),0),IF(OR('Reels'!D556="attack",'Reels'!D556="magic"),CHOOSE('Reels'!D557+1,'Slots'!D29,'Slots'!D30,'Slots'!D31,'Slots'!D32,'Slots'!D33),0))+MAX(IF(OR('Reels'!D559="attack",'Reels'!D559="magic"),CHOOSE('Reels'!D560+1,'Slots'!D29,'Slots'!D30,'Slots'!D31,'Slots'!D32,'Slots'!D33),0),IF(OR('Reels'!D562="attack",'Reels'!D562="magic"),CHOOSE('Reels'!D563+1,'Slots'!D29,'Slots'!D30,'Slots'!D31,'Slots'!D32,'Slots'!D33),0),IF(OR('Reels'!D565="attack",'Reels'!D565="magic"),CHOOSE('Reels'!D566+1,'Slots'!D29,'Slots'!D30,'Slots'!D31,'Slots'!D32,'Slots'!D33),0),IF(OR('Reels'!D568="attack",'Reels'!D568="magic"),CHOOSE('Reels'!D569+1,'Slots'!D29,'Slots'!D30,'Slots'!D31,'Slots'!D32,'Slots'!D33),0),IF(OR('Reels'!D571="attack",'Reels'!D571="magic"),CHOOSE('Reels'!D572+1,'Slots'!D29,'Slots'!D30,'Slots'!D31,'Slots'!D32,'Slots'!D33),0),IF(OR('Reels'!D574="attack",'Reels'!D574="magic"),CHOOSE('Reels'!D575+1,'Slots'!D29,'Slots'!D30,'Slots'!D31,'Slots'!D32,'Slots'!D33),0))+MAX(IF(OR('Reels'!D577="attack",'Reels'!D577="magic"),CHOOSE('Reels'!D578+1,'Slots'!D29,'Slots'!D30,'Slots'!D31,'Slots'!D32,'Slots'!D33),0),IF(OR('Reels'!D580="attack",'Reels'!D580="magic"),CHOOSE('Reels'!D581+1,'Slots'!D29,'Slots'!D30,'Slots'!D31,'Slots'!D32,'Slots'!D33),0),IF(OR('Reels'!D583="attack",'Reels'!D583="magic"),CHOOSE('Reels'!D584+1,'Slots'!D29,'Slots'!D30,'Slots'!D31,'Slots'!D32,'Slots'!D33),0),IF(OR('Reels'!D586="attack",'Reels'!D586="magic"),CHOOSE('Reels'!D587+1,'Slots'!D29,'Slots'!D30,'Slots'!D31,'Slots'!D32,'Slots'!D33),0),IF(OR('Reels'!D589="attack",'Reels'!D589="magic"),CHOOSE('Reels'!D590+1,'Slots'!D29,'Slots'!D30,'Slots'!D31,'Slots'!D32,'Slots'!D33),0),IF(OR('Reels'!D592="attack",'Reels'!D592="magic"),CHOOSE('Reels'!D593+1,'Slots'!D29,'Slots'!D30,'Slots'!D31,'Slots'!D32,'Slots'!D33),0)))*D409/'Enemies'!D544,0)*MAX('Slots'!D38,'Slots'!D39,'Slots'!D40,'Slots'!D41),0)</f>
        <v>24</v>
      </c>
      <c r="E412" t="s">
        <v>4216</v>
      </c>
    </row>
    <row r="413" spans="1:5" x14ac:dyDescent="0.25">
      <c r="A413" t="s">
        <v>1679</v>
      </c>
      <c r="B413" t="s">
        <v>1681</v>
      </c>
      <c r="C413" t="s">
        <v>4242</v>
      </c>
      <c r="D413">
        <f>ROUNDUP(ROUNDUP('Enemies'!D568+7*'Enemies'!D576+MAX(0,7-'Enemies'!D560)^2*'Enemies'!D584,0)*'Enemies'!D247,0)</f>
        <v>145</v>
      </c>
      <c r="E413" t="s">
        <v>4208</v>
      </c>
    </row>
    <row r="414" spans="1:5" x14ac:dyDescent="0.25">
      <c r="A414" t="s">
        <v>1679</v>
      </c>
      <c r="B414" t="s">
        <v>1681</v>
      </c>
      <c r="C414" t="s">
        <v>4243</v>
      </c>
      <c r="D414">
        <f>MAX(1,ROUNDDOWN(('Enemies'!D328+ROUNDDOWN(7/'Enemies'!D336,0))*'Enemies'!D248,0))</f>
        <v>4</v>
      </c>
      <c r="E414" t="s">
        <v>4210</v>
      </c>
    </row>
    <row r="415" spans="1:5" x14ac:dyDescent="0.25">
      <c r="A415" t="s">
        <v>1679</v>
      </c>
      <c r="B415" t="s">
        <v>1681</v>
      </c>
      <c r="C415" t="s">
        <v>4244</v>
      </c>
      <c r="D415">
        <f>IF('Enemies'!D249&gt;0,'Enemies'!D249,IF(7&gt;='Enemies'!D376,1,'Enemies'!D384))</f>
        <v>1</v>
      </c>
      <c r="E415" t="s">
        <v>4212</v>
      </c>
    </row>
    <row r="416" spans="1:5" x14ac:dyDescent="0.25">
      <c r="A416" t="s">
        <v>1679</v>
      </c>
      <c r="B416" t="s">
        <v>1681</v>
      </c>
      <c r="C416" t="s">
        <v>4245</v>
      </c>
      <c r="D416">
        <f>IF('Enemies'!D250&gt;0,'Enemies'!D250,IF(OR(AND(TRUE,7&gt;='Enemies'!D424),AND(FALSE,7&gt;='Enemies'!D432)),'Enemies'!D440,1))</f>
        <v>2</v>
      </c>
      <c r="E416" t="s">
        <v>4214</v>
      </c>
    </row>
    <row r="417" spans="1:5" x14ac:dyDescent="0.25">
      <c r="A417" t="s">
        <v>1679</v>
      </c>
      <c r="B417" t="s">
        <v>1681</v>
      </c>
      <c r="C417" t="s">
        <v>4246</v>
      </c>
      <c r="D417">
        <f>ROUNDUP(ROUNDUP((MAX(IF(OR('Reels'!D431="attack",'Reels'!D431="magic"),CHOOSE('Reels'!D432+1,'Slots'!D29,'Slots'!D30,'Slots'!D31,'Slots'!D32,'Slots'!D33),0),IF(OR('Reels'!D434="attack",'Reels'!D434="magic"),CHOOSE('Reels'!D435+1,'Slots'!D29,'Slots'!D30,'Slots'!D31,'Slots'!D32,'Slots'!D33),0),IF(OR('Reels'!D437="attack",'Reels'!D437="magic"),CHOOSE('Reels'!D438+1,'Slots'!D29,'Slots'!D30,'Slots'!D31,'Slots'!D32,'Slots'!D33),0),IF(OR('Reels'!D440="attack",'Reels'!D440="magic"),CHOOSE('Reels'!D441+1,'Slots'!D29,'Slots'!D30,'Slots'!D31,'Slots'!D32,'Slots'!D33),0),IF(OR('Reels'!D443="attack",'Reels'!D443="magic"),CHOOSE('Reels'!D444+1,'Slots'!D29,'Slots'!D30,'Slots'!D31,'Slots'!D32,'Slots'!D33),0),IF(OR('Reels'!D446="attack",'Reels'!D446="magic"),CHOOSE('Reels'!D447+1,'Slots'!D29,'Slots'!D30,'Slots'!D31,'Slots'!D32,'Slots'!D33),0))+MAX(IF(OR('Reels'!D449="attack",'Reels'!D449="magic"),CHOOSE('Reels'!D450+1,'Slots'!D29,'Slots'!D30,'Slots'!D31,'Slots'!D32,'Slots'!D33),0),IF(OR('Reels'!D452="attack",'Reels'!D452="magic"),CHOOSE('Reels'!D453+1,'Slots'!D29,'Slots'!D30,'Slots'!D31,'Slots'!D32,'Slots'!D33),0),IF(OR('Reels'!D455="attack",'Reels'!D455="magic"),CHOOSE('Reels'!D456+1,'Slots'!D29,'Slots'!D30,'Slots'!D31,'Slots'!D32,'Slots'!D33),0),IF(OR('Reels'!D458="attack",'Reels'!D458="magic"),CHOOSE('Reels'!D459+1,'Slots'!D29,'Slots'!D30,'Slots'!D31,'Slots'!D32,'Slots'!D33),0),IF(OR('Reels'!D461="attack",'Reels'!D461="magic"),CHOOSE('Reels'!D462+1,'Slots'!D29,'Slots'!D30,'Slots'!D31,'Slots'!D32,'Slots'!D33),0),IF(OR('Reels'!D464="attack",'Reels'!D464="magic"),CHOOSE('Reels'!D465+1,'Slots'!D29,'Slots'!D30,'Slots'!D31,'Slots'!D32,'Slots'!D33),0))+MAX(IF(OR('Reels'!D467="attack",'Reels'!D467="magic"),CHOOSE('Reels'!D468+1,'Slots'!D29,'Slots'!D30,'Slots'!D31,'Slots'!D32,'Slots'!D33),0),IF(OR('Reels'!D470="attack",'Reels'!D470="magic"),CHOOSE('Reels'!D471+1,'Slots'!D29,'Slots'!D30,'Slots'!D31,'Slots'!D32,'Slots'!D33),0),IF(OR('Reels'!D473="attack",'Reels'!D473="magic"),CHOOSE('Reels'!D474+1,'Slots'!D29,'Slots'!D30,'Slots'!D31,'Slots'!D32,'Slots'!D33),0),IF(OR('Reels'!D476="attack",'Reels'!D476="magic"),CHOOSE('Reels'!D477+1,'Slots'!D29,'Slots'!D30,'Slots'!D31,'Slots'!D32,'Slots'!D33),0),IF(OR('Reels'!D479="attack",'Reels'!D479="magic"),CHOOSE('Reels'!D480+1,'Slots'!D29,'Slots'!D30,'Slots'!D31,'Slots'!D32,'Slots'!D33),0),IF(OR('Reels'!D482="attack",'Reels'!D482="magic"),CHOOSE('Reels'!D483+1,'Slots'!D29,'Slots'!D30,'Slots'!D31,'Slots'!D32,'Slots'!D33),0)))*D414/'Enemies'!D544,0)*MAX('Slots'!D38,'Slots'!D39,'Slots'!D40,'Slots'!D41),0)</f>
        <v>24</v>
      </c>
      <c r="E417" t="s">
        <v>4216</v>
      </c>
    </row>
    <row r="418" spans="1:5" x14ac:dyDescent="0.25">
      <c r="A418" t="s">
        <v>1691</v>
      </c>
      <c r="B418" t="s">
        <v>1693</v>
      </c>
      <c r="C418" t="s">
        <v>4247</v>
      </c>
      <c r="D418">
        <f>ROUNDUP(ROUNDUP('Enemies'!D568+8*'Enemies'!D576+MAX(0,8-'Enemies'!D560)^2*'Enemies'!D584,0)*'Enemies'!D257,0)</f>
        <v>182</v>
      </c>
      <c r="E418" t="s">
        <v>4208</v>
      </c>
    </row>
    <row r="419" spans="1:5" x14ac:dyDescent="0.25">
      <c r="A419" t="s">
        <v>1691</v>
      </c>
      <c r="B419" t="s">
        <v>1693</v>
      </c>
      <c r="C419" t="s">
        <v>4248</v>
      </c>
      <c r="D419">
        <f>MAX(1,ROUNDDOWN(('Enemies'!D328+ROUNDDOWN(8/'Enemies'!D336,0))*'Enemies'!D258,0))</f>
        <v>4</v>
      </c>
      <c r="E419" t="s">
        <v>4210</v>
      </c>
    </row>
    <row r="420" spans="1:5" x14ac:dyDescent="0.25">
      <c r="A420" t="s">
        <v>1691</v>
      </c>
      <c r="B420" t="s">
        <v>1693</v>
      </c>
      <c r="C420" t="s">
        <v>4249</v>
      </c>
      <c r="D420">
        <f>IF('Enemies'!D259&gt;0,'Enemies'!D259,IF(8&gt;='Enemies'!D376,1,'Enemies'!D384))</f>
        <v>1</v>
      </c>
      <c r="E420" t="s">
        <v>4212</v>
      </c>
    </row>
    <row r="421" spans="1:5" x14ac:dyDescent="0.25">
      <c r="A421" t="s">
        <v>1691</v>
      </c>
      <c r="B421" t="s">
        <v>1693</v>
      </c>
      <c r="C421" t="s">
        <v>4250</v>
      </c>
      <c r="D421">
        <f>IF('Enemies'!D260&gt;0,'Enemies'!D260,IF(OR(AND(TRUE,8&gt;='Enemies'!D424),AND(FALSE,8&gt;='Enemies'!D432)),'Enemies'!D440,1))</f>
        <v>2</v>
      </c>
      <c r="E421" t="s">
        <v>4214</v>
      </c>
    </row>
    <row r="422" spans="1:5" x14ac:dyDescent="0.25">
      <c r="A422" t="s">
        <v>1691</v>
      </c>
      <c r="B422" t="s">
        <v>1693</v>
      </c>
      <c r="C422" t="s">
        <v>4251</v>
      </c>
      <c r="D422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419/'Enemies'!D544,0)*MAX('Slots'!D38,'Slots'!D39,'Slots'!D40,'Slots'!D41),0)</f>
        <v>12</v>
      </c>
      <c r="E422" t="s">
        <v>4216</v>
      </c>
    </row>
    <row r="423" spans="1:5" x14ac:dyDescent="0.25">
      <c r="A423" t="s">
        <v>1703</v>
      </c>
      <c r="B423" t="s">
        <v>1705</v>
      </c>
      <c r="C423" t="s">
        <v>4252</v>
      </c>
      <c r="D423">
        <f>ROUNDUP(ROUNDUP('Enemies'!D568+9*'Enemies'!D576+MAX(0,9-'Enemies'!D560)^2*'Enemies'!D584,0)*'Enemies'!D267,0)</f>
        <v>227</v>
      </c>
      <c r="E423" t="s">
        <v>4208</v>
      </c>
    </row>
    <row r="424" spans="1:5" x14ac:dyDescent="0.25">
      <c r="A424" t="s">
        <v>1703</v>
      </c>
      <c r="B424" t="s">
        <v>1705</v>
      </c>
      <c r="C424" t="s">
        <v>4253</v>
      </c>
      <c r="D424">
        <f>MAX(1,ROUNDDOWN(('Enemies'!D328+ROUNDDOWN(9/'Enemies'!D336,0))*'Enemies'!D268,0))</f>
        <v>5</v>
      </c>
      <c r="E424" t="s">
        <v>4210</v>
      </c>
    </row>
    <row r="425" spans="1:5" x14ac:dyDescent="0.25">
      <c r="A425" t="s">
        <v>1703</v>
      </c>
      <c r="B425" t="s">
        <v>1705</v>
      </c>
      <c r="C425" t="s">
        <v>4254</v>
      </c>
      <c r="D425">
        <f>IF('Enemies'!D269&gt;0,'Enemies'!D269,IF(9&gt;='Enemies'!D376,1,'Enemies'!D384))</f>
        <v>1</v>
      </c>
      <c r="E425" t="s">
        <v>4212</v>
      </c>
    </row>
    <row r="426" spans="1:5" x14ac:dyDescent="0.25">
      <c r="A426" t="s">
        <v>1703</v>
      </c>
      <c r="B426" t="s">
        <v>1705</v>
      </c>
      <c r="C426" t="s">
        <v>4255</v>
      </c>
      <c r="D426">
        <f>IF('Enemies'!D270&gt;0,'Enemies'!D270,IF(OR(AND(TRUE,9&gt;='Enemies'!D424),AND(FALSE,9&gt;='Enemies'!D432)),'Enemies'!D440,1))</f>
        <v>2</v>
      </c>
      <c r="E426" t="s">
        <v>4214</v>
      </c>
    </row>
    <row r="427" spans="1:5" x14ac:dyDescent="0.25">
      <c r="A427" t="s">
        <v>1703</v>
      </c>
      <c r="B427" t="s">
        <v>1705</v>
      </c>
      <c r="C427" t="s">
        <v>4256</v>
      </c>
      <c r="D427">
        <f>ROUNDUP(ROUNDUP((MAX(IF(OR('Reels'!D486="attack",'Reels'!D486="magic"),CHOOSE('Reels'!D487+1,'Slots'!D29,'Slots'!D30,'Slots'!D31,'Slots'!D32,'Slots'!D33),0),IF(OR('Reels'!D489="attack",'Reels'!D489="magic"),CHOOSE('Reels'!D490+1,'Slots'!D29,'Slots'!D30,'Slots'!D31,'Slots'!D32,'Slots'!D33),0),IF(OR('Reels'!D492="attack",'Reels'!D492="magic"),CHOOSE('Reels'!D493+1,'Slots'!D29,'Slots'!D30,'Slots'!D31,'Slots'!D32,'Slots'!D33),0),IF(OR('Reels'!D495="attack",'Reels'!D495="magic"),CHOOSE('Reels'!D496+1,'Slots'!D29,'Slots'!D30,'Slots'!D31,'Slots'!D32,'Slots'!D33),0),IF(OR('Reels'!D498="attack",'Reels'!D498="magic"),CHOOSE('Reels'!D499+1,'Slots'!D29,'Slots'!D30,'Slots'!D31,'Slots'!D32,'Slots'!D33),0),IF(OR('Reels'!D501="attack",'Reels'!D501="magic"),CHOOSE('Reels'!D502+1,'Slots'!D29,'Slots'!D30,'Slots'!D31,'Slots'!D32,'Slots'!D33),0))+MAX(IF(OR('Reels'!D504="attack",'Reels'!D504="magic"),CHOOSE('Reels'!D505+1,'Slots'!D29,'Slots'!D30,'Slots'!D31,'Slots'!D32,'Slots'!D33),0),IF(OR('Reels'!D507="attack",'Reels'!D507="magic"),CHOOSE('Reels'!D508+1,'Slots'!D29,'Slots'!D30,'Slots'!D31,'Slots'!D32,'Slots'!D33),0),IF(OR('Reels'!D510="attack",'Reels'!D510="magic"),CHOOSE('Reels'!D511+1,'Slots'!D29,'Slots'!D30,'Slots'!D31,'Slots'!D32,'Slots'!D33),0),IF(OR('Reels'!D513="attack",'Reels'!D513="magic"),CHOOSE('Reels'!D514+1,'Slots'!D29,'Slots'!D30,'Slots'!D31,'Slots'!D32,'Slots'!D33),0),IF(OR('Reels'!D516="attack",'Reels'!D516="magic"),CHOOSE('Reels'!D517+1,'Slots'!D29,'Slots'!D30,'Slots'!D31,'Slots'!D32,'Slots'!D33),0),IF(OR('Reels'!D519="attack",'Reels'!D519="magic"),CHOOSE('Reels'!D520+1,'Slots'!D29,'Slots'!D30,'Slots'!D31,'Slots'!D32,'Slots'!D33),0))+MAX(IF(OR('Reels'!D522="attack",'Reels'!D522="magic"),CHOOSE('Reels'!D523+1,'Slots'!D29,'Slots'!D30,'Slots'!D31,'Slots'!D32,'Slots'!D33),0),IF(OR('Reels'!D525="attack",'Reels'!D525="magic"),CHOOSE('Reels'!D526+1,'Slots'!D29,'Slots'!D30,'Slots'!D31,'Slots'!D32,'Slots'!D33),0),IF(OR('Reels'!D528="attack",'Reels'!D528="magic"),CHOOSE('Reels'!D529+1,'Slots'!D29,'Slots'!D30,'Slots'!D31,'Slots'!D32,'Slots'!D33),0),IF(OR('Reels'!D531="attack",'Reels'!D531="magic"),CHOOSE('Reels'!D532+1,'Slots'!D29,'Slots'!D30,'Slots'!D31,'Slots'!D32,'Slots'!D33),0),IF(OR('Reels'!D534="attack",'Reels'!D534="magic"),CHOOSE('Reels'!D535+1,'Slots'!D29,'Slots'!D30,'Slots'!D31,'Slots'!D32,'Slots'!D33),0),IF(OR('Reels'!D537="attack",'Reels'!D537="magic"),CHOOSE('Reels'!D538+1,'Slots'!D29,'Slots'!D30,'Slots'!D31,'Slots'!D32,'Slots'!D33),0)))*D424/'Enemies'!D544,0)*MAX('Slots'!D38,'Slots'!D39,'Slots'!D40,'Slots'!D41),0)</f>
        <v>16</v>
      </c>
      <c r="E427" t="s">
        <v>4216</v>
      </c>
    </row>
    <row r="428" spans="1:5" x14ac:dyDescent="0.25">
      <c r="A428" t="s">
        <v>1715</v>
      </c>
      <c r="B428" t="s">
        <v>1717</v>
      </c>
      <c r="C428" t="s">
        <v>4257</v>
      </c>
      <c r="D428">
        <f>ROUNDUP(ROUNDUP('Enemies'!D568+10*'Enemies'!D576+MAX(0,10-'Enemies'!D560)^2*'Enemies'!D584,0)*'Enemies'!D277,0)</f>
        <v>277</v>
      </c>
      <c r="E428" t="s">
        <v>4208</v>
      </c>
    </row>
    <row r="429" spans="1:5" x14ac:dyDescent="0.25">
      <c r="A429" t="s">
        <v>1715</v>
      </c>
      <c r="B429" t="s">
        <v>1717</v>
      </c>
      <c r="C429" t="s">
        <v>4258</v>
      </c>
      <c r="D429">
        <f>MAX(1,ROUNDDOWN(('Enemies'!D328+ROUNDDOWN(10/'Enemies'!D336,0))*'Enemies'!D278,0))</f>
        <v>5</v>
      </c>
      <c r="E429" t="s">
        <v>4210</v>
      </c>
    </row>
    <row r="430" spans="1:5" x14ac:dyDescent="0.25">
      <c r="A430" t="s">
        <v>1715</v>
      </c>
      <c r="B430" t="s">
        <v>1717</v>
      </c>
      <c r="C430" t="s">
        <v>4259</v>
      </c>
      <c r="D430">
        <f>IF('Enemies'!D279&gt;0,'Enemies'!D279,IF(10&gt;='Enemies'!D376,1,'Enemies'!D384))</f>
        <v>1</v>
      </c>
      <c r="E430" t="s">
        <v>4212</v>
      </c>
    </row>
    <row r="431" spans="1:5" x14ac:dyDescent="0.25">
      <c r="A431" t="s">
        <v>1715</v>
      </c>
      <c r="B431" t="s">
        <v>1717</v>
      </c>
      <c r="C431" t="s">
        <v>4260</v>
      </c>
      <c r="D431">
        <f>IF('Enemies'!D280&gt;0,'Enemies'!D280,IF(OR(AND(TRUE,10&gt;='Enemies'!D424),AND(FALSE,10&gt;='Enemies'!D432)),'Enemies'!D440,1))</f>
        <v>2</v>
      </c>
      <c r="E431" t="s">
        <v>4214</v>
      </c>
    </row>
    <row r="432" spans="1:5" x14ac:dyDescent="0.25">
      <c r="A432" t="s">
        <v>1715</v>
      </c>
      <c r="B432" t="s">
        <v>1717</v>
      </c>
      <c r="C432" t="s">
        <v>4261</v>
      </c>
      <c r="D432">
        <f>ROUNDUP(ROUNDUP((MAX(IF(OR('Reels'!D596="attack",'Reels'!D596="magic"),CHOOSE('Reels'!D597+1,'Slots'!D29,'Slots'!D30,'Slots'!D31,'Slots'!D32,'Slots'!D33),0),IF(OR('Reels'!D599="attack",'Reels'!D599="magic"),CHOOSE('Reels'!D600+1,'Slots'!D29,'Slots'!D30,'Slots'!D31,'Slots'!D32,'Slots'!D33),0),IF(OR('Reels'!D602="attack",'Reels'!D602="magic"),CHOOSE('Reels'!D603+1,'Slots'!D29,'Slots'!D30,'Slots'!D31,'Slots'!D32,'Slots'!D33),0),IF(OR('Reels'!D605="attack",'Reels'!D605="magic"),CHOOSE('Reels'!D606+1,'Slots'!D29,'Slots'!D30,'Slots'!D31,'Slots'!D32,'Slots'!D33),0),IF(OR('Reels'!D608="attack",'Reels'!D608="magic"),CHOOSE('Reels'!D609+1,'Slots'!D29,'Slots'!D30,'Slots'!D31,'Slots'!D32,'Slots'!D33),0),IF(OR('Reels'!D611="attack",'Reels'!D611="magic"),CHOOSE('Reels'!D612+1,'Slots'!D29,'Slots'!D30,'Slots'!D31,'Slots'!D32,'Slots'!D33),0))+MAX(IF(OR('Reels'!D614="attack",'Reels'!D614="magic"),CHOOSE('Reels'!D615+1,'Slots'!D29,'Slots'!D30,'Slots'!D31,'Slots'!D32,'Slots'!D33),0),IF(OR('Reels'!D617="attack",'Reels'!D617="magic"),CHOOSE('Reels'!D618+1,'Slots'!D29,'Slots'!D30,'Slots'!D31,'Slots'!D32,'Slots'!D33),0),IF(OR('Reels'!D620="attack",'Reels'!D620="magic"),CHOOSE('Reels'!D621+1,'Slots'!D29,'Slots'!D30,'Slots'!D31,'Slots'!D32,'Slots'!D33),0),IF(OR('Reels'!D623="attack",'Reels'!D623="magic"),CHOOSE('Reels'!D624+1,'Slots'!D29,'Slots'!D30,'Slots'!D31,'Slots'!D32,'Slots'!D33),0),IF(OR('Reels'!D626="attack",'Reels'!D626="magic"),CHOOSE('Reels'!D627+1,'Slots'!D29,'Slots'!D30,'Slots'!D31,'Slots'!D32,'Slots'!D33),0),IF(OR('Reels'!D629="attack",'Reels'!D629="magic"),CHOOSE('Reels'!D630+1,'Slots'!D29,'Slots'!D30,'Slots'!D31,'Slots'!D32,'Slots'!D33),0))+MAX(IF(OR('Reels'!D632="attack",'Reels'!D632="magic"),CHOOSE('Reels'!D633+1,'Slots'!D29,'Slots'!D30,'Slots'!D31,'Slots'!D32,'Slots'!D33),0),IF(OR('Reels'!D635="attack",'Reels'!D635="magic"),CHOOSE('Reels'!D636+1,'Slots'!D29,'Slots'!D30,'Slots'!D31,'Slots'!D32,'Slots'!D33),0),IF(OR('Reels'!D638="attack",'Reels'!D638="magic"),CHOOSE('Reels'!D639+1,'Slots'!D29,'Slots'!D30,'Slots'!D31,'Slots'!D32,'Slots'!D33),0),IF(OR('Reels'!D641="attack",'Reels'!D641="magic"),CHOOSE('Reels'!D642+1,'Slots'!D29,'Slots'!D30,'Slots'!D31,'Slots'!D32,'Slots'!D33),0),IF(OR('Reels'!D644="attack",'Reels'!D644="magic"),CHOOSE('Reels'!D645+1,'Slots'!D29,'Slots'!D30,'Slots'!D31,'Slots'!D32,'Slots'!D33),0),IF(OR('Reels'!D647="attack",'Reels'!D647="magic"),CHOOSE('Reels'!D648+1,'Slots'!D29,'Slots'!D30,'Slots'!D31,'Slots'!D32,'Slots'!D33),0)))*D429/'Enemies'!D544,0)*MAX('Slots'!D38,'Slots'!D39,'Slots'!D40,'Slots'!D41),0)</f>
        <v>28</v>
      </c>
      <c r="E432" t="s">
        <v>4216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Engine</vt:lpstr>
      <vt:lpstr>Progression</vt:lpstr>
      <vt:lpstr>Slots</vt:lpstr>
      <vt:lpstr>Classes</vt:lpstr>
      <vt:lpstr>Reels</vt:lpstr>
      <vt:lpstr>Items</vt:lpstr>
      <vt:lpstr>Equipment</vt:lpstr>
      <vt:lpstr>Artefacts</vt:lpstr>
      <vt:lpstr>Enemies</vt:lpstr>
      <vt:lpstr>World</vt:lpstr>
      <vt:lpstr>Loot</vt:lpstr>
      <vt:lpstr>Economy</vt:lpstr>
      <vt:lpstr>Abilities</vt:lpstr>
      <vt:lpstr>Roll Analysis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Scratchpad Dungeon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